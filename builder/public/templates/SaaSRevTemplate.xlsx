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" yWindow="2300" windowWidth="28800" windowHeight="16080" tabRatio="600" firstSheet="0" activeTab="1" autoFilterDateGrouping="1"/>
  </bookViews>
  <sheets>
    <sheet xmlns:r="http://schemas.openxmlformats.org/officeDocument/2006/relationships" name="AccountSummary (New)" sheetId="1" state="visible" r:id="rId1"/>
    <sheet xmlns:r="http://schemas.openxmlformats.org/officeDocument/2006/relationships" name="AccountSummary" sheetId="2" state="visible" r:id="rId2"/>
    <sheet xmlns:r="http://schemas.openxmlformats.org/officeDocument/2006/relationships" name="CurrentSaaS" sheetId="3" state="visible" r:id="rId3"/>
    <sheet xmlns:r="http://schemas.openxmlformats.org/officeDocument/2006/relationships" name="CurrentSaaS (Invoiced)" sheetId="4" state="visible" r:id="rId4"/>
    <sheet xmlns:r="http://schemas.openxmlformats.org/officeDocument/2006/relationships" name="PrepaySummary" sheetId="5" state="visible" r:id="rId5"/>
    <sheet xmlns:r="http://schemas.openxmlformats.org/officeDocument/2006/relationships" name="Invoices" sheetId="6" state="visible" r:id="rId6"/>
    <sheet xmlns:r="http://schemas.openxmlformats.org/officeDocument/2006/relationships" name="Accounts" sheetId="7" state="visible" r:id="rId7"/>
    <sheet xmlns:r="http://schemas.openxmlformats.org/officeDocument/2006/relationships" name="InvoiceLines" sheetId="8" state="visible" r:id="rId8"/>
    <sheet xmlns:r="http://schemas.openxmlformats.org/officeDocument/2006/relationships" name="CreditMemos" sheetId="9" state="visible" r:id="rId9"/>
    <sheet xmlns:r="http://schemas.openxmlformats.org/officeDocument/2006/relationships" name="CreditMemoLines" sheetId="10" state="visible" r:id="rId10"/>
    <sheet xmlns:r="http://schemas.openxmlformats.org/officeDocument/2006/relationships" name="Marketing Metrics" sheetId="11" state="visible" r:id="rId11"/>
    <sheet xmlns:r="http://schemas.openxmlformats.org/officeDocument/2006/relationships" name="CountsForFormulas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(&quot;$&quot;* #,##0.00_);_(&quot;$&quot;* \(#,##0.00\);_(&quot;$&quot;* &quot;-&quot;??_);_(@_)"/>
    <numFmt numFmtId="165" formatCode="yyyy\-mmm\-dd\ hh:mm"/>
    <numFmt numFmtId="166" formatCode="&quot;$&quot;#,##0.00"/>
    <numFmt numFmtId="167" formatCode="mm/dd/yyyy"/>
    <numFmt numFmtId="168" formatCode="yyyy\-mm\-dd"/>
    <numFmt numFmtId="169" formatCode="mmmm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Verdana"/>
      <family val="2"/>
      <color rgb="FF333333"/>
      <sz val="12"/>
    </font>
    <font>
      <name val="Helvetica Neue"/>
      <family val="2"/>
      <color rgb="FF0A0101"/>
      <sz val="12"/>
    </font>
  </fonts>
  <fills count="4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9" fontId="4" fillId="0" borderId="0"/>
    <xf numFmtId="43" fontId="4" fillId="0" borderId="0"/>
  </cellStyleXfs>
  <cellXfs count="83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2" fontId="5" fillId="0" borderId="0" pivotButton="0" quotePrefix="0" xfId="0"/>
    <xf numFmtId="164" fontId="5" fillId="0" borderId="0" pivotButton="0" quotePrefix="0" xfId="1"/>
    <xf numFmtId="0" fontId="5" fillId="0" borderId="1" applyAlignment="1" pivotButton="0" quotePrefix="0" xfId="0">
      <alignment vertical="center"/>
    </xf>
    <xf numFmtId="10" fontId="0" fillId="0" borderId="0" pivotButton="0" quotePrefix="0" xfId="3"/>
    <xf numFmtId="0" fontId="0" fillId="2" borderId="0" pivotButton="0" quotePrefix="0" xfId="0"/>
    <xf numFmtId="164" fontId="0" fillId="2" borderId="0" pivotButton="0" quotePrefix="0" xfId="1"/>
    <xf numFmtId="10" fontId="0" fillId="2" borderId="0" pivotButton="0" quotePrefix="0" xfId="3"/>
    <xf numFmtId="0" fontId="5" fillId="2" borderId="0" pivotButton="0" quotePrefix="0" xfId="0"/>
    <xf numFmtId="2" fontId="0" fillId="2" borderId="0" pivotButton="0" quotePrefix="0" xfId="0"/>
    <xf numFmtId="164" fontId="4" fillId="2" borderId="0" pivotButton="0" quotePrefix="0" xfId="1"/>
    <xf numFmtId="0" fontId="5" fillId="0" borderId="0" pivotButton="0" quotePrefix="0" xfId="0"/>
    <xf numFmtId="164" fontId="0" fillId="3" borderId="0" pivotButton="0" quotePrefix="0" xfId="1"/>
    <xf numFmtId="164" fontId="0" fillId="3" borderId="3" pivotButton="0" quotePrefix="0" xfId="1"/>
    <xf numFmtId="164" fontId="0" fillId="0" borderId="0" pivotButton="0" quotePrefix="0" xfId="1"/>
    <xf numFmtId="10" fontId="4" fillId="0" borderId="0" pivotButton="0" quotePrefix="0" xfId="3"/>
    <xf numFmtId="10" fontId="5" fillId="0" borderId="0" pivotButton="0" quotePrefix="0" xfId="3"/>
    <xf numFmtId="10" fontId="4" fillId="2" borderId="0" pivotButton="0" quotePrefix="0" xfId="3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66" fontId="5" fillId="0" borderId="0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167" fontId="6" fillId="2" borderId="0" applyAlignment="1" pivotButton="0" quotePrefix="0" xfId="0">
      <alignment horizontal="center" vertical="center" wrapText="1"/>
    </xf>
    <xf numFmtId="1" fontId="6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67" fontId="3" fillId="0" borderId="0" pivotButton="0" quotePrefix="0" xfId="0"/>
    <xf numFmtId="1" fontId="3" fillId="0" borderId="0" pivotButton="0" quotePrefix="0" xfId="0"/>
    <xf numFmtId="10" fontId="3" fillId="0" borderId="0" pivotButton="0" quotePrefix="0" xfId="3"/>
    <xf numFmtId="0" fontId="7" fillId="0" borderId="0" pivotButton="0" quotePrefix="0" xfId="0"/>
    <xf numFmtId="9" fontId="3" fillId="0" borderId="0" pivotButton="0" quotePrefix="0" xfId="3"/>
    <xf numFmtId="166" fontId="3" fillId="0" borderId="0" pivotButton="0" quotePrefix="0" xfId="0"/>
    <xf numFmtId="43" fontId="3" fillId="0" borderId="0" pivotButton="0" quotePrefix="0" xfId="2"/>
    <xf numFmtId="2" fontId="3" fillId="0" borderId="0" pivotButton="0" quotePrefix="0" xfId="0"/>
    <xf numFmtId="0" fontId="3" fillId="2" borderId="0" pivotButton="0" quotePrefix="0" xfId="0"/>
    <xf numFmtId="167" fontId="3" fillId="2" borderId="0" pivotButton="0" quotePrefix="0" xfId="0"/>
    <xf numFmtId="14" fontId="3" fillId="2" borderId="0" pivotButton="0" quotePrefix="0" xfId="0"/>
    <xf numFmtId="0" fontId="6" fillId="2" borderId="0" pivotButton="0" quotePrefix="0" xfId="0"/>
    <xf numFmtId="2" fontId="3" fillId="2" borderId="0" pivotButton="0" quotePrefix="0" xfId="0"/>
    <xf numFmtId="167" fontId="6" fillId="2" borderId="0" pivotButton="0" quotePrefix="0" xfId="0"/>
    <xf numFmtId="1" fontId="3" fillId="2" borderId="0" pivotButton="0" quotePrefix="0" xfId="0"/>
    <xf numFmtId="2" fontId="6" fillId="2" borderId="0" pivotButton="0" quotePrefix="0" xfId="0"/>
    <xf numFmtId="168" fontId="3" fillId="2" borderId="0" pivotButton="0" quotePrefix="0" xfId="0"/>
    <xf numFmtId="0" fontId="6" fillId="0" borderId="0" applyAlignment="1" pivotButton="0" quotePrefix="0" xfId="0">
      <alignment horizontal="right"/>
    </xf>
    <xf numFmtId="0" fontId="8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0" fontId="6" fillId="2" borderId="0" applyAlignment="1" pivotButton="0" quotePrefix="0" xfId="0">
      <alignment horizontal="right"/>
    </xf>
    <xf numFmtId="0" fontId="6" fillId="2" borderId="0" applyAlignment="1" pivotButton="0" quotePrefix="0" xfId="0">
      <alignment horizontal="right" vertical="center"/>
    </xf>
    <xf numFmtId="2" fontId="3" fillId="0" borderId="0" pivotButton="0" quotePrefix="0" xfId="2"/>
    <xf numFmtId="0" fontId="6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2" fontId="3" fillId="2" borderId="0" pivotButton="0" quotePrefix="0" xfId="2"/>
    <xf numFmtId="1" fontId="7" fillId="0" borderId="0" pivotButton="0" quotePrefix="0" xfId="0"/>
    <xf numFmtId="164" fontId="4" fillId="0" borderId="0" pivotButton="0" quotePrefix="0" xfId="1"/>
    <xf numFmtId="1" fontId="4" fillId="0" borderId="0" pivotButton="0" quotePrefix="0" xfId="3"/>
    <xf numFmtId="0" fontId="2" fillId="0" borderId="0" pivotButton="0" quotePrefix="0" xfId="0"/>
    <xf numFmtId="0" fontId="1" fillId="0" borderId="0" pivotButton="0" quotePrefix="0" xfId="0"/>
    <xf numFmtId="1" fontId="5" fillId="0" borderId="0" pivotButton="0" quotePrefix="0" xfId="0"/>
    <xf numFmtId="164" fontId="0" fillId="2" borderId="0" pivotButton="0" quotePrefix="0" xfId="1"/>
    <xf numFmtId="164" fontId="0" fillId="0" borderId="0" pivotButton="0" quotePrefix="0" xfId="1"/>
    <xf numFmtId="164" fontId="5" fillId="0" borderId="0" pivotButton="0" quotePrefix="0" xfId="1"/>
    <xf numFmtId="164" fontId="4" fillId="2" borderId="0" pivotButton="0" quotePrefix="0" xfId="1"/>
    <xf numFmtId="164" fontId="0" fillId="3" borderId="0" pivotButton="0" quotePrefix="0" xfId="1"/>
    <xf numFmtId="164" fontId="0" fillId="3" borderId="3" pivotButton="0" quotePrefix="0" xfId="1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6" fillId="2" borderId="0" applyAlignment="1" pivotButton="0" quotePrefix="0" xfId="0">
      <alignment horizontal="center" vertical="center" wrapText="1"/>
    </xf>
    <xf numFmtId="167" fontId="3" fillId="0" borderId="0" pivotButton="0" quotePrefix="0" xfId="0"/>
    <xf numFmtId="166" fontId="3" fillId="0" borderId="0" pivotButton="0" quotePrefix="0" xfId="0"/>
    <xf numFmtId="167" fontId="3" fillId="2" borderId="0" pivotButton="0" quotePrefix="0" xfId="0"/>
    <xf numFmtId="167" fontId="6" fillId="2" borderId="0" pivotButton="0" quotePrefix="0" xfId="0"/>
    <xf numFmtId="169" fontId="3" fillId="0" borderId="0" pivotButton="0" quotePrefix="0" xfId="0"/>
    <xf numFmtId="166" fontId="5" fillId="2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164" fontId="4" fillId="0" borderId="0" pivotButton="0" quotePrefix="0" xfId="1"/>
  </cellXfs>
  <cellStyles count="5">
    <cellStyle name="Normal" xfId="0" builtinId="0"/>
    <cellStyle name="Currency" xfId="1" builtinId="4"/>
    <cellStyle name="Comma" xfId="2" builtinId="3"/>
    <cellStyle name="Percent" xfId="3" builtinId="5"/>
    <cellStyle name="Comma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V6" sqref="V6"/>
    </sheetView>
  </sheetViews>
  <sheetFormatPr baseColWidth="10" defaultColWidth="8.6640625" defaultRowHeight="15"/>
  <cols>
    <col width="37" customWidth="1" min="1" max="1"/>
    <col width="12.33203125" bestFit="1" customWidth="1" min="2" max="6"/>
    <col width="12.33203125" customWidth="1" min="7" max="8"/>
    <col width="12.33203125" bestFit="1" customWidth="1" style="15" min="9" max="9"/>
    <col width="12.33203125" bestFit="1" customWidth="1" min="10" max="13"/>
    <col width="12.33203125" customWidth="1" min="14" max="15"/>
    <col width="12.33203125" bestFit="1" customWidth="1" style="15" min="16" max="16"/>
    <col width="12.33203125" bestFit="1" customWidth="1" min="17" max="19"/>
    <col width="12.5" bestFit="1" customWidth="1" min="20" max="20"/>
    <col width="12.5" customWidth="1" min="21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>
      <c r="A4" s="1" t="inlineStr">
        <is>
          <t>*Trialers*</t>
        </is>
      </c>
      <c r="D4" s="4" t="n"/>
    </row>
    <row r="5">
      <c r="A5" s="1" t="inlineStr">
        <is>
          <t>Trials started this month</t>
        </is>
      </c>
      <c r="B5">
        <f>I5+P5+W5</f>
        <v/>
      </c>
      <c r="C5">
        <f>COUNTIFS(Accounts!$E:$E,'AccountSummary (New)'!C$1,Accounts!$G:$G,'AccountSummary (New)'!C$2,Accounts!$F:$F,'AccountSummary (New)'!C$3,Accounts!$B:$B,"none",Accounts!$BF:$BF,FALSE)</f>
        <v/>
      </c>
      <c r="D5">
        <f>COUNTIFS(Accounts!$E:$E,'AccountSummary (New)'!D$1,Accounts!$G:$G,'AccountSummary (New)'!D$2,Accounts!$F:$F,'AccountSummary (New)'!D$3,Accounts!$B:$B,"none",Accounts!$BF:$BF,FALSE)</f>
        <v/>
      </c>
      <c r="E5">
        <f>COUNTIFS(Accounts!$E:$E,'AccountSummary (New)'!E$1,Accounts!$G:$G,'AccountSummary (New)'!E$2,Accounts!$F:$F,'AccountSummary (New)'!E$3,Accounts!$B:$B,"none",Accounts!$BF:$BF,FALSE)</f>
        <v/>
      </c>
      <c r="F5">
        <f>COUNTIFS(Accounts!$E:$E,'AccountSummary (New)'!F$1,Accounts!$G:$G,'AccountSummary (New)'!F$2,Accounts!$F:$F,'AccountSummary (New)'!F$3,Accounts!$B:$B,"none",Accounts!$BF:$BF,FALSE)</f>
        <v/>
      </c>
      <c r="G5">
        <f>COUNTIFS(Accounts!$E:$E,'AccountSummary (New)'!G$1,Accounts!$G:$G,'AccountSummary (New)'!G$2,Accounts!$F:$F,'AccountSummary (New)'!G$3,Accounts!$B:$B,"none",Accounts!$BF:$BF,FALSE)</f>
        <v/>
      </c>
      <c r="H5">
        <f>COUNTIFS(Accounts!$E:$E,'AccountSummary (New)'!H$1,Accounts!$G:$G,'AccountSummary (New)'!H$2,Accounts!$F:$F,'AccountSummary (New)'!H$3,Accounts!$B:$B,"none",Accounts!$BF:$BF,FALSE)+COUNTIFS(Accounts!$E:$E,"QuickBooks",Accounts!$G:$G,'AccountSummary (New)'!H$2,Accounts!$F:$F,'AccountSummary (New)'!H$3,Accounts!$B:$B,"none",Accounts!$BF:$BF,FALSE)</f>
        <v/>
      </c>
      <c r="I5" s="15">
        <f>SUM(C5:H5)</f>
        <v/>
      </c>
      <c r="J5">
        <f>COUNTIFS(Accounts!$E:$E,'AccountSummary (New)'!J$1,Accounts!$G:$G,'AccountSummary (New)'!J$2,Accounts!$F:$F,'AccountSummary (New)'!J$3,Accounts!$B:$B,"none",Accounts!$BF:$BF,FALSE)</f>
        <v/>
      </c>
      <c r="K5">
        <f>COUNTIFS(Accounts!$E:$E,'AccountSummary (New)'!K$1,Accounts!$G:$G,'AccountSummary (New)'!K$2,Accounts!$F:$F,'AccountSummary (New)'!K$3,Accounts!$B:$B,"none",Accounts!$BF:$BF,FALSE)</f>
        <v/>
      </c>
      <c r="L5">
        <f>COUNTIFS(Accounts!$E:$E,'AccountSummary (New)'!L$1,Accounts!$G:$G,'AccountSummary (New)'!L$2,Accounts!$F:$F,'AccountSummary (New)'!L$3,Accounts!$B:$B,"none",Accounts!$BF:$BF,FALSE)</f>
        <v/>
      </c>
      <c r="M5">
        <f>COUNTIFS(Accounts!$E:$E,'AccountSummary (New)'!M$1,Accounts!$G:$G,'AccountSummary (New)'!M$2,Accounts!$F:$F,'AccountSummary (New)'!M$3,Accounts!$B:$B,"none",Accounts!$BF:$BF,FALSE)</f>
        <v/>
      </c>
      <c r="N5">
        <f>COUNTIFS(Accounts!$E:$E,'AccountSummary (New)'!N$1,Accounts!$G:$G,'AccountSummary (New)'!N$2,Accounts!$F:$F,'AccountSummary (New)'!N$3,Accounts!$B:$B,"none",Accounts!$BF:$BF,FALSE)</f>
        <v/>
      </c>
      <c r="O5">
        <f>COUNTIFS(Accounts!$E:$E,'AccountSummary (New)'!O$1,Accounts!$G:$G,'AccountSummary (New)'!O$2,Accounts!$F:$F,'AccountSummary (New)'!O$3,Accounts!$B:$B,"none",Accounts!$BF:$BF,FALSE)+COUNTIFS(Accounts!$E:$E,"QuickBooks",Accounts!$G:$G,'AccountSummary (New)'!O$2,Accounts!$F:$F,'AccountSummary (New)'!O$3,Accounts!$B:$B,"none",Accounts!$BF:$BF,FALSE)</f>
        <v/>
      </c>
      <c r="P5" s="15">
        <f>SUM(J5:O5)</f>
        <v/>
      </c>
      <c r="Q5">
        <f>COUNTIFS(Accounts!$E:$E,'AccountSummary (New)'!Q$1,Accounts!$G:$G,'AccountSummary (New)'!Q$2,Accounts!$F:$F,'AccountSummary (New)'!Q$3,Accounts!$B:$B,"none",Accounts!$BF:$BF,FALSE)</f>
        <v/>
      </c>
      <c r="R5">
        <f>COUNTIFS(Accounts!$E:$E,'AccountSummary (New)'!R$1,Accounts!$G:$G,'AccountSummary (New)'!R$2,Accounts!$F:$F,'AccountSummary (New)'!R$3,Accounts!$B:$B,"none",Accounts!$BF:$BF,FALSE)</f>
        <v/>
      </c>
      <c r="S5">
        <f>COUNTIFS(Accounts!$E:$E,'AccountSummary (New)'!S$1,Accounts!$G:$G,'AccountSummary (New)'!S$2,Accounts!$F:$F,'AccountSummary (New)'!S$3,Accounts!$B:$B,"none",Accounts!$BF:$BF,FALSE)</f>
        <v/>
      </c>
      <c r="T5">
        <f>COUNTIFS(Accounts!$E:$E,'AccountSummary (New)'!T$1,Accounts!$G:$G,'AccountSummary (New)'!T$2,Accounts!$F:$F,'AccountSummary (New)'!T$3,Accounts!$B:$B,"none",Accounts!$BF:$BF,FALSE)</f>
        <v/>
      </c>
      <c r="U5">
        <f>COUNTIFS(Accounts!$E:$E,'AccountSummary (New)'!U$1,Accounts!$G:$G,'AccountSummary (New)'!U$2,Accounts!$F:$F,'AccountSummary (New)'!U$3,Accounts!$B:$B,"none",Accounts!$BF:$BF,FALSE)</f>
        <v/>
      </c>
      <c r="V5">
        <f>COUNTIFS(Accounts!$E:$E,'AccountSummary (New)'!V$1,Accounts!$G:$G,'AccountSummary (New)'!V$2,Accounts!$F:$F,'AccountSummary (New)'!V$3,Accounts!$B:$B,"none",Accounts!$BF:$BF,FALSE)+COUNTIFS(Accounts!$E:$E,"QuickBooks",Accounts!$G:$G,'AccountSummary (New)'!V$2,Accounts!$F:$F,'AccountSummary (New)'!V$3,Accounts!$B:$B,"none",Accounts!$BF:$BF,FALSE)</f>
        <v/>
      </c>
      <c r="W5" s="15">
        <f>SUM(Q5:V5)</f>
        <v/>
      </c>
    </row>
    <row r="6">
      <c r="A6" s="1" t="n"/>
    </row>
    <row r="7">
      <c r="A7" s="1" t="inlineStr">
        <is>
          <t>Made their first payment</t>
        </is>
      </c>
      <c r="B7" s="9">
        <f>I7+P7+W7</f>
        <v/>
      </c>
      <c r="C7">
        <f>COUNTIFS(Accounts!$E:$E,'AccountSummary (New)'!C$1,Accounts!$G:$G,'AccountSummary (New)'!C$2,Accounts!$F:$F,'AccountSummary (New)'!C$3,Accounts!$W:$W,1)</f>
        <v/>
      </c>
      <c r="D7">
        <f>COUNTIFS(Accounts!$E:$E,'AccountSummary (New)'!D$1,Accounts!$G:$G,'AccountSummary (New)'!D$2,Accounts!$F:$F,'AccountSummary (New)'!D$3,Accounts!$W:$W,1)</f>
        <v/>
      </c>
      <c r="E7">
        <f>COUNTIFS(Accounts!$E:$E,'AccountSummary (New)'!E$1,Accounts!$G:$G,'AccountSummary (New)'!E$2,Accounts!$F:$F,'AccountSummary (New)'!E$3,Accounts!$W:$W,1)</f>
        <v/>
      </c>
      <c r="F7">
        <f>COUNTIFS(Accounts!$E:$E,'AccountSummary (New)'!F$1,Accounts!$G:$G,'AccountSummary (New)'!F$2,Accounts!$F:$F,'AccountSummary (New)'!F$3,Accounts!$W:$W,1)</f>
        <v/>
      </c>
      <c r="G7">
        <f>COUNTIFS(Accounts!$E:$E,'AccountSummary (New)'!G$1,Accounts!$G:$G,'AccountSummary (New)'!G$2,Accounts!$F:$F,'AccountSummary (New)'!G$3,Accounts!$W:$W,1)</f>
        <v/>
      </c>
      <c r="H7">
        <f>COUNTIFS(Accounts!$E:$E,'AccountSummary (New)'!H$1,Accounts!$G:$G,'AccountSummary (New)'!H$2,Accounts!$F:$F,'AccountSummary (New)'!H$3,Accounts!$W:$W,1)</f>
        <v/>
      </c>
      <c r="I7" s="15">
        <f>SUM(C7:H7)</f>
        <v/>
      </c>
      <c r="J7">
        <f>COUNTIFS(Accounts!$E:$E,'AccountSummary (New)'!J$1,Accounts!$G:$G,'AccountSummary (New)'!J$2,Accounts!$F:$F,'AccountSummary (New)'!J$3,Accounts!$W:$W,1)</f>
        <v/>
      </c>
      <c r="K7">
        <f>COUNTIFS(Accounts!$E:$E,'AccountSummary (New)'!K$1,Accounts!$G:$G,'AccountSummary (New)'!K$2,Accounts!$F:$F,'AccountSummary (New)'!K$3,Accounts!$W:$W,1)</f>
        <v/>
      </c>
      <c r="L7">
        <f>COUNTIFS(Accounts!$E:$E,'AccountSummary (New)'!L$1,Accounts!$G:$G,'AccountSummary (New)'!L$2,Accounts!$F:$F,'AccountSummary (New)'!L$3,Accounts!$W:$W,1)</f>
        <v/>
      </c>
      <c r="M7">
        <f>COUNTIFS(Accounts!$E:$E,'AccountSummary (New)'!M$1,Accounts!$G:$G,'AccountSummary (New)'!M$2,Accounts!$F:$F,'AccountSummary (New)'!M$3,Accounts!$W:$W,1)</f>
        <v/>
      </c>
      <c r="N7">
        <f>COUNTIFS(Accounts!$E:$E,'AccountSummary (New)'!N$1,Accounts!$G:$G,'AccountSummary (New)'!N$2,Accounts!$F:$F,'AccountSummary (New)'!N$3,Accounts!$W:$W,1)</f>
        <v/>
      </c>
      <c r="O7">
        <f>COUNTIFS(Accounts!$E:$E,'AccountSummary (New)'!O$1,Accounts!$G:$G,'AccountSummary (New)'!O$2,Accounts!$F:$F,'AccountSummary (New)'!O$3,Accounts!$W:$W,1)</f>
        <v/>
      </c>
      <c r="P7" s="15">
        <f>SUM(J7:O7)</f>
        <v/>
      </c>
      <c r="Q7">
        <f>COUNTIFS(Accounts!$E:$E,'AccountSummary (New)'!Q$1,Accounts!$G:$G,'AccountSummary (New)'!Q$2,Accounts!$F:$F,'AccountSummary (New)'!Q$3,Accounts!$W:$W,1)</f>
        <v/>
      </c>
      <c r="R7">
        <f>COUNTIFS(Accounts!$E:$E,'AccountSummary (New)'!R$1,Accounts!$G:$G,'AccountSummary (New)'!R$2,Accounts!$F:$F,'AccountSummary (New)'!R$3,Accounts!$W:$W,1)</f>
        <v/>
      </c>
      <c r="S7">
        <f>COUNTIFS(Accounts!$E:$E,'AccountSummary (New)'!S$1,Accounts!$G:$G,'AccountSummary (New)'!S$2,Accounts!$F:$F,'AccountSummary (New)'!S$3,Accounts!$W:$W,1)</f>
        <v/>
      </c>
      <c r="T7">
        <f>COUNTIFS(Accounts!$E:$E,'AccountSummary (New)'!T$1,Accounts!$G:$G,'AccountSummary (New)'!T$2,Accounts!$F:$F,'AccountSummary (New)'!T$3,Accounts!$W:$W,1)</f>
        <v/>
      </c>
      <c r="U7">
        <f>COUNTIFS(Accounts!$E:$E,'AccountSummary (New)'!U$1,Accounts!$G:$G,'AccountSummary (New)'!U$2,Accounts!$F:$F,'AccountSummary (New)'!U$3,Accounts!$W:$W,1)</f>
        <v/>
      </c>
      <c r="V7">
        <f>COUNTIFS(Accounts!$E:$E,'AccountSummary (New)'!V$1,Accounts!$G:$G,'AccountSummary (New)'!V$2,Accounts!$F:$F,'AccountSummary (New)'!V$3,Accounts!$W:$W,1)</f>
        <v/>
      </c>
      <c r="W7" s="15">
        <f>SUM(Q7:V7)</f>
        <v/>
      </c>
    </row>
    <row r="8">
      <c r="A8" s="2" t="inlineStr">
        <is>
          <t>Packs per Account</t>
        </is>
      </c>
      <c r="B8" s="13">
        <f>IF(B7=0,0,SUMIFS(Accounts!$L:$L,Accounts!$W:$W,1)/B7)</f>
        <v/>
      </c>
      <c r="C8" s="4">
        <f>IF(C7=0,0,SUMIFS(Accounts!$L:$L,Accounts!$E:$E,'AccountSummary (New)'!C$1,Accounts!$G:$G,'AccountSummary (New)'!C$2,Accounts!$F:$F,'AccountSummary (New)'!C$3,Accounts!$W:$W,1)/C7)</f>
        <v/>
      </c>
      <c r="D8" s="4">
        <f>IF(D7=0,0,SUMIFS(Accounts!$L:$L,Accounts!$E:$E,'AccountSummary (New)'!D$1,Accounts!$G:$G,'AccountSummary (New)'!D$2,Accounts!$F:$F,'AccountSummary (New)'!D$3,Accounts!$W:$W,1)/D7)</f>
        <v/>
      </c>
      <c r="E8" s="4">
        <f>IF(E7=0,0,SUMIFS(Accounts!$L:$L,Accounts!$E:$E,'AccountSummary (New)'!E$1,Accounts!$G:$G,'AccountSummary (New)'!E$2,Accounts!$F:$F,'AccountSummary (New)'!E$3,Accounts!$W:$W,1)/E7)</f>
        <v/>
      </c>
      <c r="F8" s="4">
        <f>IF(F7=0,0,SUMIFS(Accounts!$L:$L,Accounts!$E:$E,'AccountSummary (New)'!F$1,Accounts!$G:$G,'AccountSummary (New)'!F$2,Accounts!$F:$F,'AccountSummary (New)'!F$3,Accounts!$W:$W,1)/F7)</f>
        <v/>
      </c>
      <c r="G8" s="4">
        <f>IF(G7=0,0,SUMIFS(Accounts!$L:$L,Accounts!$E:$E,'AccountSummary (New)'!G$1,Accounts!$G:$G,'AccountSummary (New)'!G$2,Accounts!$F:$F,'AccountSummary (New)'!G$3,Accounts!$W:$W,1)/G7)</f>
        <v/>
      </c>
      <c r="H8" s="4">
        <f>IF(H7=0,0,SUMIFS(Accounts!$L:$L,Accounts!$E:$E,'AccountSummary (New)'!H$1,Accounts!$G:$G,'AccountSummary (New)'!H$2,Accounts!$F:$F,'AccountSummary (New)'!H$3,Accounts!$W:$W,1)/H7)</f>
        <v/>
      </c>
      <c r="I8" s="5">
        <f>IF(I7=0,0,SUMIFS(Accounts!$L:$L,Accounts!$F:$F,'AccountSummary (New)'!I$3,Accounts!$W:$W,1)/I7)</f>
        <v/>
      </c>
      <c r="J8" s="4">
        <f>IF(J7=0,0,SUMIFS(Accounts!$L:$L,Accounts!$E:$E,'AccountSummary (New)'!J$1,Accounts!$G:$G,'AccountSummary (New)'!J$2,Accounts!$F:$F,'AccountSummary (New)'!J$3,Accounts!$W:$W,1)/J7)</f>
        <v/>
      </c>
      <c r="K8" s="4">
        <f>IF(K7=0,0,SUMIFS(Accounts!$L:$L,Accounts!$E:$E,'AccountSummary (New)'!K$1,Accounts!$G:$G,'AccountSummary (New)'!K$2,Accounts!$F:$F,'AccountSummary (New)'!K$3,Accounts!$W:$W,1)/K7)</f>
        <v/>
      </c>
      <c r="L8" s="4">
        <f>IF(L7=0,0,SUMIFS(Accounts!$L:$L,Accounts!$E:$E,'AccountSummary (New)'!L$1,Accounts!$G:$G,'AccountSummary (New)'!L$2,Accounts!$F:$F,'AccountSummary (New)'!L$3,Accounts!$W:$W,1)/L7)</f>
        <v/>
      </c>
      <c r="M8" s="4">
        <f>IF(M7=0,0,SUMIFS(Accounts!$L:$L,Accounts!$E:$E,'AccountSummary (New)'!M$1,Accounts!$G:$G,'AccountSummary (New)'!M$2,Accounts!$F:$F,'AccountSummary (New)'!M$3,Accounts!$W:$W,1)/M7)</f>
        <v/>
      </c>
      <c r="N8" s="4">
        <f>IF(N7=0,0,SUMIFS(Accounts!$L:$L,Accounts!$E:$E,'AccountSummary (New)'!N$1,Accounts!$G:$G,'AccountSummary (New)'!N$2,Accounts!$F:$F,'AccountSummary (New)'!N$3,Accounts!$W:$W,1)/N7)</f>
        <v/>
      </c>
      <c r="O8" s="4">
        <f>IF(O7=0,0,SUMIFS(Accounts!$L:$L,Accounts!$E:$E,'AccountSummary (New)'!O$1,Accounts!$G:$G,'AccountSummary (New)'!O$2,Accounts!$F:$F,'AccountSummary (New)'!O$3,Accounts!$W:$W,1)/O7)</f>
        <v/>
      </c>
      <c r="P8" s="5">
        <f>IF(P7=0,0,SUMIFS(Accounts!$L:$L,Accounts!$F:$F,'AccountSummary (New)'!P$3,Accounts!$W:$W,1)/P7)</f>
        <v/>
      </c>
      <c r="Q8" s="4">
        <f>IF(Q7=0,0,SUMIFS(Accounts!$L:$L,Accounts!$E:$E,'AccountSummary (New)'!Q$1,Accounts!$G:$G,'AccountSummary (New)'!Q$2,Accounts!$F:$F,'AccountSummary (New)'!Q$3,Accounts!$W:$W,1)/Q7)</f>
        <v/>
      </c>
      <c r="R8" s="4">
        <f>IF(R7=0,0,SUMIFS(Accounts!$L:$L,Accounts!$E:$E,'AccountSummary (New)'!R$1,Accounts!$G:$G,'AccountSummary (New)'!R$2,Accounts!$F:$F,'AccountSummary (New)'!R$3,Accounts!$W:$W,1)/R7)</f>
        <v/>
      </c>
      <c r="S8" s="4">
        <f>IF(S7=0,0,SUMIFS(Accounts!$L:$L,Accounts!$E:$E,'AccountSummary (New)'!S$1,Accounts!$G:$G,'AccountSummary (New)'!S$2,Accounts!$F:$F,'AccountSummary (New)'!S$3,Accounts!$W:$W,1)/S7)</f>
        <v/>
      </c>
      <c r="T8" s="4">
        <f>IF(T7=0,0,SUMIFS(Accounts!$L:$L,Accounts!$E:$E,'AccountSummary (New)'!T$1,Accounts!$G:$G,'AccountSummary (New)'!T$2,Accounts!$F:$F,'AccountSummary (New)'!T$3,Accounts!$W:$W,1)/T7)</f>
        <v/>
      </c>
      <c r="U8" s="4">
        <f>IF(U7=0,0,SUMIFS(Accounts!$L:$L,Accounts!$E:$E,'AccountSummary (New)'!U$1,Accounts!$G:$G,'AccountSummary (New)'!U$2,Accounts!$F:$F,'AccountSummary (New)'!U$3,Accounts!$W:$W,1)/U7)</f>
        <v/>
      </c>
      <c r="V8" s="4">
        <f>IF(V7=0,0,SUMIFS(Accounts!$L:$L,Accounts!$E:$E,'AccountSummary (New)'!V$1,Accounts!$G:$G,'AccountSummary (New)'!V$2,Accounts!$F:$F,'AccountSummary (New)'!V$3,Accounts!$W:$W,1)/V7)</f>
        <v/>
      </c>
      <c r="W8" s="5">
        <f>IF(W7=0,0,SUMIFS(Accounts!$L:$L,Accounts!$F:$F,'AccountSummary (New)'!W$3,Accounts!$W:$W,1)/W7)</f>
        <v/>
      </c>
    </row>
    <row r="9">
      <c r="A9" s="2" t="inlineStr">
        <is>
          <t>Users per Account</t>
        </is>
      </c>
      <c r="B9" s="13">
        <f>IF(B7=0,0,SUMIFS(Accounts!$M:$M,Accounts!$W:$W,1)/B7)</f>
        <v/>
      </c>
      <c r="C9" s="4">
        <f>IF(C7=0,0,SUMIFS(Accounts!$M:$M,Accounts!$E:$E,'AccountSummary (New)'!C$1,Accounts!$G:$G,'AccountSummary (New)'!C$2,Accounts!$F:$F,'AccountSummary (New)'!C$3,Accounts!$W:$W,1)/C7)</f>
        <v/>
      </c>
      <c r="D9" s="4">
        <f>IF(D7=0,0,SUMIFS(Accounts!$M:$M,Accounts!$E:$E,'AccountSummary (New)'!D$1,Accounts!$G:$G,'AccountSummary (New)'!D$2,Accounts!$F:$F,'AccountSummary (New)'!D$3,Accounts!$W:$W,1)/D7)</f>
        <v/>
      </c>
      <c r="E9" s="4">
        <f>IF(E7=0,0,SUMIFS(Accounts!$M:$M,Accounts!$E:$E,'AccountSummary (New)'!E$1,Accounts!$G:$G,'AccountSummary (New)'!E$2,Accounts!$F:$F,'AccountSummary (New)'!E$3,Accounts!$W:$W,1)/E7)</f>
        <v/>
      </c>
      <c r="F9" s="4">
        <f>IF(F7=0,0,SUMIFS(Accounts!$M:$M,Accounts!$E:$E,'AccountSummary (New)'!F$1,Accounts!$G:$G,'AccountSummary (New)'!F$2,Accounts!$F:$F,'AccountSummary (New)'!F$3,Accounts!$W:$W,1)/F7)</f>
        <v/>
      </c>
      <c r="G9" s="4">
        <f>IF(G7=0,0,SUMIFS(Accounts!$M:$M,Accounts!$E:$E,'AccountSummary (New)'!G$1,Accounts!$G:$G,'AccountSummary (New)'!G$2,Accounts!$F:$F,'AccountSummary (New)'!G$3,Accounts!$W:$W,1)/G7)</f>
        <v/>
      </c>
      <c r="H9" s="4">
        <f>IF(H7=0,0,SUMIFS(Accounts!$M:$M,Accounts!$E:$E,'AccountSummary (New)'!H$1,Accounts!$G:$G,'AccountSummary (New)'!H$2,Accounts!$F:$F,'AccountSummary (New)'!H$3,Accounts!$W:$W,1)/H7)</f>
        <v/>
      </c>
      <c r="I9" s="5">
        <f>IF(I7=0,0,SUMIFS(Accounts!$M:$M,Accounts!$F:$F,'AccountSummary (New)'!I$3,Accounts!$W:$W,1)/I7)</f>
        <v/>
      </c>
      <c r="J9" s="4">
        <f>IF(J7=0,0,SUMIFS(Accounts!$M:$M,Accounts!$E:$E,'AccountSummary (New)'!J$1,Accounts!$G:$G,'AccountSummary (New)'!J$2,Accounts!$F:$F,'AccountSummary (New)'!J$3,Accounts!$W:$W,1)/J7)</f>
        <v/>
      </c>
      <c r="K9" s="4">
        <f>IF(K7=0,0,SUMIFS(Accounts!$M:$M,Accounts!$E:$E,'AccountSummary (New)'!K$1,Accounts!$G:$G,'AccountSummary (New)'!K$2,Accounts!$F:$F,'AccountSummary (New)'!K$3,Accounts!$W:$W,1)/K7)</f>
        <v/>
      </c>
      <c r="L9" s="4">
        <f>IF(L7=0,0,SUMIFS(Accounts!$M:$M,Accounts!$E:$E,'AccountSummary (New)'!L$1,Accounts!$G:$G,'AccountSummary (New)'!L$2,Accounts!$F:$F,'AccountSummary (New)'!L$3,Accounts!$W:$W,1)/L7)</f>
        <v/>
      </c>
      <c r="M9" s="4">
        <f>IF(M7=0,0,SUMIFS(Accounts!$M:$M,Accounts!$E:$E,'AccountSummary (New)'!M$1,Accounts!$G:$G,'AccountSummary (New)'!M$2,Accounts!$F:$F,'AccountSummary (New)'!M$3,Accounts!$W:$W,1)/M7)</f>
        <v/>
      </c>
      <c r="N9" s="4">
        <f>IF(N7=0,0,SUMIFS(Accounts!$M:$M,Accounts!$E:$E,'AccountSummary (New)'!N$1,Accounts!$G:$G,'AccountSummary (New)'!N$2,Accounts!$F:$F,'AccountSummary (New)'!N$3,Accounts!$W:$W,1)/N7)</f>
        <v/>
      </c>
      <c r="O9" s="4">
        <f>IF(O7=0,0,SUMIFS(Accounts!$M:$M,Accounts!$E:$E,'AccountSummary (New)'!O$1,Accounts!$G:$G,'AccountSummary (New)'!O$2,Accounts!$F:$F,'AccountSummary (New)'!O$3,Accounts!$W:$W,1)/O7)</f>
        <v/>
      </c>
      <c r="P9" s="5">
        <f>IF(P7=0,0,SUMIFS(Accounts!$M:$M,Accounts!$F:$F,'AccountSummary (New)'!P$3,Accounts!$W:$W,1)/P7)</f>
        <v/>
      </c>
      <c r="Q9" s="4">
        <f>IF(Q7=0,0,SUMIFS(Accounts!$M:$M,Accounts!$E:$E,'AccountSummary (New)'!Q$1,Accounts!$G:$G,'AccountSummary (New)'!Q$2,Accounts!$F:$F,'AccountSummary (New)'!Q$3,Accounts!$W:$W,1)/Q7)</f>
        <v/>
      </c>
      <c r="R9" s="4">
        <f>IF(R7=0,0,SUMIFS(Accounts!$M:$M,Accounts!$E:$E,'AccountSummary (New)'!R$1,Accounts!$G:$G,'AccountSummary (New)'!R$2,Accounts!$F:$F,'AccountSummary (New)'!R$3,Accounts!$W:$W,1)/R7)</f>
        <v/>
      </c>
      <c r="S9" s="4">
        <f>IF(S7=0,0,SUMIFS(Accounts!$M:$M,Accounts!$E:$E,'AccountSummary (New)'!S$1,Accounts!$G:$G,'AccountSummary (New)'!S$2,Accounts!$F:$F,'AccountSummary (New)'!S$3,Accounts!$W:$W,1)/S7)</f>
        <v/>
      </c>
      <c r="T9" s="4">
        <f>IF(T7=0,0,SUMIFS(Accounts!$M:$M,Accounts!$E:$E,'AccountSummary (New)'!T$1,Accounts!$G:$G,'AccountSummary (New)'!T$2,Accounts!$F:$F,'AccountSummary (New)'!T$3,Accounts!$W:$W,1)/T7)</f>
        <v/>
      </c>
      <c r="U9" s="4">
        <f>IF(U7=0,0,SUMIFS(Accounts!$M:$M,Accounts!$E:$E,'AccountSummary (New)'!U$1,Accounts!$G:$G,'AccountSummary (New)'!U$2,Accounts!$F:$F,'AccountSummary (New)'!U$3,Accounts!$W:$W,1)/U7)</f>
        <v/>
      </c>
      <c r="V9" s="4">
        <f>IF(V7=0,0,SUMIFS(Accounts!$M:$M,Accounts!$E:$E,'AccountSummary (New)'!V$1,Accounts!$G:$G,'AccountSummary (New)'!V$2,Accounts!$F:$F,'AccountSummary (New)'!V$3,Accounts!$W:$W,1)/V7)</f>
        <v/>
      </c>
      <c r="W9" s="5">
        <f>IF(W7=0,0,SUMIFS(Accounts!$M:$M,Accounts!$F:$F,'AccountSummary (New)'!W$3,Accounts!$W:$W,1)/W7)</f>
        <v/>
      </c>
    </row>
    <row r="10">
      <c r="A10" s="1" t="inlineStr">
        <is>
          <t>ARPC First Invoice</t>
        </is>
      </c>
      <c r="B10" s="65">
        <f>IF(B7=0,0,B11/B7)</f>
        <v/>
      </c>
      <c r="C10" s="66">
        <f>IF(C7=0,0,C11/C7)</f>
        <v/>
      </c>
      <c r="D10" s="66">
        <f>IF(D7=0,0,D11/D7)</f>
        <v/>
      </c>
      <c r="E10" s="66">
        <f>IF(E7=0,0,E11/E7)</f>
        <v/>
      </c>
      <c r="F10" s="66">
        <f>IF(F7=0,0,F11/F7)</f>
        <v/>
      </c>
      <c r="G10" s="66">
        <f>IF(G7=0,0,G11/G7)</f>
        <v/>
      </c>
      <c r="H10" s="66">
        <f>IF(H7=0,0,H11/H7)</f>
        <v/>
      </c>
      <c r="I10" s="67">
        <f>IF(I7=0,0,I11/I7)</f>
        <v/>
      </c>
      <c r="J10" s="66">
        <f>IF(J7=0,0,J11/J7)</f>
        <v/>
      </c>
      <c r="K10" s="66">
        <f>IF(K7=0,0,K11/K7)</f>
        <v/>
      </c>
      <c r="L10" s="66">
        <f>IF(L7=0,0,L11/L7)</f>
        <v/>
      </c>
      <c r="M10" s="66">
        <f>IF(M7=0,0,M11/M7)</f>
        <v/>
      </c>
      <c r="N10" s="66">
        <f>IF(N7=0,0,N11/N7)</f>
        <v/>
      </c>
      <c r="O10" s="66">
        <f>IF(O7=0,0,O11/O7)</f>
        <v/>
      </c>
      <c r="P10" s="67">
        <f>IF(P7=0,0,P11/P7)</f>
        <v/>
      </c>
      <c r="Q10" s="66">
        <f>IF(Q7=0,0,Q11/Q7)</f>
        <v/>
      </c>
      <c r="R10" s="66">
        <f>IF(R7=0,0,R11/R7)</f>
        <v/>
      </c>
      <c r="S10" s="66">
        <f>IF(S7=0,0,S11/S7)</f>
        <v/>
      </c>
      <c r="T10" s="66">
        <f>IF(T7=0,0,T11/T7)</f>
        <v/>
      </c>
      <c r="U10" s="66">
        <f>IF(U7=0,0,U11/U7)</f>
        <v/>
      </c>
      <c r="V10" s="66">
        <f>IF(V7=0,0,V11/V7)</f>
        <v/>
      </c>
      <c r="W10" s="67">
        <f>IF(W7=0,0,W11/W7)</f>
        <v/>
      </c>
    </row>
    <row r="11">
      <c r="A11" s="7" t="inlineStr">
        <is>
          <t>Total SaaS from Trialers</t>
        </is>
      </c>
      <c r="B11" s="65">
        <f>I11+P11+W11</f>
        <v/>
      </c>
      <c r="C11" s="66">
        <f>SUMIFS(Accounts!$I:$I,Accounts!$E:$E,'AccountSummary (New)'!C$1,Accounts!$G:$G,'AccountSummary (New)'!C$2,Accounts!$F:$F,'AccountSummary (New)'!C$3,Accounts!$W:$W,1)</f>
        <v/>
      </c>
      <c r="D11" s="66">
        <f>SUMIFS(Accounts!$I:$I,Accounts!$E:$E,'AccountSummary (New)'!D$1,Accounts!$G:$G,'AccountSummary (New)'!D$2,Accounts!$F:$F,'AccountSummary (New)'!D$3,Accounts!$W:$W,1)</f>
        <v/>
      </c>
      <c r="E11" s="66">
        <f>SUMIFS(Accounts!$I:$I,Accounts!$E:$E,'AccountSummary (New)'!E$1,Accounts!$G:$G,'AccountSummary (New)'!E$2,Accounts!$F:$F,'AccountSummary (New)'!E$3,Accounts!$W:$W,1)</f>
        <v/>
      </c>
      <c r="F11" s="66">
        <f>SUMIFS(Accounts!$I:$I,Accounts!$E:$E,'AccountSummary (New)'!F$1,Accounts!$G:$G,'AccountSummary (New)'!F$2,Accounts!$F:$F,'AccountSummary (New)'!F$3,Accounts!$W:$W,1)</f>
        <v/>
      </c>
      <c r="G11" s="66">
        <f>SUMIFS(Accounts!$I:$I,Accounts!$E:$E,'AccountSummary (New)'!G$1,Accounts!$G:$G,'AccountSummary (New)'!G$2,Accounts!$F:$F,'AccountSummary (New)'!G$3,Accounts!$W:$W,1)</f>
        <v/>
      </c>
      <c r="H11" s="66">
        <f>SUMIFS(Accounts!$I:$I,Accounts!$E:$E,'AccountSummary (New)'!H$1,Accounts!$G:$G,'AccountSummary (New)'!H$2,Accounts!$F:$F,'AccountSummary (New)'!H$3,Accounts!$W:$W,1)</f>
        <v/>
      </c>
      <c r="I11" s="67">
        <f>SUM(C11:F11)</f>
        <v/>
      </c>
      <c r="J11" s="66">
        <f>SUMIFS(Accounts!$I:$I,Accounts!$E:$E,'AccountSummary (New)'!J$1,Accounts!$G:$G,'AccountSummary (New)'!J$2,Accounts!$F:$F,'AccountSummary (New)'!J$3,Accounts!$W:$W,1)</f>
        <v/>
      </c>
      <c r="K11" s="66">
        <f>SUMIFS(Accounts!$I:$I,Accounts!$E:$E,'AccountSummary (New)'!K$1,Accounts!$G:$G,'AccountSummary (New)'!K$2,Accounts!$F:$F,'AccountSummary (New)'!K$3,Accounts!$W:$W,1)</f>
        <v/>
      </c>
      <c r="L11" s="66">
        <f>SUMIFS(Accounts!$I:$I,Accounts!$E:$E,'AccountSummary (New)'!L$1,Accounts!$G:$G,'AccountSummary (New)'!L$2,Accounts!$F:$F,'AccountSummary (New)'!L$3,Accounts!$W:$W,1)</f>
        <v/>
      </c>
      <c r="M11" s="66">
        <f>SUMIFS(Accounts!$I:$I,Accounts!$E:$E,'AccountSummary (New)'!M$1,Accounts!$G:$G,'AccountSummary (New)'!M$2,Accounts!$F:$F,'AccountSummary (New)'!M$3,Accounts!$W:$W,1)</f>
        <v/>
      </c>
      <c r="N11" s="66">
        <f>SUMIFS(Accounts!$I:$I,Accounts!$E:$E,'AccountSummary (New)'!N$1,Accounts!$G:$G,'AccountSummary (New)'!N$2,Accounts!$F:$F,'AccountSummary (New)'!N$3,Accounts!$W:$W,1)</f>
        <v/>
      </c>
      <c r="O11" s="66">
        <f>SUMIFS(Accounts!$I:$I,Accounts!$E:$E,'AccountSummary (New)'!O$1,Accounts!$G:$G,'AccountSummary (New)'!O$2,Accounts!$F:$F,'AccountSummary (New)'!O$3,Accounts!$W:$W,1)</f>
        <v/>
      </c>
      <c r="P11" s="67">
        <f>SUM(J11:M11)</f>
        <v/>
      </c>
      <c r="Q11" s="66">
        <f>SUMIFS(Accounts!$I:$I,Accounts!$E:$E,'AccountSummary (New)'!Q$1,Accounts!$G:$G,'AccountSummary (New)'!Q$2,Accounts!$F:$F,'AccountSummary (New)'!Q$3,Accounts!$W:$W,1)</f>
        <v/>
      </c>
      <c r="R11" s="66">
        <f>SUMIFS(Accounts!$I:$I,Accounts!$E:$E,'AccountSummary (New)'!R$1,Accounts!$G:$G,'AccountSummary (New)'!R$2,Accounts!$F:$F,'AccountSummary (New)'!R$3,Accounts!$W:$W,1)</f>
        <v/>
      </c>
      <c r="S11" s="66">
        <f>SUMIFS(Accounts!$I:$I,Accounts!$E:$E,'AccountSummary (New)'!S$1,Accounts!$G:$G,'AccountSummary (New)'!S$2,Accounts!$F:$F,'AccountSummary (New)'!S$3,Accounts!$W:$W,1)</f>
        <v/>
      </c>
      <c r="T11" s="66">
        <f>SUMIFS(Accounts!$I:$I,Accounts!$E:$E,'AccountSummary (New)'!T$1,Accounts!$G:$G,'AccountSummary (New)'!T$2,Accounts!$F:$F,'AccountSummary (New)'!T$3,Accounts!$W:$W,1)</f>
        <v/>
      </c>
      <c r="U11" s="66">
        <f>SUMIFS(Accounts!$I:$I,Accounts!$E:$E,'AccountSummary (New)'!U$1,Accounts!$G:$G,'AccountSummary (New)'!U$2,Accounts!$F:$F,'AccountSummary (New)'!U$3,Accounts!$W:$W,1)</f>
        <v/>
      </c>
      <c r="V11" s="66">
        <f>SUMIFS(Accounts!$I:$I,Accounts!$E:$E,'AccountSummary (New)'!V$1,Accounts!$G:$G,'AccountSummary (New)'!V$2,Accounts!$F:$F,'AccountSummary (New)'!V$3,Accounts!$W:$W,1)</f>
        <v/>
      </c>
      <c r="W11" s="67">
        <f>SUM(Q11:V11)</f>
        <v/>
      </c>
    </row>
    <row r="12">
      <c r="A12" s="7" t="n"/>
      <c r="B12" s="9" t="n"/>
    </row>
    <row r="13">
      <c r="A13" s="1" t="inlineStr">
        <is>
          <t>Trialers Lost in month they paid</t>
        </is>
      </c>
      <c r="B13" s="9" t="n"/>
    </row>
    <row r="14">
      <c r="A14" s="1" t="inlineStr">
        <is>
          <t>% who cancel</t>
        </is>
      </c>
      <c r="B14" s="11">
        <f>IF(B7=0,0,B15/B7)</f>
        <v/>
      </c>
      <c r="C14" s="8">
        <f>IF(C7=0,0,C15/C7)</f>
        <v/>
      </c>
      <c r="D14" s="8">
        <f>IF(D7=0,0,D15/D7)</f>
        <v/>
      </c>
      <c r="E14" s="8">
        <f>IF(E7=0,0,E15/E7)</f>
        <v/>
      </c>
      <c r="F14" s="8">
        <f>IF(F7=0,0,F15/F7)</f>
        <v/>
      </c>
      <c r="G14" s="8">
        <f>IF(G7=0,0,G15/G7)</f>
        <v/>
      </c>
      <c r="H14" s="8">
        <f>IF(H7=0,0,H15/H7)</f>
        <v/>
      </c>
      <c r="I14" s="20">
        <f>IF(I7=0,0,I15/I7)</f>
        <v/>
      </c>
      <c r="J14" s="8">
        <f>IF(J7=0,0,J15/J7)</f>
        <v/>
      </c>
      <c r="K14" s="8">
        <f>IF(K7=0,0,K15/K7)</f>
        <v/>
      </c>
      <c r="L14" s="8">
        <f>IF(L7=0,0,L15/L7)</f>
        <v/>
      </c>
      <c r="M14" s="8">
        <f>IF(M7=0,0,M15/M7)</f>
        <v/>
      </c>
      <c r="N14" s="8">
        <f>IF(N7=0,0,N15/N7)</f>
        <v/>
      </c>
      <c r="O14" s="8">
        <f>IF(O7=0,0,O15/O7)</f>
        <v/>
      </c>
      <c r="P14" s="20">
        <f>IF(P7=0,0,P15/P7)</f>
        <v/>
      </c>
      <c r="Q14" s="8">
        <f>IF(Q7=0,0,Q15/Q7)</f>
        <v/>
      </c>
      <c r="R14" s="8">
        <f>IF(R7=0,0,R15/R7)</f>
        <v/>
      </c>
      <c r="S14" s="8">
        <f>IF(S7=0,0,S15/S7)</f>
        <v/>
      </c>
      <c r="T14" s="8">
        <f>IF(T7=0,0,T15/T7)</f>
        <v/>
      </c>
      <c r="U14" s="8">
        <f>IF(U7=0,0,U15/U7)</f>
        <v/>
      </c>
      <c r="V14" s="8">
        <f>IF(V7=0,0,V15/V7)</f>
        <v/>
      </c>
      <c r="W14" s="20">
        <f>IF(W7=0,0,W15/W7)</f>
        <v/>
      </c>
    </row>
    <row r="15">
      <c r="A15" s="1" t="inlineStr">
        <is>
          <t>Paid but cancelled before EOM</t>
        </is>
      </c>
      <c r="B15" s="9">
        <f>I15+P15+W15</f>
        <v/>
      </c>
      <c r="C15">
        <f>COUNTIFS(Accounts!$E:$E,'AccountSummary (New)'!C$1,Accounts!$G:$G,'AccountSummary (New)'!C$2,Accounts!$F:$F,'AccountSummary (New)'!C$3,Accounts!$W:$W,1,Accounts!$C:$C,"Lost")</f>
        <v/>
      </c>
      <c r="D15">
        <f>COUNTIFS(Accounts!$E:$E,'AccountSummary (New)'!D$1,Accounts!$G:$G,'AccountSummary (New)'!D$2,Accounts!$F:$F,'AccountSummary (New)'!D$3,Accounts!$W:$W,1,Accounts!$C:$C,"Lost")</f>
        <v/>
      </c>
      <c r="E15">
        <f>COUNTIFS(Accounts!$E:$E,'AccountSummary (New)'!E$1,Accounts!$G:$G,'AccountSummary (New)'!E$2,Accounts!$F:$F,'AccountSummary (New)'!E$3,Accounts!$W:$W,1,Accounts!$C:$C,"Lost")</f>
        <v/>
      </c>
      <c r="F15">
        <f>COUNTIFS(Accounts!$E:$E,'AccountSummary (New)'!F$1,Accounts!$G:$G,'AccountSummary (New)'!F$2,Accounts!$F:$F,'AccountSummary (New)'!F$3,Accounts!$W:$W,1,Accounts!$C:$C,"Lost")</f>
        <v/>
      </c>
      <c r="G15">
        <f>COUNTIFS(Accounts!$E:$E,'AccountSummary (New)'!G$1,Accounts!$G:$G,'AccountSummary (New)'!G$2,Accounts!$F:$F,'AccountSummary (New)'!G$3,Accounts!$W:$W,1,Accounts!$C:$C,"Lost")</f>
        <v/>
      </c>
      <c r="H15">
        <f>COUNTIFS(Accounts!$E:$E,'AccountSummary (New)'!H$1,Accounts!$G:$G,'AccountSummary (New)'!H$2,Accounts!$F:$F,'AccountSummary (New)'!H$3,Accounts!$W:$W,1,Accounts!$C:$C,"Lost")</f>
        <v/>
      </c>
      <c r="I15" s="15">
        <f>SUM(C15:H15)</f>
        <v/>
      </c>
      <c r="J15">
        <f>COUNTIFS(Accounts!$E:$E,'AccountSummary (New)'!J$1,Accounts!$G:$G,'AccountSummary (New)'!J$2,Accounts!$F:$F,'AccountSummary (New)'!J$3,Accounts!$W:$W,1,Accounts!$C:$C,"Lost")</f>
        <v/>
      </c>
      <c r="K15">
        <f>COUNTIFS(Accounts!$E:$E,'AccountSummary (New)'!K$1,Accounts!$G:$G,'AccountSummary (New)'!K$2,Accounts!$F:$F,'AccountSummary (New)'!K$3,Accounts!$W:$W,1,Accounts!$C:$C,"Lost")</f>
        <v/>
      </c>
      <c r="L15">
        <f>COUNTIFS(Accounts!$E:$E,'AccountSummary (New)'!L$1,Accounts!$G:$G,'AccountSummary (New)'!L$2,Accounts!$F:$F,'AccountSummary (New)'!L$3,Accounts!$W:$W,1,Accounts!$C:$C,"Lost")</f>
        <v/>
      </c>
      <c r="M15">
        <f>COUNTIFS(Accounts!$E:$E,'AccountSummary (New)'!M$1,Accounts!$G:$G,'AccountSummary (New)'!M$2,Accounts!$F:$F,'AccountSummary (New)'!M$3,Accounts!$W:$W,1,Accounts!$C:$C,"Lost")</f>
        <v/>
      </c>
      <c r="N15">
        <f>COUNTIFS(Accounts!$E:$E,'AccountSummary (New)'!N$1,Accounts!$G:$G,'AccountSummary (New)'!N$2,Accounts!$F:$F,'AccountSummary (New)'!N$3,Accounts!$W:$W,1,Accounts!$C:$C,"Lost")</f>
        <v/>
      </c>
      <c r="O15">
        <f>COUNTIFS(Accounts!$E:$E,'AccountSummary (New)'!O$1,Accounts!$G:$G,'AccountSummary (New)'!O$2,Accounts!$F:$F,'AccountSummary (New)'!O$3,Accounts!$W:$W,1,Accounts!$C:$C,"Lost")</f>
        <v/>
      </c>
      <c r="P15" s="15">
        <f>SUM(J15:O15)</f>
        <v/>
      </c>
      <c r="Q15">
        <f>COUNTIFS(Accounts!$E:$E,'AccountSummary (New)'!Q$1,Accounts!$G:$G,'AccountSummary (New)'!Q$2,Accounts!$F:$F,'AccountSummary (New)'!Q$3,Accounts!$W:$W,1,Accounts!$C:$C,"Lost")</f>
        <v/>
      </c>
      <c r="R15">
        <f>COUNTIFS(Accounts!$E:$E,'AccountSummary (New)'!R$1,Accounts!$G:$G,'AccountSummary (New)'!R$2,Accounts!$F:$F,'AccountSummary (New)'!R$3,Accounts!$W:$W,1,Accounts!$C:$C,"Lost")</f>
        <v/>
      </c>
      <c r="S15">
        <f>COUNTIFS(Accounts!$E:$E,'AccountSummary (New)'!S$1,Accounts!$G:$G,'AccountSummary (New)'!S$2,Accounts!$F:$F,'AccountSummary (New)'!S$3,Accounts!$W:$W,1,Accounts!$C:$C,"Lost")</f>
        <v/>
      </c>
      <c r="T15">
        <f>COUNTIFS(Accounts!$E:$E,'AccountSummary (New)'!T$1,Accounts!$G:$G,'AccountSummary (New)'!T$2,Accounts!$F:$F,'AccountSummary (New)'!T$3,Accounts!$W:$W,1,Accounts!$C:$C,"Lost")</f>
        <v/>
      </c>
      <c r="U15">
        <f>COUNTIFS(Accounts!$E:$E,'AccountSummary (New)'!U$1,Accounts!$G:$G,'AccountSummary (New)'!U$2,Accounts!$F:$F,'AccountSummary (New)'!U$3,Accounts!$W:$W,1,Accounts!$C:$C,"Lost")</f>
        <v/>
      </c>
      <c r="V15">
        <f>COUNTIFS(Accounts!$E:$E,'AccountSummary (New)'!V$1,Accounts!$G:$G,'AccountSummary (New)'!V$2,Accounts!$F:$F,'AccountSummary (New)'!V$3,Accounts!$W:$W,1,Accounts!$C:$C,"Lost")</f>
        <v/>
      </c>
      <c r="W15" s="15">
        <f>SUM(Q15:V15)</f>
        <v/>
      </c>
    </row>
    <row r="16">
      <c r="A16" s="1" t="inlineStr">
        <is>
          <t>Net: Paid, retained EOM</t>
        </is>
      </c>
      <c r="B16" s="9">
        <f>I16+P16+W16</f>
        <v/>
      </c>
      <c r="C16">
        <f>C7-C15</f>
        <v/>
      </c>
      <c r="D16">
        <f>D7-D15</f>
        <v/>
      </c>
      <c r="E16">
        <f>E7-E15</f>
        <v/>
      </c>
      <c r="F16">
        <f>F7-F15</f>
        <v/>
      </c>
      <c r="G16">
        <f>G7-G15</f>
        <v/>
      </c>
      <c r="H16">
        <f>H7-H15</f>
        <v/>
      </c>
      <c r="I16" s="15">
        <f>SUM(C16:H16)</f>
        <v/>
      </c>
      <c r="J16">
        <f>J7-J15</f>
        <v/>
      </c>
      <c r="K16">
        <f>K7-K15</f>
        <v/>
      </c>
      <c r="L16">
        <f>L7-L15</f>
        <v/>
      </c>
      <c r="M16">
        <f>M7-M15</f>
        <v/>
      </c>
      <c r="N16">
        <f>N7-N15</f>
        <v/>
      </c>
      <c r="O16">
        <f>O7-O15</f>
        <v/>
      </c>
      <c r="P16" s="15">
        <f>SUM(J16:O16)</f>
        <v/>
      </c>
      <c r="Q16">
        <f>Q7-Q15</f>
        <v/>
      </c>
      <c r="R16">
        <f>R7-R15</f>
        <v/>
      </c>
      <c r="S16">
        <f>S7-S15</f>
        <v/>
      </c>
      <c r="T16">
        <f>T7-T15</f>
        <v/>
      </c>
      <c r="U16">
        <f>U7-U15</f>
        <v/>
      </c>
      <c r="V16">
        <f>V7-V15</f>
        <v/>
      </c>
      <c r="W16" s="15">
        <f>SUM(Q16:V16)</f>
        <v/>
      </c>
    </row>
    <row r="17">
      <c r="A17" s="1" t="n"/>
      <c r="B17" s="9" t="n"/>
    </row>
    <row r="18">
      <c r="A18" s="1" t="inlineStr">
        <is>
          <t>*Paying Customers*</t>
        </is>
      </c>
      <c r="B18" s="9" t="n"/>
    </row>
    <row r="19">
      <c r="A19" s="1" t="inlineStr">
        <is>
          <t>Starting Count BOM</t>
        </is>
      </c>
      <c r="B19" s="9">
        <f>I19+P19+W19</f>
        <v/>
      </c>
      <c r="C19">
        <f>COUNTIFS(Accounts!$E:$E,'AccountSummary (New)'!C$1,Accounts!$G:$G,'AccountSummary (New)'!C$2,Accounts!$F:$F,'AccountSummary (New)'!C$3,Accounts!$B:$B,"Customer")</f>
        <v/>
      </c>
      <c r="D19">
        <f>COUNTIFS(Accounts!$E:$E,'AccountSummary (New)'!D$1,Accounts!$G:$G,'AccountSummary (New)'!D$2,Accounts!$F:$F,'AccountSummary (New)'!D$3,Accounts!$B:$B,"Customer")</f>
        <v/>
      </c>
      <c r="E19">
        <f>COUNTIFS(Accounts!$E:$E,'AccountSummary (New)'!E$1,Accounts!$G:$G,'AccountSummary (New)'!E$2,Accounts!$F:$F,'AccountSummary (New)'!E$3,Accounts!$B:$B,"Customer")</f>
        <v/>
      </c>
      <c r="F19">
        <f>COUNTIFS(Accounts!$E:$E,'AccountSummary (New)'!F$1,Accounts!$G:$G,'AccountSummary (New)'!F$2,Accounts!$F:$F,'AccountSummary (New)'!F$3,Accounts!$B:$B,"Customer")</f>
        <v/>
      </c>
      <c r="G19">
        <f>COUNTIFS(Accounts!$E:$E,'AccountSummary (New)'!G$1,Accounts!$G:$G,'AccountSummary (New)'!G$2,Accounts!$F:$F,'AccountSummary (New)'!G$3,Accounts!$B:$B,"Customer")</f>
        <v/>
      </c>
      <c r="H19">
        <f>COUNTIFS(Accounts!$E:$E,'AccountSummary (New)'!H$1,Accounts!$G:$G,'AccountSummary (New)'!H$2,Accounts!$F:$F,'AccountSummary (New)'!H$3,Accounts!$B:$B,"Customer")</f>
        <v/>
      </c>
      <c r="I19" s="15">
        <f>SUM(C19:H19)</f>
        <v/>
      </c>
      <c r="J19">
        <f>COUNTIFS(Accounts!$E:$E,'AccountSummary (New)'!J$1,Accounts!$G:$G,'AccountSummary (New)'!J$2,Accounts!$F:$F,'AccountSummary (New)'!J$3,Accounts!$B:$B,"Customer")</f>
        <v/>
      </c>
      <c r="K19">
        <f>COUNTIFS(Accounts!$E:$E,'AccountSummary (New)'!K$1,Accounts!$G:$G,'AccountSummary (New)'!K$2,Accounts!$F:$F,'AccountSummary (New)'!K$3,Accounts!$B:$B,"Customer")</f>
        <v/>
      </c>
      <c r="L19">
        <f>COUNTIFS(Accounts!$E:$E,'AccountSummary (New)'!L$1,Accounts!$G:$G,'AccountSummary (New)'!L$2,Accounts!$F:$F,'AccountSummary (New)'!L$3,Accounts!$B:$B,"Customer")</f>
        <v/>
      </c>
      <c r="M19">
        <f>COUNTIFS(Accounts!$E:$E,'AccountSummary (New)'!M$1,Accounts!$G:$G,'AccountSummary (New)'!M$2,Accounts!$F:$F,'AccountSummary (New)'!M$3,Accounts!$B:$B,"Customer")</f>
        <v/>
      </c>
      <c r="N19">
        <f>COUNTIFS(Accounts!$E:$E,'AccountSummary (New)'!N$1,Accounts!$G:$G,'AccountSummary (New)'!N$2,Accounts!$F:$F,'AccountSummary (New)'!N$3,Accounts!$B:$B,"Customer")</f>
        <v/>
      </c>
      <c r="O19">
        <f>COUNTIFS(Accounts!$E:$E,'AccountSummary (New)'!O$1,Accounts!$G:$G,'AccountSummary (New)'!O$2,Accounts!$F:$F,'AccountSummary (New)'!O$3,Accounts!$B:$B,"Customer")</f>
        <v/>
      </c>
      <c r="P19" s="15">
        <f>SUM(J19:O19)</f>
        <v/>
      </c>
      <c r="Q19">
        <f>COUNTIFS(Accounts!$E:$E,'AccountSummary (New)'!Q$1,Accounts!$G:$G,'AccountSummary (New)'!Q$2,Accounts!$F:$F,'AccountSummary (New)'!Q$3,Accounts!$B:$B,"Customer")</f>
        <v/>
      </c>
      <c r="R19">
        <f>COUNTIFS(Accounts!$E:$E,'AccountSummary (New)'!R$1,Accounts!$G:$G,'AccountSummary (New)'!R$2,Accounts!$F:$F,'AccountSummary (New)'!R$3,Accounts!$B:$B,"Customer")</f>
        <v/>
      </c>
      <c r="S19">
        <f>COUNTIFS(Accounts!$E:$E,'AccountSummary (New)'!S$1,Accounts!$G:$G,'AccountSummary (New)'!S$2,Accounts!$F:$F,'AccountSummary (New)'!S$3,Accounts!$B:$B,"Customer")</f>
        <v/>
      </c>
      <c r="T19">
        <f>COUNTIFS(Accounts!$E:$E,'AccountSummary (New)'!T$1,Accounts!$G:$G,'AccountSummary (New)'!T$2,Accounts!$F:$F,'AccountSummary (New)'!T$3,Accounts!$B:$B,"Customer")</f>
        <v/>
      </c>
      <c r="U19">
        <f>COUNTIFS(Accounts!$E:$E,'AccountSummary (New)'!U$1,Accounts!$G:$G,'AccountSummary (New)'!U$2,Accounts!$F:$F,'AccountSummary (New)'!U$3,Accounts!$B:$B,"Customer")</f>
        <v/>
      </c>
      <c r="V19">
        <f>COUNTIFS(Accounts!$E:$E,'AccountSummary (New)'!V$1,Accounts!$G:$G,'AccountSummary (New)'!V$2,Accounts!$F:$F,'AccountSummary (New)'!V$3,Accounts!$B:$B,"Customer")</f>
        <v/>
      </c>
      <c r="W19" s="15">
        <f>SUM(Q19:V19)</f>
        <v/>
      </c>
    </row>
    <row r="20">
      <c r="A20" s="1" t="n"/>
      <c r="B20" s="9" t="n"/>
    </row>
    <row r="21">
      <c r="A21" s="1" t="inlineStr">
        <is>
          <t>0-30 day cohort as of BOM</t>
        </is>
      </c>
      <c r="B21" s="9" t="n"/>
    </row>
    <row r="22">
      <c r="A22" s="1" t="inlineStr">
        <is>
          <t xml:space="preserve">   Total % of Paying Customers</t>
        </is>
      </c>
      <c r="B22" s="11">
        <f>IF(B$19=0,0,(B24+B25)/B$19)</f>
        <v/>
      </c>
      <c r="C22" s="8">
        <f>IF(C$19=0,0,(C24+C25)/C$19)</f>
        <v/>
      </c>
      <c r="D22" s="8">
        <f>IF(D$19=0,0,(D24+D25)/D$19)</f>
        <v/>
      </c>
      <c r="E22" s="8">
        <f>IF(E$19=0,0,(E24+E25)/E$19)</f>
        <v/>
      </c>
      <c r="F22" s="8">
        <f>IF(F$19=0,0,(F24+F25)/F$19)</f>
        <v/>
      </c>
      <c r="G22" s="8">
        <f>IF(G$19=0,0,(G24+G25)/G$19)</f>
        <v/>
      </c>
      <c r="H22" s="8">
        <f>IF(H$19=0,0,(H24+H25)/H$19)</f>
        <v/>
      </c>
      <c r="I22" s="20">
        <f>IF(I$19=0,0,(I24+I25)/I$19)</f>
        <v/>
      </c>
      <c r="J22" s="8">
        <f>IF(J$19=0,0,(J24+J25)/J$19)</f>
        <v/>
      </c>
      <c r="K22" s="8">
        <f>IF(K$19=0,0,(K24+K25)/K$19)</f>
        <v/>
      </c>
      <c r="L22" s="8">
        <f>IF(L$19=0,0,(L24+L25)/L$19)</f>
        <v/>
      </c>
      <c r="M22" s="8">
        <f>IF(M$19=0,0,(M24+M25)/M$19)</f>
        <v/>
      </c>
      <c r="N22" s="8">
        <f>IF(N$19=0,0,(N24+N25)/N$19)</f>
        <v/>
      </c>
      <c r="O22" s="8">
        <f>IF(O$19=0,0,(O24+O25)/O$19)</f>
        <v/>
      </c>
      <c r="P22" s="20">
        <f>IF(P$19=0,0,(P24+P25)/P$19)</f>
        <v/>
      </c>
      <c r="Q22" s="8">
        <f>IF(Q$19=0,0,(Q24+Q25)/Q$19)</f>
        <v/>
      </c>
      <c r="R22" s="8">
        <f>IF(R$19=0,0,(R24+R25)/R$19)</f>
        <v/>
      </c>
      <c r="S22" s="8">
        <f>IF(S$19=0,0,(S24+S25)/S$19)</f>
        <v/>
      </c>
      <c r="T22" s="8">
        <f>IF(T$19=0,0,(T24+T25)/T$19)</f>
        <v/>
      </c>
      <c r="U22" s="8">
        <f>IF(U$19=0,0,(U24+U25)/U$19)</f>
        <v/>
      </c>
      <c r="V22" s="8">
        <f>IF(V$19=0,0,(V24+V25)/V$19)</f>
        <v/>
      </c>
      <c r="W22" s="20">
        <f>IF(W$19=0,0,(W24+W25)/W$19)</f>
        <v/>
      </c>
    </row>
    <row r="23">
      <c r="A23" s="1" t="inlineStr">
        <is>
          <t xml:space="preserve">   Loss %</t>
        </is>
      </c>
      <c r="B23" s="11">
        <f>IF((B24+B25)=0,0,B24/(B24+B25))</f>
        <v/>
      </c>
      <c r="C23" s="8">
        <f>IF((C24+C25)=0,0,C24/(C24+C25))</f>
        <v/>
      </c>
      <c r="D23" s="8">
        <f>IF((D24+D25)=0,0,D24/(D24+D25))</f>
        <v/>
      </c>
      <c r="E23" s="8">
        <f>IF((E24+E25)=0,0,E24/(E24+E25))</f>
        <v/>
      </c>
      <c r="F23" s="8">
        <f>IF((F24+F25)=0,0,F24/(F24+F25))</f>
        <v/>
      </c>
      <c r="G23" s="8">
        <f>IF((G24+G25)=0,0,G24/(G24+G25))</f>
        <v/>
      </c>
      <c r="H23" s="8">
        <f>IF((H24+H25)=0,0,H24/(H24+H25))</f>
        <v/>
      </c>
      <c r="I23" s="20">
        <f>IF((I24+I25)=0,0,I24/(I24+I25))</f>
        <v/>
      </c>
      <c r="J23" s="8">
        <f>IF((J24+J25)=0,0,J24/(J24+J25))</f>
        <v/>
      </c>
      <c r="K23" s="8">
        <f>IF((K24+K25)=0,0,K24/(K24+K25))</f>
        <v/>
      </c>
      <c r="L23" s="8">
        <f>IF((L24+L25)=0,0,L24/(L24+L25))</f>
        <v/>
      </c>
      <c r="M23" s="8">
        <f>IF((M24+M25)=0,0,M24/(M24+M25))</f>
        <v/>
      </c>
      <c r="N23" s="8">
        <f>IF((N24+N25)=0,0,N24/(N24+N25))</f>
        <v/>
      </c>
      <c r="O23" s="8">
        <f>IF((O24+O25)=0,0,O24/(O24+O25))</f>
        <v/>
      </c>
      <c r="P23" s="20">
        <f>IF((P24+P25)=0,0,P24/(P24+P25))</f>
        <v/>
      </c>
      <c r="Q23" s="8">
        <f>IF((Q24+Q25)=0,0,Q24/(Q24+Q25))</f>
        <v/>
      </c>
      <c r="R23" s="8">
        <f>IF((R24+R25)=0,0,R24/(R24+R25))</f>
        <v/>
      </c>
      <c r="S23" s="8">
        <f>IF((S24+S25)=0,0,S24/(S24+S25))</f>
        <v/>
      </c>
      <c r="T23" s="8">
        <f>IF((T24+T25)=0,0,T24/(T24+T25))</f>
        <v/>
      </c>
      <c r="U23" s="8">
        <f>IF((U24+U25)=0,0,U24/(U24+U25))</f>
        <v/>
      </c>
      <c r="V23" s="8">
        <f>IF((V24+V25)=0,0,V24/(V24+V25))</f>
        <v/>
      </c>
      <c r="W23" s="20">
        <f>IF((W24+W25)=0,0,W24/(W24+W25))</f>
        <v/>
      </c>
    </row>
    <row r="24">
      <c r="A24" s="1" t="inlineStr">
        <is>
          <t xml:space="preserve">   Lost Count</t>
        </is>
      </c>
      <c r="B24" s="9">
        <f>I24+P24+W24</f>
        <v/>
      </c>
      <c r="C24">
        <f>COUNTIFS(Accounts!$E:$E,'AccountSummary (New)'!C$1,Accounts!$G:$G,'AccountSummary (New)'!C$2,Accounts!$F:$F,'AccountSummary (New)'!C$3,Accounts!$B:$B,"Customer",Accounts!$C:$C,"Lost",Accounts!$H:$H,"&lt;="&amp;30)</f>
        <v/>
      </c>
      <c r="D24">
        <f>COUNTIFS(Accounts!$E:$E,'AccountSummary (New)'!D$1,Accounts!$G:$G,'AccountSummary (New)'!D$2,Accounts!$F:$F,'AccountSummary (New)'!D$3,Accounts!$B:$B,"Customer",Accounts!$C:$C,"Lost",Accounts!$H:$H,"&lt;="&amp;30)</f>
        <v/>
      </c>
      <c r="E24">
        <f>COUNTIFS(Accounts!$E:$E,'AccountSummary (New)'!E$1,Accounts!$G:$G,'AccountSummary (New)'!E$2,Accounts!$F:$F,'AccountSummary (New)'!E$3,Accounts!$B:$B,"Customer",Accounts!$C:$C,"Lost",Accounts!$H:$H,"&lt;="&amp;30)</f>
        <v/>
      </c>
      <c r="F24">
        <f>COUNTIFS(Accounts!$E:$E,'AccountSummary (New)'!F$1,Accounts!$G:$G,'AccountSummary (New)'!F$2,Accounts!$F:$F,'AccountSummary (New)'!F$3,Accounts!$B:$B,"Customer",Accounts!$C:$C,"Lost",Accounts!$H:$H,"&lt;="&amp;30)</f>
        <v/>
      </c>
      <c r="G24">
        <f>COUNTIFS(Accounts!$E:$E,'AccountSummary (New)'!G$1,Accounts!$G:$G,'AccountSummary (New)'!G$2,Accounts!$F:$F,'AccountSummary (New)'!G$3,Accounts!$B:$B,"Customer",Accounts!$C:$C,"Lost",Accounts!$H:$H,"&lt;="&amp;30)</f>
        <v/>
      </c>
      <c r="H24">
        <f>COUNTIFS(Accounts!$E:$E,'AccountSummary (New)'!H$1,Accounts!$G:$G,'AccountSummary (New)'!H$2,Accounts!$F:$F,'AccountSummary (New)'!H$3,Accounts!$B:$B,"Customer",Accounts!$C:$C,"Lost",Accounts!$H:$H,"&lt;="&amp;30)</f>
        <v/>
      </c>
      <c r="I24" s="15">
        <f>SUM(C24:H24)</f>
        <v/>
      </c>
      <c r="J24">
        <f>COUNTIFS(Accounts!$E:$E,'AccountSummary (New)'!J$1,Accounts!$G:$G,'AccountSummary (New)'!J$2,Accounts!$F:$F,'AccountSummary (New)'!J$3,Accounts!$B:$B,"Customer",Accounts!$C:$C,"Lost",Accounts!$H:$H,"&lt;="&amp;30)</f>
        <v/>
      </c>
      <c r="K24">
        <f>COUNTIFS(Accounts!$E:$E,'AccountSummary (New)'!K$1,Accounts!$G:$G,'AccountSummary (New)'!K$2,Accounts!$F:$F,'AccountSummary (New)'!K$3,Accounts!$B:$B,"Customer",Accounts!$C:$C,"Lost",Accounts!$H:$H,"&lt;="&amp;30)</f>
        <v/>
      </c>
      <c r="L24">
        <f>COUNTIFS(Accounts!$E:$E,'AccountSummary (New)'!L$1,Accounts!$G:$G,'AccountSummary (New)'!L$2,Accounts!$F:$F,'AccountSummary (New)'!L$3,Accounts!$B:$B,"Customer",Accounts!$C:$C,"Lost",Accounts!$H:$H,"&lt;="&amp;30)</f>
        <v/>
      </c>
      <c r="M24">
        <f>COUNTIFS(Accounts!$E:$E,'AccountSummary (New)'!M$1,Accounts!$G:$G,'AccountSummary (New)'!M$2,Accounts!$F:$F,'AccountSummary (New)'!M$3,Accounts!$B:$B,"Customer",Accounts!$C:$C,"Lost",Accounts!$H:$H,"&lt;="&amp;30)</f>
        <v/>
      </c>
      <c r="N24">
        <f>COUNTIFS(Accounts!$E:$E,'AccountSummary (New)'!N$1,Accounts!$G:$G,'AccountSummary (New)'!N$2,Accounts!$F:$F,'AccountSummary (New)'!N$3,Accounts!$B:$B,"Customer",Accounts!$C:$C,"Lost",Accounts!$H:$H,"&lt;="&amp;30)</f>
        <v/>
      </c>
      <c r="O24">
        <f>COUNTIFS(Accounts!$E:$E,'AccountSummary (New)'!O$1,Accounts!$G:$G,'AccountSummary (New)'!O$2,Accounts!$F:$F,'AccountSummary (New)'!O$3,Accounts!$B:$B,"Customer",Accounts!$C:$C,"Lost",Accounts!$H:$H,"&lt;="&amp;30)</f>
        <v/>
      </c>
      <c r="P24" s="15">
        <f>SUM(J24:O24)</f>
        <v/>
      </c>
      <c r="Q24">
        <f>COUNTIFS(Accounts!$E:$E,'AccountSummary (New)'!Q$1,Accounts!$G:$G,'AccountSummary (New)'!Q$2,Accounts!$F:$F,'AccountSummary (New)'!Q$3,Accounts!$B:$B,"Customer",Accounts!$C:$C,"Lost",Accounts!$H:$H,"&lt;="&amp;30)</f>
        <v/>
      </c>
      <c r="R24">
        <f>COUNTIFS(Accounts!$E:$E,'AccountSummary (New)'!R$1,Accounts!$G:$G,'AccountSummary (New)'!R$2,Accounts!$F:$F,'AccountSummary (New)'!R$3,Accounts!$B:$B,"Customer",Accounts!$C:$C,"Lost",Accounts!$H:$H,"&lt;="&amp;30)</f>
        <v/>
      </c>
      <c r="S24">
        <f>COUNTIFS(Accounts!$E:$E,'AccountSummary (New)'!S$1,Accounts!$G:$G,'AccountSummary (New)'!S$2,Accounts!$F:$F,'AccountSummary (New)'!S$3,Accounts!$B:$B,"Customer",Accounts!$C:$C,"Lost",Accounts!$H:$H,"&lt;="&amp;30)</f>
        <v/>
      </c>
      <c r="T24">
        <f>COUNTIFS(Accounts!$E:$E,'AccountSummary (New)'!T$1,Accounts!$G:$G,'AccountSummary (New)'!T$2,Accounts!$F:$F,'AccountSummary (New)'!T$3,Accounts!$B:$B,"Customer",Accounts!$C:$C,"Lost",Accounts!$H:$H,"&lt;="&amp;30)</f>
        <v/>
      </c>
      <c r="U24">
        <f>COUNTIFS(Accounts!$E:$E,'AccountSummary (New)'!U$1,Accounts!$G:$G,'AccountSummary (New)'!U$2,Accounts!$F:$F,'AccountSummary (New)'!U$3,Accounts!$B:$B,"Customer",Accounts!$C:$C,"Lost",Accounts!$H:$H,"&lt;="&amp;30)</f>
        <v/>
      </c>
      <c r="V24">
        <f>COUNTIFS(Accounts!$E:$E,'AccountSummary (New)'!V$1,Accounts!$G:$G,'AccountSummary (New)'!V$2,Accounts!$F:$F,'AccountSummary (New)'!V$3,Accounts!$B:$B,"Customer",Accounts!$C:$C,"Lost",Accounts!$H:$H,"&lt;="&amp;30)</f>
        <v/>
      </c>
      <c r="W24" s="15">
        <f>SUM(Q24:V24)</f>
        <v/>
      </c>
    </row>
    <row r="25">
      <c r="A25" s="1" t="inlineStr">
        <is>
          <t xml:space="preserve">   Retained Count</t>
        </is>
      </c>
      <c r="B25" s="9">
        <f>I25+P25+W25</f>
        <v/>
      </c>
      <c r="C25">
        <f>COUNTIFS(Accounts!$E:$E,'AccountSummary (New)'!C$1,Accounts!$G:$G,'AccountSummary (New)'!C$2,Accounts!$F:$F,'AccountSummary (New)'!C$3,Accounts!$B:$B,"Customer",Accounts!$C:$C,"Customer",Accounts!$H:$H,"&lt;="&amp;30)</f>
        <v/>
      </c>
      <c r="D25">
        <f>COUNTIFS(Accounts!$E:$E,'AccountSummary (New)'!D$1,Accounts!$G:$G,'AccountSummary (New)'!D$2,Accounts!$F:$F,'AccountSummary (New)'!D$3,Accounts!$B:$B,"Customer",Accounts!$C:$C,"Customer",Accounts!$H:$H,"&lt;="&amp;30)</f>
        <v/>
      </c>
      <c r="E25">
        <f>COUNTIFS(Accounts!$E:$E,'AccountSummary (New)'!E$1,Accounts!$G:$G,'AccountSummary (New)'!E$2,Accounts!$F:$F,'AccountSummary (New)'!E$3,Accounts!$B:$B,"Customer",Accounts!$C:$C,"Customer",Accounts!$H:$H,"&lt;="&amp;30)</f>
        <v/>
      </c>
      <c r="F25">
        <f>COUNTIFS(Accounts!$E:$E,'AccountSummary (New)'!F$1,Accounts!$G:$G,'AccountSummary (New)'!F$2,Accounts!$F:$F,'AccountSummary (New)'!F$3,Accounts!$B:$B,"Customer",Accounts!$C:$C,"Customer",Accounts!$H:$H,"&lt;="&amp;30)</f>
        <v/>
      </c>
      <c r="G25">
        <f>COUNTIFS(Accounts!$E:$E,'AccountSummary (New)'!G$1,Accounts!$G:$G,'AccountSummary (New)'!G$2,Accounts!$F:$F,'AccountSummary (New)'!G$3,Accounts!$B:$B,"Customer",Accounts!$C:$C,"Customer",Accounts!$H:$H,"&lt;="&amp;30)</f>
        <v/>
      </c>
      <c r="H25">
        <f>COUNTIFS(Accounts!$E:$E,'AccountSummary (New)'!H$1,Accounts!$G:$G,'AccountSummary (New)'!H$2,Accounts!$F:$F,'AccountSummary (New)'!H$3,Accounts!$B:$B,"Customer",Accounts!$C:$C,"Customer",Accounts!$H:$H,"&lt;="&amp;30)</f>
        <v/>
      </c>
      <c r="I25" s="15">
        <f>SUM(C25:H25)</f>
        <v/>
      </c>
      <c r="J25">
        <f>COUNTIFS(Accounts!$E:$E,'AccountSummary (New)'!J$1,Accounts!$G:$G,'AccountSummary (New)'!J$2,Accounts!$F:$F,'AccountSummary (New)'!J$3,Accounts!$B:$B,"Customer",Accounts!$C:$C,"Customer",Accounts!$H:$H,"&lt;="&amp;30)</f>
        <v/>
      </c>
      <c r="K25">
        <f>COUNTIFS(Accounts!$E:$E,'AccountSummary (New)'!K$1,Accounts!$G:$G,'AccountSummary (New)'!K$2,Accounts!$F:$F,'AccountSummary (New)'!K$3,Accounts!$B:$B,"Customer",Accounts!$C:$C,"Customer",Accounts!$H:$H,"&lt;="&amp;30)</f>
        <v/>
      </c>
      <c r="L25">
        <f>COUNTIFS(Accounts!$E:$E,'AccountSummary (New)'!L$1,Accounts!$G:$G,'AccountSummary (New)'!L$2,Accounts!$F:$F,'AccountSummary (New)'!L$3,Accounts!$B:$B,"Customer",Accounts!$C:$C,"Customer",Accounts!$H:$H,"&lt;="&amp;30)</f>
        <v/>
      </c>
      <c r="M25">
        <f>COUNTIFS(Accounts!$E:$E,'AccountSummary (New)'!M$1,Accounts!$G:$G,'AccountSummary (New)'!M$2,Accounts!$F:$F,'AccountSummary (New)'!M$3,Accounts!$B:$B,"Customer",Accounts!$C:$C,"Customer",Accounts!$H:$H,"&lt;="&amp;30)</f>
        <v/>
      </c>
      <c r="N25">
        <f>COUNTIFS(Accounts!$E:$E,'AccountSummary (New)'!N$1,Accounts!$G:$G,'AccountSummary (New)'!N$2,Accounts!$F:$F,'AccountSummary (New)'!N$3,Accounts!$B:$B,"Customer",Accounts!$C:$C,"Customer",Accounts!$H:$H,"&lt;="&amp;30)</f>
        <v/>
      </c>
      <c r="O25">
        <f>COUNTIFS(Accounts!$E:$E,'AccountSummary (New)'!O$1,Accounts!$G:$G,'AccountSummary (New)'!O$2,Accounts!$F:$F,'AccountSummary (New)'!O$3,Accounts!$B:$B,"Customer",Accounts!$C:$C,"Customer",Accounts!$H:$H,"&lt;="&amp;30)</f>
        <v/>
      </c>
      <c r="P25" s="15">
        <f>SUM(J25:O25)</f>
        <v/>
      </c>
      <c r="Q25">
        <f>COUNTIFS(Accounts!$E:$E,'AccountSummary (New)'!Q$1,Accounts!$G:$G,'AccountSummary (New)'!Q$2,Accounts!$F:$F,'AccountSummary (New)'!Q$3,Accounts!$B:$B,"Customer",Accounts!$C:$C,"Customer",Accounts!$H:$H,"&lt;="&amp;30)</f>
        <v/>
      </c>
      <c r="R25">
        <f>COUNTIFS(Accounts!$E:$E,'AccountSummary (New)'!R$1,Accounts!$G:$G,'AccountSummary (New)'!R$2,Accounts!$F:$F,'AccountSummary (New)'!R$3,Accounts!$B:$B,"Customer",Accounts!$C:$C,"Customer",Accounts!$H:$H,"&lt;="&amp;30)</f>
        <v/>
      </c>
      <c r="S25">
        <f>COUNTIFS(Accounts!$E:$E,'AccountSummary (New)'!S$1,Accounts!$G:$G,'AccountSummary (New)'!S$2,Accounts!$F:$F,'AccountSummary (New)'!S$3,Accounts!$B:$B,"Customer",Accounts!$C:$C,"Customer",Accounts!$H:$H,"&lt;="&amp;30)</f>
        <v/>
      </c>
      <c r="T25">
        <f>COUNTIFS(Accounts!$E:$E,'AccountSummary (New)'!T$1,Accounts!$G:$G,'AccountSummary (New)'!T$2,Accounts!$F:$F,'AccountSummary (New)'!T$3,Accounts!$B:$B,"Customer",Accounts!$C:$C,"Customer",Accounts!$H:$H,"&lt;="&amp;30)</f>
        <v/>
      </c>
      <c r="U25">
        <f>COUNTIFS(Accounts!$E:$E,'AccountSummary (New)'!U$1,Accounts!$G:$G,'AccountSummary (New)'!U$2,Accounts!$F:$F,'AccountSummary (New)'!U$3,Accounts!$B:$B,"Customer",Accounts!$C:$C,"Customer",Accounts!$H:$H,"&lt;="&amp;30)</f>
        <v/>
      </c>
      <c r="V25">
        <f>COUNTIFS(Accounts!$E:$E,'AccountSummary (New)'!V$1,Accounts!$G:$G,'AccountSummary (New)'!V$2,Accounts!$F:$F,'AccountSummary (New)'!V$3,Accounts!$B:$B,"Customer",Accounts!$C:$C,"Customer",Accounts!$H:$H,"&lt;="&amp;30)</f>
        <v/>
      </c>
      <c r="W25" s="15">
        <f>SUM(Q25:V25)</f>
        <v/>
      </c>
    </row>
    <row r="26">
      <c r="A26" s="2" t="inlineStr">
        <is>
          <t xml:space="preserve">   Packs per Account</t>
        </is>
      </c>
      <c r="B26" s="12">
        <f>IF(B25=0,0,SUMIFS(Accounts!$L:$L,Accounts!$W:$W,0,Accounts!$C:$C,"Customer",Accounts!$H:$H,"&lt;="&amp;30)/B25)</f>
        <v/>
      </c>
      <c r="C26">
        <f>IF(C25=0,0,SUMIFS(Accounts!$L:$L,Accounts!$E:$E,'AccountSummary (New)'!C$1,Accounts!$G:$G,'AccountSummary (New)'!C$2,Accounts!$F:$F,'AccountSummary (New)'!C$3,Accounts!$W:$W,0,Accounts!$C:$C,"Customer",Accounts!$H:$H,"&lt;="&amp;30)/C25)</f>
        <v/>
      </c>
      <c r="D26">
        <f>IF(D25=0,0,SUMIFS(Accounts!$L:$L,Accounts!$E:$E,'AccountSummary (New)'!D$1,Accounts!$G:$G,'AccountSummary (New)'!D$2,Accounts!$F:$F,'AccountSummary (New)'!D$3,Accounts!$W:$W,0,Accounts!$C:$C,"Customer",Accounts!$H:$H,"&lt;="&amp;30)/D25)</f>
        <v/>
      </c>
      <c r="E26">
        <f>IF(E25=0,0,SUMIFS(Accounts!$L:$L,Accounts!$E:$E,'AccountSummary (New)'!E$1,Accounts!$G:$G,'AccountSummary (New)'!E$2,Accounts!$F:$F,'AccountSummary (New)'!E$3,Accounts!$W:$W,0,Accounts!$C:$C,"Customer",Accounts!$H:$H,"&lt;="&amp;30)/E25)</f>
        <v/>
      </c>
      <c r="F26">
        <f>IF(F25=0,0,SUMIFS(Accounts!$L:$L,Accounts!$E:$E,'AccountSummary (New)'!F$1,Accounts!$G:$G,'AccountSummary (New)'!F$2,Accounts!$F:$F,'AccountSummary (New)'!F$3,Accounts!$W:$W,0,Accounts!$C:$C,"Customer",Accounts!$H:$H,"&lt;="&amp;30)/F25)</f>
        <v/>
      </c>
      <c r="G26">
        <f>IF(G25=0,0,SUMIFS(Accounts!$L:$L,Accounts!$E:$E,'AccountSummary (New)'!G$1,Accounts!$G:$G,'AccountSummary (New)'!G$2,Accounts!$F:$F,'AccountSummary (New)'!G$3,Accounts!$W:$W,0,Accounts!$C:$C,"Customer",Accounts!$H:$H,"&lt;="&amp;30)/G25)</f>
        <v/>
      </c>
      <c r="H26">
        <f>IF(H25=0,0,SUMIFS(Accounts!$L:$L,Accounts!$E:$E,'AccountSummary (New)'!H$1,Accounts!$G:$G,'AccountSummary (New)'!H$2,Accounts!$F:$F,'AccountSummary (New)'!H$3,Accounts!$W:$W,0,Accounts!$C:$C,"Customer",Accounts!$H:$H,"&lt;="&amp;30)/H25)</f>
        <v/>
      </c>
      <c r="I26" s="15">
        <f>IF(I25=0,0,SUMIFS(Accounts!$L:$L,Accounts!$F:$F,'AccountSummary (New)'!I$3,Accounts!$W:$W,0,Accounts!$C:$C,"Customer",Accounts!$H:$H,"&lt;="&amp;30)/I25)</f>
        <v/>
      </c>
      <c r="J26">
        <f>IF(J25=0,0,SUMIFS(Accounts!$L:$L,Accounts!$E:$E,'AccountSummary (New)'!J$1,Accounts!$G:$G,'AccountSummary (New)'!J$2,Accounts!$F:$F,'AccountSummary (New)'!J$3,Accounts!$W:$W,0,Accounts!$C:$C,"Customer",Accounts!$H:$H,"&lt;="&amp;30)/J25)</f>
        <v/>
      </c>
      <c r="K26">
        <f>IF(K25=0,0,SUMIFS(Accounts!$L:$L,Accounts!$E:$E,'AccountSummary (New)'!K$1,Accounts!$G:$G,'AccountSummary (New)'!K$2,Accounts!$F:$F,'AccountSummary (New)'!K$3,Accounts!$W:$W,0,Accounts!$C:$C,"Customer",Accounts!$H:$H,"&lt;="&amp;30)/K25)</f>
        <v/>
      </c>
      <c r="L26">
        <f>IF(L25=0,0,SUMIFS(Accounts!$L:$L,Accounts!$E:$E,'AccountSummary (New)'!L$1,Accounts!$G:$G,'AccountSummary (New)'!L$2,Accounts!$F:$F,'AccountSummary (New)'!L$3,Accounts!$W:$W,0,Accounts!$C:$C,"Customer",Accounts!$H:$H,"&lt;="&amp;30)/L25)</f>
        <v/>
      </c>
      <c r="M26">
        <f>IF(M25=0,0,SUMIFS(Accounts!$L:$L,Accounts!$E:$E,'AccountSummary (New)'!M$1,Accounts!$G:$G,'AccountSummary (New)'!M$2,Accounts!$F:$F,'AccountSummary (New)'!M$3,Accounts!$W:$W,0,Accounts!$C:$C,"Customer",Accounts!$H:$H,"&lt;="&amp;30)/M25)</f>
        <v/>
      </c>
      <c r="N26">
        <f>IF(N25=0,0,SUMIFS(Accounts!$L:$L,Accounts!$E:$E,'AccountSummary (New)'!N$1,Accounts!$G:$G,'AccountSummary (New)'!N$2,Accounts!$F:$F,'AccountSummary (New)'!N$3,Accounts!$W:$W,0,Accounts!$C:$C,"Customer",Accounts!$H:$H,"&lt;="&amp;30)/N25)</f>
        <v/>
      </c>
      <c r="O26">
        <f>IF(O25=0,0,SUMIFS(Accounts!$L:$L,Accounts!$E:$E,'AccountSummary (New)'!O$1,Accounts!$G:$G,'AccountSummary (New)'!O$2,Accounts!$F:$F,'AccountSummary (New)'!O$3,Accounts!$W:$W,0,Accounts!$C:$C,"Customer",Accounts!$H:$H,"&lt;="&amp;30)/O25)</f>
        <v/>
      </c>
      <c r="P26" s="15">
        <f>IF(P25=0,0,SUMIFS(Accounts!$L:$L,Accounts!$F:$F,'AccountSummary (New)'!P$3,Accounts!$W:$W,0,Accounts!$C:$C,"Customer",Accounts!$H:$H,"&lt;="&amp;30)/P25)</f>
        <v/>
      </c>
      <c r="Q26">
        <f>IF(Q25=0,0,SUMIFS(Accounts!$L:$L,Accounts!$E:$E,'AccountSummary (New)'!Q$1,Accounts!$G:$G,'AccountSummary (New)'!Q$2,Accounts!$F:$F,'AccountSummary (New)'!Q$3,Accounts!$W:$W,0,Accounts!$C:$C,"Customer",Accounts!$H:$H,"&lt;="&amp;30)/Q25)</f>
        <v/>
      </c>
      <c r="R26">
        <f>IF(R25=0,0,SUMIFS(Accounts!$L:$L,Accounts!$E:$E,'AccountSummary (New)'!R$1,Accounts!$G:$G,'AccountSummary (New)'!R$2,Accounts!$F:$F,'AccountSummary (New)'!R$3,Accounts!$W:$W,0,Accounts!$C:$C,"Customer",Accounts!$H:$H,"&lt;="&amp;30)/R25)</f>
        <v/>
      </c>
      <c r="S26">
        <f>IF(S25=0,0,SUMIFS(Accounts!$L:$L,Accounts!$E:$E,'AccountSummary (New)'!S$1,Accounts!$G:$G,'AccountSummary (New)'!S$2,Accounts!$F:$F,'AccountSummary (New)'!S$3,Accounts!$W:$W,0,Accounts!$C:$C,"Customer",Accounts!$H:$H,"&lt;="&amp;30)/S25)</f>
        <v/>
      </c>
      <c r="T26">
        <f>IF(T25=0,0,SUMIFS(Accounts!$L:$L,Accounts!$E:$E,'AccountSummary (New)'!T$1,Accounts!$G:$G,'AccountSummary (New)'!T$2,Accounts!$F:$F,'AccountSummary (New)'!T$3,Accounts!$W:$W,0,Accounts!$C:$C,"Customer",Accounts!$H:$H,"&lt;="&amp;30)/T25)</f>
        <v/>
      </c>
      <c r="U26">
        <f>IF(U25=0,0,SUMIFS(Accounts!$L:$L,Accounts!$E:$E,'AccountSummary (New)'!U$1,Accounts!$G:$G,'AccountSummary (New)'!U$2,Accounts!$F:$F,'AccountSummary (New)'!U$3,Accounts!$W:$W,0,Accounts!$C:$C,"Customer",Accounts!$H:$H,"&lt;="&amp;30)/U25)</f>
        <v/>
      </c>
      <c r="V26">
        <f>IF(V25=0,0,SUMIFS(Accounts!$L:$L,Accounts!$E:$E,'AccountSummary (New)'!V$1,Accounts!$G:$G,'AccountSummary (New)'!V$2,Accounts!$F:$F,'AccountSummary (New)'!V$3,Accounts!$W:$W,0,Accounts!$C:$C,"Customer",Accounts!$H:$H,"&lt;="&amp;30)/V25)</f>
        <v/>
      </c>
      <c r="W26" s="15">
        <f>IF(W25=0,0,SUMIFS(Accounts!$L:$L,Accounts!$F:$F,'AccountSummary (New)'!W$3,Accounts!$W:$W,0,Accounts!$C:$C,"Customer",Accounts!$H:$H,"&lt;="&amp;30)/W25)</f>
        <v/>
      </c>
    </row>
    <row r="27">
      <c r="A27" s="2" t="inlineStr">
        <is>
          <t xml:space="preserve">   Users per Account</t>
        </is>
      </c>
      <c r="B27" s="12">
        <f>IF(B25=0,0,SUMIFS(Accounts!$M:$M,Accounts!$W:$W,0,Accounts!$C:$C,"Customer",Accounts!$H:$H,"&lt;="&amp;30)/B25)</f>
        <v/>
      </c>
      <c r="C27">
        <f>IF(C25=0,0,SUMIFS(Accounts!$M:$M,Accounts!$E:$E,'AccountSummary (New)'!C$1,Accounts!$G:$G,'AccountSummary (New)'!C$2,Accounts!$F:$F,'AccountSummary (New)'!C$3,Accounts!$W:$W,0,Accounts!$C:$C,"Customer",Accounts!$H:$H,"&lt;="&amp;30)/C25)</f>
        <v/>
      </c>
      <c r="D27">
        <f>IF(D25=0,0,SUMIFS(Accounts!$M:$M,Accounts!$E:$E,'AccountSummary (New)'!D$1,Accounts!$G:$G,'AccountSummary (New)'!D$2,Accounts!$F:$F,'AccountSummary (New)'!D$3,Accounts!$W:$W,0,Accounts!$C:$C,"Customer",Accounts!$H:$H,"&lt;="&amp;30)/D25)</f>
        <v/>
      </c>
      <c r="E27">
        <f>IF(E25=0,0,SUMIFS(Accounts!$M:$M,Accounts!$E:$E,'AccountSummary (New)'!E$1,Accounts!$G:$G,'AccountSummary (New)'!E$2,Accounts!$F:$F,'AccountSummary (New)'!E$3,Accounts!$W:$W,0,Accounts!$C:$C,"Customer",Accounts!$H:$H,"&lt;="&amp;30)/E25)</f>
        <v/>
      </c>
      <c r="F27">
        <f>IF(F25=0,0,SUMIFS(Accounts!$M:$M,Accounts!$E:$E,'AccountSummary (New)'!F$1,Accounts!$G:$G,'AccountSummary (New)'!F$2,Accounts!$F:$F,'AccountSummary (New)'!F$3,Accounts!$W:$W,0,Accounts!$C:$C,"Customer",Accounts!$H:$H,"&lt;="&amp;30)/F25)</f>
        <v/>
      </c>
      <c r="G27">
        <f>IF(G25=0,0,SUMIFS(Accounts!$M:$M,Accounts!$E:$E,'AccountSummary (New)'!G$1,Accounts!$G:$G,'AccountSummary (New)'!G$2,Accounts!$F:$F,'AccountSummary (New)'!G$3,Accounts!$W:$W,0,Accounts!$C:$C,"Customer",Accounts!$H:$H,"&lt;="&amp;30)/G25)</f>
        <v/>
      </c>
      <c r="H27">
        <f>IF(H25=0,0,SUMIFS(Accounts!$M:$M,Accounts!$E:$E,'AccountSummary (New)'!H$1,Accounts!$G:$G,'AccountSummary (New)'!H$2,Accounts!$F:$F,'AccountSummary (New)'!H$3,Accounts!$W:$W,0,Accounts!$C:$C,"Customer",Accounts!$H:$H,"&lt;="&amp;30)/H25)</f>
        <v/>
      </c>
      <c r="I27" s="15">
        <f>IF(I25=0,0,SUMIFS(Accounts!$M:$M,Accounts!$F:$F,'AccountSummary (New)'!I$3,Accounts!$W:$W,0,Accounts!$C:$C,"Customer",Accounts!$H:$H,"&lt;="&amp;30)/I25)</f>
        <v/>
      </c>
      <c r="J27">
        <f>IF(J25=0,0,SUMIFS(Accounts!$M:$M,Accounts!$E:$E,'AccountSummary (New)'!J$1,Accounts!$G:$G,'AccountSummary (New)'!J$2,Accounts!$F:$F,'AccountSummary (New)'!J$3,Accounts!$W:$W,0,Accounts!$C:$C,"Customer",Accounts!$H:$H,"&lt;="&amp;30)/J25)</f>
        <v/>
      </c>
      <c r="K27">
        <f>IF(K25=0,0,SUMIFS(Accounts!$M:$M,Accounts!$E:$E,'AccountSummary (New)'!K$1,Accounts!$G:$G,'AccountSummary (New)'!K$2,Accounts!$F:$F,'AccountSummary (New)'!K$3,Accounts!$W:$W,0,Accounts!$C:$C,"Customer",Accounts!$H:$H,"&lt;="&amp;30)/K25)</f>
        <v/>
      </c>
      <c r="L27">
        <f>IF(L25=0,0,SUMIFS(Accounts!$M:$M,Accounts!$E:$E,'AccountSummary (New)'!L$1,Accounts!$G:$G,'AccountSummary (New)'!L$2,Accounts!$F:$F,'AccountSummary (New)'!L$3,Accounts!$W:$W,0,Accounts!$C:$C,"Customer",Accounts!$H:$H,"&lt;="&amp;30)/L25)</f>
        <v/>
      </c>
      <c r="M27">
        <f>IF(M25=0,0,SUMIFS(Accounts!$M:$M,Accounts!$E:$E,'AccountSummary (New)'!M$1,Accounts!$G:$G,'AccountSummary (New)'!M$2,Accounts!$F:$F,'AccountSummary (New)'!M$3,Accounts!$W:$W,0,Accounts!$C:$C,"Customer",Accounts!$H:$H,"&lt;="&amp;30)/M25)</f>
        <v/>
      </c>
      <c r="N27">
        <f>IF(N25=0,0,SUMIFS(Accounts!$M:$M,Accounts!$E:$E,'AccountSummary (New)'!N$1,Accounts!$G:$G,'AccountSummary (New)'!N$2,Accounts!$F:$F,'AccountSummary (New)'!N$3,Accounts!$W:$W,0,Accounts!$C:$C,"Customer",Accounts!$H:$H,"&lt;="&amp;30)/N25)</f>
        <v/>
      </c>
      <c r="O27">
        <f>IF(O25=0,0,SUMIFS(Accounts!$M:$M,Accounts!$E:$E,'AccountSummary (New)'!O$1,Accounts!$G:$G,'AccountSummary (New)'!O$2,Accounts!$F:$F,'AccountSummary (New)'!O$3,Accounts!$W:$W,0,Accounts!$C:$C,"Customer",Accounts!$H:$H,"&lt;="&amp;30)/O25)</f>
        <v/>
      </c>
      <c r="P27" s="15">
        <f>IF(P25=0,0,SUMIFS(Accounts!$M:$M,Accounts!$F:$F,'AccountSummary (New)'!P$3,Accounts!$W:$W,0,Accounts!$C:$C,"Customer",Accounts!$H:$H,"&lt;="&amp;30)/P25)</f>
        <v/>
      </c>
      <c r="Q27">
        <f>IF(Q25=0,0,SUMIFS(Accounts!$M:$M,Accounts!$E:$E,'AccountSummary (New)'!Q$1,Accounts!$G:$G,'AccountSummary (New)'!Q$2,Accounts!$F:$F,'AccountSummary (New)'!Q$3,Accounts!$W:$W,0,Accounts!$C:$C,"Customer",Accounts!$H:$H,"&lt;="&amp;30)/Q25)</f>
        <v/>
      </c>
      <c r="R27">
        <f>IF(R25=0,0,SUMIFS(Accounts!$M:$M,Accounts!$E:$E,'AccountSummary (New)'!R$1,Accounts!$G:$G,'AccountSummary (New)'!R$2,Accounts!$F:$F,'AccountSummary (New)'!R$3,Accounts!$W:$W,0,Accounts!$C:$C,"Customer",Accounts!$H:$H,"&lt;="&amp;30)/R25)</f>
        <v/>
      </c>
      <c r="S27">
        <f>IF(S25=0,0,SUMIFS(Accounts!$M:$M,Accounts!$E:$E,'AccountSummary (New)'!S$1,Accounts!$G:$G,'AccountSummary (New)'!S$2,Accounts!$F:$F,'AccountSummary (New)'!S$3,Accounts!$W:$W,0,Accounts!$C:$C,"Customer",Accounts!$H:$H,"&lt;="&amp;30)/S25)</f>
        <v/>
      </c>
      <c r="T27">
        <f>IF(T25=0,0,SUMIFS(Accounts!$M:$M,Accounts!$E:$E,'AccountSummary (New)'!T$1,Accounts!$G:$G,'AccountSummary (New)'!T$2,Accounts!$F:$F,'AccountSummary (New)'!T$3,Accounts!$W:$W,0,Accounts!$C:$C,"Customer",Accounts!$H:$H,"&lt;="&amp;30)/T25)</f>
        <v/>
      </c>
      <c r="U27">
        <f>IF(U25=0,0,SUMIFS(Accounts!$M:$M,Accounts!$E:$E,'AccountSummary (New)'!U$1,Accounts!$G:$G,'AccountSummary (New)'!U$2,Accounts!$F:$F,'AccountSummary (New)'!U$3,Accounts!$W:$W,0,Accounts!$C:$C,"Customer",Accounts!$H:$H,"&lt;="&amp;30)/U25)</f>
        <v/>
      </c>
      <c r="V27">
        <f>IF(V25=0,0,SUMIFS(Accounts!$M:$M,Accounts!$E:$E,'AccountSummary (New)'!V$1,Accounts!$G:$G,'AccountSummary (New)'!V$2,Accounts!$F:$F,'AccountSummary (New)'!V$3,Accounts!$W:$W,0,Accounts!$C:$C,"Customer",Accounts!$H:$H,"&lt;="&amp;30)/V25)</f>
        <v/>
      </c>
      <c r="W27" s="15">
        <f>IF(W25=0,0,SUMIFS(Accounts!$M:$M,Accounts!$F:$F,'AccountSummary (New)'!W$3,Accounts!$W:$W,0,Accounts!$C:$C,"Customer",Accounts!$H:$H,"&lt;="&amp;30)/W25)</f>
        <v/>
      </c>
    </row>
    <row r="28">
      <c r="A28" s="1" t="inlineStr">
        <is>
          <t xml:space="preserve">   ARPC</t>
        </is>
      </c>
      <c r="B28" s="65">
        <f>IF(B25=0,0,B29/B25)</f>
        <v/>
      </c>
      <c r="C28" s="66">
        <f>IF(C25=0,0,C29/C25)</f>
        <v/>
      </c>
      <c r="D28" s="66">
        <f>IF(D25=0,0,D29/D25)</f>
        <v/>
      </c>
      <c r="E28" s="66">
        <f>IF(E25=0,0,E29/E25)</f>
        <v/>
      </c>
      <c r="F28" s="66">
        <f>IF(F25=0,0,F29/F25)</f>
        <v/>
      </c>
      <c r="G28" s="66">
        <f>IF(G25=0,0,G29/G25)</f>
        <v/>
      </c>
      <c r="H28" s="66">
        <f>IF(H25=0,0,H29/H25)</f>
        <v/>
      </c>
      <c r="I28" s="67">
        <f>IF(I25=0,0,I29/I25)</f>
        <v/>
      </c>
      <c r="J28" s="66">
        <f>IF(J25=0,0,J29/J25)</f>
        <v/>
      </c>
      <c r="K28" s="66">
        <f>IF(K25=0,0,K29/K25)</f>
        <v/>
      </c>
      <c r="L28" s="66">
        <f>IF(L25=0,0,L29/L25)</f>
        <v/>
      </c>
      <c r="M28" s="66">
        <f>IF(M25=0,0,M29/M25)</f>
        <v/>
      </c>
      <c r="N28" s="66">
        <f>IF(N25=0,0,N29/N25)</f>
        <v/>
      </c>
      <c r="O28" s="66">
        <f>IF(O25=0,0,O29/O25)</f>
        <v/>
      </c>
      <c r="P28" s="67">
        <f>IF(P25=0,0,P29/P25)</f>
        <v/>
      </c>
      <c r="Q28" s="66">
        <f>IF(Q25=0,0,Q29/Q25)</f>
        <v/>
      </c>
      <c r="R28" s="66">
        <f>IF(R25=0,0,R29/R25)</f>
        <v/>
      </c>
      <c r="S28" s="66">
        <f>IF(S25=0,0,S29/S25)</f>
        <v/>
      </c>
      <c r="T28" s="66">
        <f>IF(T25=0,0,T29/T25)</f>
        <v/>
      </c>
      <c r="U28" s="66">
        <f>IF(U25=0,0,U29/U25)</f>
        <v/>
      </c>
      <c r="V28" s="66">
        <f>IF(V25=0,0,V29/V25)</f>
        <v/>
      </c>
      <c r="W28" s="67">
        <f>IF(W25=0,0,W29/W25)</f>
        <v/>
      </c>
    </row>
    <row r="29">
      <c r="A29" s="1" t="inlineStr">
        <is>
          <t xml:space="preserve">   SaaS</t>
        </is>
      </c>
      <c r="B29" s="65">
        <f>I29+P29+W29</f>
        <v/>
      </c>
      <c r="C29" s="66">
        <f>SUMIFS(Accounts!$I:$I,Accounts!$E:$E,'AccountSummary (New)'!C$1,Accounts!$G:$G,'AccountSummary (New)'!C$2,Accounts!$F:$F,'AccountSummary (New)'!C$3,Accounts!$W:$W,0,Accounts!$C:$C,"Customer",Accounts!$H:$H,"&lt;="&amp;30)</f>
        <v/>
      </c>
      <c r="D29" s="66">
        <f>SUMIFS(Accounts!$I:$I,Accounts!$E:$E,'AccountSummary (New)'!D$1,Accounts!$G:$G,'AccountSummary (New)'!D$2,Accounts!$F:$F,'AccountSummary (New)'!D$3,Accounts!$W:$W,0,Accounts!$C:$C,"Customer",Accounts!$H:$H,"&lt;="&amp;30)</f>
        <v/>
      </c>
      <c r="E29" s="66">
        <f>SUMIFS(Accounts!$I:$I,Accounts!$E:$E,'AccountSummary (New)'!E$1,Accounts!$G:$G,'AccountSummary (New)'!E$2,Accounts!$F:$F,'AccountSummary (New)'!E$3,Accounts!$W:$W,0,Accounts!$C:$C,"Customer",Accounts!$H:$H,"&lt;="&amp;30)</f>
        <v/>
      </c>
      <c r="F29" s="66">
        <f>SUMIFS(Accounts!$I:$I,Accounts!$E:$E,'AccountSummary (New)'!F$1,Accounts!$G:$G,'AccountSummary (New)'!F$2,Accounts!$F:$F,'AccountSummary (New)'!F$3,Accounts!$W:$W,0,Accounts!$C:$C,"Customer",Accounts!$H:$H,"&lt;="&amp;30)</f>
        <v/>
      </c>
      <c r="G29" s="66">
        <f>SUMIFS(Accounts!$I:$I,Accounts!$E:$E,'AccountSummary (New)'!G$1,Accounts!$G:$G,'AccountSummary (New)'!G$2,Accounts!$F:$F,'AccountSummary (New)'!G$3,Accounts!$W:$W,0,Accounts!$C:$C,"Customer",Accounts!$H:$H,"&lt;="&amp;30)</f>
        <v/>
      </c>
      <c r="H29" s="66">
        <f>SUMIFS(Accounts!$I:$I,Accounts!$E:$E,'AccountSummary (New)'!H$1,Accounts!$G:$G,'AccountSummary (New)'!H$2,Accounts!$F:$F,'AccountSummary (New)'!H$3,Accounts!$W:$W,0,Accounts!$C:$C,"Customer",Accounts!$H:$H,"&lt;="&amp;30)</f>
        <v/>
      </c>
      <c r="I29" s="67">
        <f>SUM(C29:H29)</f>
        <v/>
      </c>
      <c r="J29" s="66">
        <f>SUMIFS(Accounts!$I:$I,Accounts!$E:$E,'AccountSummary (New)'!J$1,Accounts!$G:$G,'AccountSummary (New)'!J$2,Accounts!$F:$F,'AccountSummary (New)'!J$3,Accounts!$W:$W,0,Accounts!$C:$C,"Customer",Accounts!$H:$H,"&lt;="&amp;30)</f>
        <v/>
      </c>
      <c r="K29" s="66">
        <f>SUMIFS(Accounts!$I:$I,Accounts!$E:$E,'AccountSummary (New)'!K$1,Accounts!$G:$G,'AccountSummary (New)'!K$2,Accounts!$F:$F,'AccountSummary (New)'!K$3,Accounts!$W:$W,0,Accounts!$C:$C,"Customer",Accounts!$H:$H,"&lt;="&amp;30)</f>
        <v/>
      </c>
      <c r="L29" s="66">
        <f>SUMIFS(Accounts!$I:$I,Accounts!$E:$E,'AccountSummary (New)'!L$1,Accounts!$G:$G,'AccountSummary (New)'!L$2,Accounts!$F:$F,'AccountSummary (New)'!L$3,Accounts!$W:$W,0,Accounts!$C:$C,"Customer",Accounts!$H:$H,"&lt;="&amp;30)</f>
        <v/>
      </c>
      <c r="M29" s="66">
        <f>SUMIFS(Accounts!$I:$I,Accounts!$E:$E,'AccountSummary (New)'!M$1,Accounts!$G:$G,'AccountSummary (New)'!M$2,Accounts!$F:$F,'AccountSummary (New)'!M$3,Accounts!$W:$W,0,Accounts!$C:$C,"Customer",Accounts!$H:$H,"&lt;="&amp;30)</f>
        <v/>
      </c>
      <c r="N29" s="66">
        <f>SUMIFS(Accounts!$I:$I,Accounts!$E:$E,'AccountSummary (New)'!N$1,Accounts!$G:$G,'AccountSummary (New)'!N$2,Accounts!$F:$F,'AccountSummary (New)'!N$3,Accounts!$W:$W,0,Accounts!$C:$C,"Customer",Accounts!$H:$H,"&lt;="&amp;30)</f>
        <v/>
      </c>
      <c r="O29" s="66">
        <f>SUMIFS(Accounts!$I:$I,Accounts!$E:$E,'AccountSummary (New)'!O$1,Accounts!$G:$G,'AccountSummary (New)'!O$2,Accounts!$F:$F,'AccountSummary (New)'!O$3,Accounts!$W:$W,0,Accounts!$C:$C,"Customer",Accounts!$H:$H,"&lt;="&amp;30)</f>
        <v/>
      </c>
      <c r="P29" s="67">
        <f>SUM(J29:O29)</f>
        <v/>
      </c>
      <c r="Q29" s="66">
        <f>SUMIFS(Accounts!$I:$I,Accounts!$E:$E,'AccountSummary (New)'!Q$1,Accounts!$G:$G,'AccountSummary (New)'!Q$2,Accounts!$F:$F,'AccountSummary (New)'!Q$3,Accounts!$W:$W,0,Accounts!$C:$C,"Customer",Accounts!$H:$H,"&lt;="&amp;30)</f>
        <v/>
      </c>
      <c r="R29" s="66">
        <f>SUMIFS(Accounts!$I:$I,Accounts!$E:$E,'AccountSummary (New)'!R$1,Accounts!$G:$G,'AccountSummary (New)'!R$2,Accounts!$F:$F,'AccountSummary (New)'!R$3,Accounts!$W:$W,0,Accounts!$C:$C,"Customer",Accounts!$H:$H,"&lt;="&amp;30)</f>
        <v/>
      </c>
      <c r="S29" s="66">
        <f>SUMIFS(Accounts!$I:$I,Accounts!$E:$E,'AccountSummary (New)'!S$1,Accounts!$G:$G,'AccountSummary (New)'!S$2,Accounts!$F:$F,'AccountSummary (New)'!S$3,Accounts!$W:$W,0,Accounts!$C:$C,"Customer",Accounts!$H:$H,"&lt;="&amp;30)</f>
        <v/>
      </c>
      <c r="T29" s="66">
        <f>SUMIFS(Accounts!$I:$I,Accounts!$E:$E,'AccountSummary (New)'!T$1,Accounts!$G:$G,'AccountSummary (New)'!T$2,Accounts!$F:$F,'AccountSummary (New)'!T$3,Accounts!$W:$W,0,Accounts!$C:$C,"Customer",Accounts!$H:$H,"&lt;="&amp;30)</f>
        <v/>
      </c>
      <c r="U29" s="66">
        <f>SUMIFS(Accounts!$I:$I,Accounts!$E:$E,'AccountSummary (New)'!U$1,Accounts!$G:$G,'AccountSummary (New)'!U$2,Accounts!$F:$F,'AccountSummary (New)'!U$3,Accounts!$W:$W,0,Accounts!$C:$C,"Customer",Accounts!$H:$H,"&lt;="&amp;30)</f>
        <v/>
      </c>
      <c r="V29" s="66">
        <f>SUMIFS(Accounts!$I:$I,Accounts!$E:$E,'AccountSummary (New)'!V$1,Accounts!$G:$G,'AccountSummary (New)'!V$2,Accounts!$F:$F,'AccountSummary (New)'!V$3,Accounts!$W:$W,0,Accounts!$C:$C,"Customer",Accounts!$H:$H,"&lt;="&amp;30)</f>
        <v/>
      </c>
      <c r="W29" s="67">
        <f>SUM(Q29:V29)</f>
        <v/>
      </c>
    </row>
    <row r="30">
      <c r="A30" s="1" t="inlineStr">
        <is>
          <t>31-60 day cohort as of BOM</t>
        </is>
      </c>
      <c r="B30" s="65" t="n"/>
      <c r="C30" s="66" t="n"/>
      <c r="D30" s="66" t="n"/>
      <c r="E30" s="66" t="n"/>
      <c r="F30" s="66" t="n"/>
      <c r="G30" s="66" t="n"/>
      <c r="H30" s="66" t="n"/>
      <c r="I30" s="67" t="n"/>
      <c r="J30" s="66" t="n"/>
      <c r="K30" s="66" t="n"/>
      <c r="L30" s="66" t="n"/>
      <c r="M30" s="66" t="n"/>
      <c r="N30" s="66" t="n"/>
      <c r="O30" s="66" t="n"/>
      <c r="P30" s="67" t="n"/>
      <c r="Q30" s="66" t="n"/>
      <c r="R30" s="66" t="n"/>
      <c r="S30" s="66" t="n"/>
      <c r="T30" s="66" t="n"/>
      <c r="U30" s="66" t="n"/>
      <c r="V30" s="66" t="n"/>
      <c r="W30" s="67" t="n"/>
    </row>
    <row r="31">
      <c r="A31" s="1" t="inlineStr">
        <is>
          <t xml:space="preserve">   Total % of Paying Customers</t>
        </is>
      </c>
      <c r="B31" s="11">
        <f>IF(B$19=0,0,(B33+B34)/B$19)</f>
        <v/>
      </c>
      <c r="C31" s="8">
        <f>IF(C$19=0,0,(C33+C34)/C$19)</f>
        <v/>
      </c>
      <c r="D31" s="8">
        <f>IF(D$19=0,0,(D33+D34)/D$19)</f>
        <v/>
      </c>
      <c r="E31" s="8">
        <f>IF(E$19=0,0,(E33+E34)/E$19)</f>
        <v/>
      </c>
      <c r="F31" s="8">
        <f>IF(F$19=0,0,(F33+F34)/F$19)</f>
        <v/>
      </c>
      <c r="G31" s="8">
        <f>IF(G$19=0,0,(G33+G34)/G$19)</f>
        <v/>
      </c>
      <c r="H31" s="8">
        <f>IF(H$19=0,0,(H33+H34)/H$19)</f>
        <v/>
      </c>
      <c r="I31" s="20">
        <f>IF(I$19=0,0,(I33+I34)/I$19)</f>
        <v/>
      </c>
      <c r="J31" s="8">
        <f>IF(J$19=0,0,(J33+J34)/J$19)</f>
        <v/>
      </c>
      <c r="K31" s="8">
        <f>IF(K$19=0,0,(K33+K34)/K$19)</f>
        <v/>
      </c>
      <c r="L31" s="8">
        <f>IF(L$19=0,0,(L33+L34)/L$19)</f>
        <v/>
      </c>
      <c r="M31" s="8">
        <f>IF(M$19=0,0,(M33+M34)/M$19)</f>
        <v/>
      </c>
      <c r="N31" s="8">
        <f>IF(N$19=0,0,(N33+N34)/N$19)</f>
        <v/>
      </c>
      <c r="O31" s="8">
        <f>IF(O$19=0,0,(O33+O34)/O$19)</f>
        <v/>
      </c>
      <c r="P31" s="20">
        <f>IF(P$19=0,0,(P33+P34)/P$19)</f>
        <v/>
      </c>
      <c r="Q31" s="8">
        <f>IF(Q$19=0,0,(Q33+Q34)/Q$19)</f>
        <v/>
      </c>
      <c r="R31" s="8">
        <f>IF(R$19=0,0,(R33+R34)/R$19)</f>
        <v/>
      </c>
      <c r="S31" s="8">
        <f>IF(S$19=0,0,(S33+S34)/S$19)</f>
        <v/>
      </c>
      <c r="T31" s="8">
        <f>IF(T$19=0,0,(T33+T34)/T$19)</f>
        <v/>
      </c>
      <c r="U31" s="8">
        <f>IF(U$19=0,0,(U33+U34)/U$19)</f>
        <v/>
      </c>
      <c r="V31" s="8">
        <f>IF(V$19=0,0,(V33+V34)/V$19)</f>
        <v/>
      </c>
      <c r="W31" s="20">
        <f>IF(W$19=0,0,(W33+W34)/W$19)</f>
        <v/>
      </c>
    </row>
    <row r="32">
      <c r="A32" s="1" t="inlineStr">
        <is>
          <t xml:space="preserve">   Loss %</t>
        </is>
      </c>
      <c r="B32" s="11">
        <f>IF((B33+B34)=0,0,B33/(B33+B34))</f>
        <v/>
      </c>
      <c r="C32" s="8">
        <f>IF((C33+C34)=0,0,C33/(C33+C34))</f>
        <v/>
      </c>
      <c r="D32" s="8">
        <f>IF((D33+D34)=0,0,D33/(D33+D34))</f>
        <v/>
      </c>
      <c r="E32" s="8">
        <f>IF((E33+E34)=0,0,E33/(E33+E34))</f>
        <v/>
      </c>
      <c r="F32" s="8">
        <f>IF((F33+F34)=0,0,F33/(F33+F34))</f>
        <v/>
      </c>
      <c r="G32" s="8">
        <f>IF((G33+G34)=0,0,G33/(G33+G34))</f>
        <v/>
      </c>
      <c r="H32" s="8">
        <f>IF((H33+H34)=0,0,H33/(H33+H34))</f>
        <v/>
      </c>
      <c r="I32" s="20">
        <f>IF((I33+I34)=0,0,I33/(I33+I34))</f>
        <v/>
      </c>
      <c r="J32" s="8">
        <f>IF((J33+J34)=0,0,J33/(J33+J34))</f>
        <v/>
      </c>
      <c r="K32" s="8">
        <f>IF((K33+K34)=0,0,K33/(K33+K34))</f>
        <v/>
      </c>
      <c r="L32" s="8">
        <f>IF((L33+L34)=0,0,L33/(L33+L34))</f>
        <v/>
      </c>
      <c r="M32" s="8">
        <f>IF((M33+M34)=0,0,M33/(M33+M34))</f>
        <v/>
      </c>
      <c r="N32" s="8">
        <f>IF((N33+N34)=0,0,N33/(N33+N34))</f>
        <v/>
      </c>
      <c r="O32" s="8">
        <f>IF((O33+O34)=0,0,O33/(O33+O34))</f>
        <v/>
      </c>
      <c r="P32" s="20">
        <f>IF((P33+P34)=0,0,P33/(P33+P34))</f>
        <v/>
      </c>
      <c r="Q32" s="8">
        <f>IF((Q33+Q34)=0,0,Q33/(Q33+Q34))</f>
        <v/>
      </c>
      <c r="R32" s="8">
        <f>IF((R33+R34)=0,0,R33/(R33+R34))</f>
        <v/>
      </c>
      <c r="S32" s="8">
        <f>IF((S33+S34)=0,0,S33/(S33+S34))</f>
        <v/>
      </c>
      <c r="T32" s="8">
        <f>IF((T33+T34)=0,0,T33/(T33+T34))</f>
        <v/>
      </c>
      <c r="U32" s="8">
        <f>IF((U33+U34)=0,0,U33/(U33+U34))</f>
        <v/>
      </c>
      <c r="V32" s="8">
        <f>IF((V33+V34)=0,0,V33/(V33+V34))</f>
        <v/>
      </c>
      <c r="W32" s="20">
        <f>IF((W33+W34)=0,0,W33/(W33+W34))</f>
        <v/>
      </c>
    </row>
    <row r="33">
      <c r="A33" s="1" t="inlineStr">
        <is>
          <t xml:space="preserve">   Lost Count</t>
        </is>
      </c>
      <c r="B33" s="9">
        <f>I33+P33+W33</f>
        <v/>
      </c>
      <c r="C33">
        <f>COUNTIFS(Accounts!$E:$E,'AccountSummary (New)'!C$1,Accounts!$G:$G,'AccountSummary (New)'!C$2,Accounts!$F:$F,'AccountSummary (New)'!C$3,Accounts!$B:$B,"Customer",Accounts!$C:$C,"Lost",Accounts!$H:$H,"&gt;"&amp;30,Accounts!$H:$H,"&lt;="&amp;60)</f>
        <v/>
      </c>
      <c r="D33">
        <f>COUNTIFS(Accounts!$E:$E,'AccountSummary (New)'!D$1,Accounts!$G:$G,'AccountSummary (New)'!D$2,Accounts!$F:$F,'AccountSummary (New)'!D$3,Accounts!$B:$B,"Customer",Accounts!$C:$C,"Lost",Accounts!$H:$H,"&gt;"&amp;30,Accounts!$H:$H,"&lt;="&amp;60)</f>
        <v/>
      </c>
      <c r="E33">
        <f>COUNTIFS(Accounts!$E:$E,'AccountSummary (New)'!E$1,Accounts!$G:$G,'AccountSummary (New)'!E$2,Accounts!$F:$F,'AccountSummary (New)'!E$3,Accounts!$B:$B,"Customer",Accounts!$C:$C,"Lost",Accounts!$H:$H,"&gt;"&amp;30,Accounts!$H:$H,"&lt;="&amp;60)</f>
        <v/>
      </c>
      <c r="F33">
        <f>COUNTIFS(Accounts!$E:$E,'AccountSummary (New)'!F$1,Accounts!$G:$G,'AccountSummary (New)'!F$2,Accounts!$F:$F,'AccountSummary (New)'!F$3,Accounts!$B:$B,"Customer",Accounts!$C:$C,"Lost",Accounts!$H:$H,"&gt;"&amp;30,Accounts!$H:$H,"&lt;="&amp;60)</f>
        <v/>
      </c>
      <c r="G33">
        <f>COUNTIFS(Accounts!$E:$E,'AccountSummary (New)'!G$1,Accounts!$G:$G,'AccountSummary (New)'!G$2,Accounts!$F:$F,'AccountSummary (New)'!G$3,Accounts!$B:$B,"Customer",Accounts!$C:$C,"Lost",Accounts!$H:$H,"&gt;"&amp;30,Accounts!$H:$H,"&lt;="&amp;60)</f>
        <v/>
      </c>
      <c r="H33">
        <f>COUNTIFS(Accounts!$E:$E,'AccountSummary (New)'!H$1,Accounts!$G:$G,'AccountSummary (New)'!H$2,Accounts!$F:$F,'AccountSummary (New)'!H$3,Accounts!$B:$B,"Customer",Accounts!$C:$C,"Lost",Accounts!$H:$H,"&gt;"&amp;30,Accounts!$H:$H,"&lt;="&amp;60)</f>
        <v/>
      </c>
      <c r="I33" s="15">
        <f>SUM(C33:H33)</f>
        <v/>
      </c>
      <c r="J33">
        <f>COUNTIFS(Accounts!$E:$E,'AccountSummary (New)'!J$1,Accounts!$G:$G,'AccountSummary (New)'!J$2,Accounts!$F:$F,'AccountSummary (New)'!J$3,Accounts!$B:$B,"Customer",Accounts!$C:$C,"Lost",Accounts!$H:$H,"&gt;"&amp;30,Accounts!$H:$H,"&lt;="&amp;60)</f>
        <v/>
      </c>
      <c r="K33">
        <f>COUNTIFS(Accounts!$E:$E,'AccountSummary (New)'!K$1,Accounts!$G:$G,'AccountSummary (New)'!K$2,Accounts!$F:$F,'AccountSummary (New)'!K$3,Accounts!$B:$B,"Customer",Accounts!$C:$C,"Lost",Accounts!$H:$H,"&gt;"&amp;30,Accounts!$H:$H,"&lt;="&amp;60)</f>
        <v/>
      </c>
      <c r="L33">
        <f>COUNTIFS(Accounts!$E:$E,'AccountSummary (New)'!L$1,Accounts!$G:$G,'AccountSummary (New)'!L$2,Accounts!$F:$F,'AccountSummary (New)'!L$3,Accounts!$B:$B,"Customer",Accounts!$C:$C,"Lost",Accounts!$H:$H,"&gt;"&amp;30,Accounts!$H:$H,"&lt;="&amp;60)</f>
        <v/>
      </c>
      <c r="M33">
        <f>COUNTIFS(Accounts!$E:$E,'AccountSummary (New)'!M$1,Accounts!$G:$G,'AccountSummary (New)'!M$2,Accounts!$F:$F,'AccountSummary (New)'!M$3,Accounts!$B:$B,"Customer",Accounts!$C:$C,"Lost",Accounts!$H:$H,"&gt;"&amp;30,Accounts!$H:$H,"&lt;="&amp;60)</f>
        <v/>
      </c>
      <c r="N33">
        <f>COUNTIFS(Accounts!$E:$E,'AccountSummary (New)'!N$1,Accounts!$G:$G,'AccountSummary (New)'!N$2,Accounts!$F:$F,'AccountSummary (New)'!N$3,Accounts!$B:$B,"Customer",Accounts!$C:$C,"Lost",Accounts!$H:$H,"&gt;"&amp;30,Accounts!$H:$H,"&lt;="&amp;60)</f>
        <v/>
      </c>
      <c r="O33">
        <f>COUNTIFS(Accounts!$E:$E,'AccountSummary (New)'!O$1,Accounts!$G:$G,'AccountSummary (New)'!O$2,Accounts!$F:$F,'AccountSummary (New)'!O$3,Accounts!$B:$B,"Customer",Accounts!$C:$C,"Lost",Accounts!$H:$H,"&gt;"&amp;30,Accounts!$H:$H,"&lt;="&amp;60)</f>
        <v/>
      </c>
      <c r="P33" s="15">
        <f>SUM(J33:O33)</f>
        <v/>
      </c>
      <c r="Q33">
        <f>COUNTIFS(Accounts!$E:$E,'AccountSummary (New)'!Q$1,Accounts!$G:$G,'AccountSummary (New)'!Q$2,Accounts!$F:$F,'AccountSummary (New)'!Q$3,Accounts!$B:$B,"Customer",Accounts!$C:$C,"Lost",Accounts!$H:$H,"&gt;"&amp;30,Accounts!$H:$H,"&lt;="&amp;60)</f>
        <v/>
      </c>
      <c r="R33">
        <f>COUNTIFS(Accounts!$E:$E,'AccountSummary (New)'!R$1,Accounts!$G:$G,'AccountSummary (New)'!R$2,Accounts!$F:$F,'AccountSummary (New)'!R$3,Accounts!$B:$B,"Customer",Accounts!$C:$C,"Lost",Accounts!$H:$H,"&gt;"&amp;30,Accounts!$H:$H,"&lt;="&amp;60)</f>
        <v/>
      </c>
      <c r="S33">
        <f>COUNTIFS(Accounts!$E:$E,'AccountSummary (New)'!S$1,Accounts!$G:$G,'AccountSummary (New)'!S$2,Accounts!$F:$F,'AccountSummary (New)'!S$3,Accounts!$B:$B,"Customer",Accounts!$C:$C,"Lost",Accounts!$H:$H,"&gt;"&amp;30,Accounts!$H:$H,"&lt;="&amp;60)</f>
        <v/>
      </c>
      <c r="T33">
        <f>COUNTIFS(Accounts!$E:$E,'AccountSummary (New)'!T$1,Accounts!$G:$G,'AccountSummary (New)'!T$2,Accounts!$F:$F,'AccountSummary (New)'!T$3,Accounts!$B:$B,"Customer",Accounts!$C:$C,"Lost",Accounts!$H:$H,"&gt;"&amp;30,Accounts!$H:$H,"&lt;="&amp;60)</f>
        <v/>
      </c>
      <c r="U33">
        <f>COUNTIFS(Accounts!$E:$E,'AccountSummary (New)'!U$1,Accounts!$G:$G,'AccountSummary (New)'!U$2,Accounts!$F:$F,'AccountSummary (New)'!U$3,Accounts!$B:$B,"Customer",Accounts!$C:$C,"Lost",Accounts!$H:$H,"&gt;"&amp;30,Accounts!$H:$H,"&lt;="&amp;60)</f>
        <v/>
      </c>
      <c r="V33">
        <f>COUNTIFS(Accounts!$E:$E,'AccountSummary (New)'!V$1,Accounts!$G:$G,'AccountSummary (New)'!V$2,Accounts!$F:$F,'AccountSummary (New)'!V$3,Accounts!$B:$B,"Customer",Accounts!$C:$C,"Lost",Accounts!$H:$H,"&gt;"&amp;30,Accounts!$H:$H,"&lt;="&amp;60)</f>
        <v/>
      </c>
      <c r="W33" s="15">
        <f>SUM(Q33:V33)</f>
        <v/>
      </c>
    </row>
    <row r="34">
      <c r="A34" s="1" t="inlineStr">
        <is>
          <t xml:space="preserve">   Retained Count</t>
        </is>
      </c>
      <c r="B34" s="9">
        <f>I34+P34+W34</f>
        <v/>
      </c>
      <c r="C34">
        <f>COUNTIFS(Accounts!$E:$E,'AccountSummary (New)'!C$1,Accounts!$G:$G,'AccountSummary (New)'!C$2,Accounts!$F:$F,'AccountSummary (New)'!C$3,Accounts!$B:$B,"Customer",Accounts!$C:$C,"Customer",Accounts!$H:$H,"&gt;"&amp;30,Accounts!$H:$H,"&lt;="&amp;60)</f>
        <v/>
      </c>
      <c r="D34">
        <f>COUNTIFS(Accounts!$E:$E,'AccountSummary (New)'!D$1,Accounts!$G:$G,'AccountSummary (New)'!D$2,Accounts!$F:$F,'AccountSummary (New)'!D$3,Accounts!$B:$B,"Customer",Accounts!$C:$C,"Customer",Accounts!$H:$H,"&gt;"&amp;30,Accounts!$H:$H,"&lt;="&amp;60)</f>
        <v/>
      </c>
      <c r="E34">
        <f>COUNTIFS(Accounts!$E:$E,'AccountSummary (New)'!E$1,Accounts!$G:$G,'AccountSummary (New)'!E$2,Accounts!$F:$F,'AccountSummary (New)'!E$3,Accounts!$B:$B,"Customer",Accounts!$C:$C,"Customer",Accounts!$H:$H,"&gt;"&amp;30,Accounts!$H:$H,"&lt;="&amp;60)</f>
        <v/>
      </c>
      <c r="F34">
        <f>COUNTIFS(Accounts!$E:$E,'AccountSummary (New)'!F$1,Accounts!$G:$G,'AccountSummary (New)'!F$2,Accounts!$F:$F,'AccountSummary (New)'!F$3,Accounts!$B:$B,"Customer",Accounts!$C:$C,"Customer",Accounts!$H:$H,"&gt;"&amp;30,Accounts!$H:$H,"&lt;="&amp;60)</f>
        <v/>
      </c>
      <c r="G34">
        <f>COUNTIFS(Accounts!$E:$E,'AccountSummary (New)'!G$1,Accounts!$G:$G,'AccountSummary (New)'!G$2,Accounts!$F:$F,'AccountSummary (New)'!G$3,Accounts!$B:$B,"Customer",Accounts!$C:$C,"Customer",Accounts!$H:$H,"&gt;"&amp;30,Accounts!$H:$H,"&lt;="&amp;60)</f>
        <v/>
      </c>
      <c r="H34">
        <f>COUNTIFS(Accounts!$E:$E,'AccountSummary (New)'!H$1,Accounts!$G:$G,'AccountSummary (New)'!H$2,Accounts!$F:$F,'AccountSummary (New)'!H$3,Accounts!$B:$B,"Customer",Accounts!$C:$C,"Customer",Accounts!$H:$H,"&gt;"&amp;30,Accounts!$H:$H,"&lt;="&amp;60)</f>
        <v/>
      </c>
      <c r="I34" s="15">
        <f>SUM(C34:H34)</f>
        <v/>
      </c>
      <c r="J34">
        <f>COUNTIFS(Accounts!$E:$E,'AccountSummary (New)'!J$1,Accounts!$G:$G,'AccountSummary (New)'!J$2,Accounts!$F:$F,'AccountSummary (New)'!J$3,Accounts!$B:$B,"Customer",Accounts!$C:$C,"Customer",Accounts!$H:$H,"&gt;"&amp;30,Accounts!$H:$H,"&lt;="&amp;60)</f>
        <v/>
      </c>
      <c r="K34">
        <f>COUNTIFS(Accounts!$E:$E,'AccountSummary (New)'!K$1,Accounts!$G:$G,'AccountSummary (New)'!K$2,Accounts!$F:$F,'AccountSummary (New)'!K$3,Accounts!$B:$B,"Customer",Accounts!$C:$C,"Customer",Accounts!$H:$H,"&gt;"&amp;30,Accounts!$H:$H,"&lt;="&amp;60)</f>
        <v/>
      </c>
      <c r="L34">
        <f>COUNTIFS(Accounts!$E:$E,'AccountSummary (New)'!L$1,Accounts!$G:$G,'AccountSummary (New)'!L$2,Accounts!$F:$F,'AccountSummary (New)'!L$3,Accounts!$B:$B,"Customer",Accounts!$C:$C,"Customer",Accounts!$H:$H,"&gt;"&amp;30,Accounts!$H:$H,"&lt;="&amp;60)</f>
        <v/>
      </c>
      <c r="M34">
        <f>COUNTIFS(Accounts!$E:$E,'AccountSummary (New)'!M$1,Accounts!$G:$G,'AccountSummary (New)'!M$2,Accounts!$F:$F,'AccountSummary (New)'!M$3,Accounts!$B:$B,"Customer",Accounts!$C:$C,"Customer",Accounts!$H:$H,"&gt;"&amp;30,Accounts!$H:$H,"&lt;="&amp;60)</f>
        <v/>
      </c>
      <c r="N34">
        <f>COUNTIFS(Accounts!$E:$E,'AccountSummary (New)'!N$1,Accounts!$G:$G,'AccountSummary (New)'!N$2,Accounts!$F:$F,'AccountSummary (New)'!N$3,Accounts!$B:$B,"Customer",Accounts!$C:$C,"Customer",Accounts!$H:$H,"&gt;"&amp;30,Accounts!$H:$H,"&lt;="&amp;60)</f>
        <v/>
      </c>
      <c r="O34">
        <f>COUNTIFS(Accounts!$E:$E,'AccountSummary (New)'!O$1,Accounts!$G:$G,'AccountSummary (New)'!O$2,Accounts!$F:$F,'AccountSummary (New)'!O$3,Accounts!$B:$B,"Customer",Accounts!$C:$C,"Customer",Accounts!$H:$H,"&gt;"&amp;30,Accounts!$H:$H,"&lt;="&amp;60)</f>
        <v/>
      </c>
      <c r="P34" s="15">
        <f>SUM(J34:O34)</f>
        <v/>
      </c>
      <c r="Q34">
        <f>COUNTIFS(Accounts!$E:$E,'AccountSummary (New)'!Q$1,Accounts!$G:$G,'AccountSummary (New)'!Q$2,Accounts!$F:$F,'AccountSummary (New)'!Q$3,Accounts!$B:$B,"Customer",Accounts!$C:$C,"Customer",Accounts!$H:$H,"&gt;"&amp;30,Accounts!$H:$H,"&lt;="&amp;60)</f>
        <v/>
      </c>
      <c r="R34">
        <f>COUNTIFS(Accounts!$E:$E,'AccountSummary (New)'!R$1,Accounts!$G:$G,'AccountSummary (New)'!R$2,Accounts!$F:$F,'AccountSummary (New)'!R$3,Accounts!$B:$B,"Customer",Accounts!$C:$C,"Customer",Accounts!$H:$H,"&gt;"&amp;30,Accounts!$H:$H,"&lt;="&amp;60)</f>
        <v/>
      </c>
      <c r="S34">
        <f>COUNTIFS(Accounts!$E:$E,'AccountSummary (New)'!S$1,Accounts!$G:$G,'AccountSummary (New)'!S$2,Accounts!$F:$F,'AccountSummary (New)'!S$3,Accounts!$B:$B,"Customer",Accounts!$C:$C,"Customer",Accounts!$H:$H,"&gt;"&amp;30,Accounts!$H:$H,"&lt;="&amp;60)</f>
        <v/>
      </c>
      <c r="T34">
        <f>COUNTIFS(Accounts!$E:$E,'AccountSummary (New)'!T$1,Accounts!$G:$G,'AccountSummary (New)'!T$2,Accounts!$F:$F,'AccountSummary (New)'!T$3,Accounts!$B:$B,"Customer",Accounts!$C:$C,"Customer",Accounts!$H:$H,"&gt;"&amp;30,Accounts!$H:$H,"&lt;="&amp;60)</f>
        <v/>
      </c>
      <c r="U34">
        <f>COUNTIFS(Accounts!$E:$E,'AccountSummary (New)'!U$1,Accounts!$G:$G,'AccountSummary (New)'!U$2,Accounts!$F:$F,'AccountSummary (New)'!U$3,Accounts!$B:$B,"Customer",Accounts!$C:$C,"Customer",Accounts!$H:$H,"&gt;"&amp;30,Accounts!$H:$H,"&lt;="&amp;60)</f>
        <v/>
      </c>
      <c r="V34">
        <f>COUNTIFS(Accounts!$E:$E,'AccountSummary (New)'!V$1,Accounts!$G:$G,'AccountSummary (New)'!V$2,Accounts!$F:$F,'AccountSummary (New)'!V$3,Accounts!$B:$B,"Customer",Accounts!$C:$C,"Customer",Accounts!$H:$H,"&gt;"&amp;30,Accounts!$H:$H,"&lt;="&amp;60)</f>
        <v/>
      </c>
      <c r="W34" s="15">
        <f>SUM(Q34:V34)</f>
        <v/>
      </c>
    </row>
    <row r="35">
      <c r="A35" s="2" t="inlineStr">
        <is>
          <t xml:space="preserve">   Packs per Account</t>
        </is>
      </c>
      <c r="B35" s="13">
        <f>IF(B34=0,0,SUMIFS(Accounts!$L:$L,Accounts!$W:$W,0,Accounts!$C:$C,"Customer",Accounts!$H:$H,"&gt;"&amp;30,Accounts!$H:$H,"&lt;="&amp;60)/B34)</f>
        <v/>
      </c>
      <c r="C35" s="4">
        <f>IF(C34=0,0,SUMIFS(Accounts!$L:$L,Accounts!$E:$E,'AccountSummary (New)'!C$1,Accounts!$G:$G,'AccountSummary (New)'!C$2,Accounts!$F:$F,'AccountSummary (New)'!C$3,Accounts!$W:$W,0,Accounts!$C:$C,"Customer",Accounts!$H:$H,"&gt;"&amp;30,Accounts!$H:$H,"&lt;="&amp;60)/C34)</f>
        <v/>
      </c>
      <c r="D35" s="4">
        <f>IF(D34=0,0,SUMIFS(Accounts!$L:$L,Accounts!$E:$E,'AccountSummary (New)'!D$1,Accounts!$G:$G,'AccountSummary (New)'!D$2,Accounts!$F:$F,'AccountSummary (New)'!D$3,Accounts!$W:$W,0,Accounts!$C:$C,"Customer",Accounts!$H:$H,"&gt;"&amp;30,Accounts!$H:$H,"&lt;="&amp;60)/D34)</f>
        <v/>
      </c>
      <c r="E35" s="4">
        <f>IF(E34=0,0,SUMIFS(Accounts!$L:$L,Accounts!$E:$E,'AccountSummary (New)'!E$1,Accounts!$G:$G,'AccountSummary (New)'!E$2,Accounts!$F:$F,'AccountSummary (New)'!E$3,Accounts!$W:$W,0,Accounts!$C:$C,"Customer",Accounts!$H:$H,"&gt;"&amp;30,Accounts!$H:$H,"&lt;="&amp;60)/E34)</f>
        <v/>
      </c>
      <c r="F35" s="4">
        <f>IF(F34=0,0,SUMIFS(Accounts!$L:$L,Accounts!$E:$E,'AccountSummary (New)'!F$1,Accounts!$G:$G,'AccountSummary (New)'!F$2,Accounts!$F:$F,'AccountSummary (New)'!F$3,Accounts!$W:$W,0,Accounts!$C:$C,"Customer",Accounts!$H:$H,"&gt;"&amp;30,Accounts!$H:$H,"&lt;="&amp;60)/F34)</f>
        <v/>
      </c>
      <c r="G35" s="4">
        <f>IF(G34=0,0,SUMIFS(Accounts!$L:$L,Accounts!$E:$E,'AccountSummary (New)'!G$1,Accounts!$G:$G,'AccountSummary (New)'!G$2,Accounts!$F:$F,'AccountSummary (New)'!G$3,Accounts!$W:$W,0,Accounts!$C:$C,"Customer",Accounts!$H:$H,"&gt;"&amp;30,Accounts!$H:$H,"&lt;="&amp;60)/G34)</f>
        <v/>
      </c>
      <c r="H35" s="4">
        <f>IF(H34=0,0,SUMIFS(Accounts!$L:$L,Accounts!$E:$E,'AccountSummary (New)'!H$1,Accounts!$G:$G,'AccountSummary (New)'!H$2,Accounts!$F:$F,'AccountSummary (New)'!H$3,Accounts!$W:$W,0,Accounts!$C:$C,"Customer",Accounts!$H:$H,"&gt;"&amp;30,Accounts!$H:$H,"&lt;="&amp;60)/H34)</f>
        <v/>
      </c>
      <c r="I35" s="5">
        <f>IF(I34=0,0,SUMIFS(Accounts!$L:$L,Accounts!$F:$F,'AccountSummary (New)'!I$3,Accounts!$W:$W,0,Accounts!$C:$C,"Customer",Accounts!$H:$H,"&gt;"&amp;30,Accounts!$H:$H,"&lt;="&amp;60)/I34)</f>
        <v/>
      </c>
      <c r="J35" s="4">
        <f>IF(J34=0,0,SUMIFS(Accounts!$L:$L,Accounts!$E:$E,'AccountSummary (New)'!J$1,Accounts!$G:$G,'AccountSummary (New)'!J$2,Accounts!$F:$F,'AccountSummary (New)'!J$3,Accounts!$W:$W,0,Accounts!$C:$C,"Customer",Accounts!$H:$H,"&gt;"&amp;30,Accounts!$H:$H,"&lt;="&amp;60)/J34)</f>
        <v/>
      </c>
      <c r="K35" s="4">
        <f>IF(K34=0,0,SUMIFS(Accounts!$L:$L,Accounts!$E:$E,'AccountSummary (New)'!K$1,Accounts!$G:$G,'AccountSummary (New)'!K$2,Accounts!$F:$F,'AccountSummary (New)'!K$3,Accounts!$W:$W,0,Accounts!$C:$C,"Customer",Accounts!$H:$H,"&gt;"&amp;30,Accounts!$H:$H,"&lt;="&amp;60)/K34)</f>
        <v/>
      </c>
      <c r="L35" s="4">
        <f>IF(L34=0,0,SUMIFS(Accounts!$L:$L,Accounts!$E:$E,'AccountSummary (New)'!L$1,Accounts!$G:$G,'AccountSummary (New)'!L$2,Accounts!$F:$F,'AccountSummary (New)'!L$3,Accounts!$W:$W,0,Accounts!$C:$C,"Customer",Accounts!$H:$H,"&gt;"&amp;30,Accounts!$H:$H,"&lt;="&amp;60)/L34)</f>
        <v/>
      </c>
      <c r="M35" s="4">
        <f>IF(M34=0,0,SUMIFS(Accounts!$L:$L,Accounts!$E:$E,'AccountSummary (New)'!M$1,Accounts!$G:$G,'AccountSummary (New)'!M$2,Accounts!$F:$F,'AccountSummary (New)'!M$3,Accounts!$W:$W,0,Accounts!$C:$C,"Customer",Accounts!$H:$H,"&gt;"&amp;30,Accounts!$H:$H,"&lt;="&amp;60)/M34)</f>
        <v/>
      </c>
      <c r="N35" s="4">
        <f>IF(N34=0,0,SUMIFS(Accounts!$L:$L,Accounts!$E:$E,'AccountSummary (New)'!N$1,Accounts!$G:$G,'AccountSummary (New)'!N$2,Accounts!$F:$F,'AccountSummary (New)'!N$3,Accounts!$W:$W,0,Accounts!$C:$C,"Customer",Accounts!$H:$H,"&gt;"&amp;30,Accounts!$H:$H,"&lt;="&amp;60)/N34)</f>
        <v/>
      </c>
      <c r="O35" s="4">
        <f>IF(O34=0,0,SUMIFS(Accounts!$L:$L,Accounts!$E:$E,'AccountSummary (New)'!O$1,Accounts!$G:$G,'AccountSummary (New)'!O$2,Accounts!$F:$F,'AccountSummary (New)'!O$3,Accounts!$W:$W,0,Accounts!$C:$C,"Customer",Accounts!$H:$H,"&gt;"&amp;30,Accounts!$H:$H,"&lt;="&amp;60)/O34)</f>
        <v/>
      </c>
      <c r="P35" s="5">
        <f>IF(P34=0,0,SUMIFS(Accounts!$L:$L,Accounts!$F:$F,'AccountSummary (New)'!P$3,Accounts!$W:$W,0,Accounts!$C:$C,"Customer",Accounts!$H:$H,"&gt;"&amp;30,Accounts!$H:$H,"&lt;="&amp;60)/P34)</f>
        <v/>
      </c>
      <c r="Q35" s="4">
        <f>IF(Q34=0,0,SUMIFS(Accounts!$L:$L,Accounts!$E:$E,'AccountSummary (New)'!Q$1,Accounts!$G:$G,'AccountSummary (New)'!Q$2,Accounts!$F:$F,'AccountSummary (New)'!Q$3,Accounts!$W:$W,0,Accounts!$C:$C,"Customer",Accounts!$H:$H,"&gt;"&amp;30,Accounts!$H:$H,"&lt;="&amp;60)/Q34)</f>
        <v/>
      </c>
      <c r="R35" s="4">
        <f>IF(R34=0,0,SUMIFS(Accounts!$L:$L,Accounts!$E:$E,'AccountSummary (New)'!R$1,Accounts!$G:$G,'AccountSummary (New)'!R$2,Accounts!$F:$F,'AccountSummary (New)'!R$3,Accounts!$W:$W,0,Accounts!$C:$C,"Customer",Accounts!$H:$H,"&gt;"&amp;30,Accounts!$H:$H,"&lt;="&amp;60)/R34)</f>
        <v/>
      </c>
      <c r="S35" s="4">
        <f>IF(S34=0,0,SUMIFS(Accounts!$L:$L,Accounts!$E:$E,'AccountSummary (New)'!S$1,Accounts!$G:$G,'AccountSummary (New)'!S$2,Accounts!$F:$F,'AccountSummary (New)'!S$3,Accounts!$W:$W,0,Accounts!$C:$C,"Customer",Accounts!$H:$H,"&gt;"&amp;30,Accounts!$H:$H,"&lt;="&amp;60)/S34)</f>
        <v/>
      </c>
      <c r="T35" s="4">
        <f>IF(T34=0,0,SUMIFS(Accounts!$L:$L,Accounts!$E:$E,'AccountSummary (New)'!T$1,Accounts!$G:$G,'AccountSummary (New)'!T$2,Accounts!$F:$F,'AccountSummary (New)'!T$3,Accounts!$W:$W,0,Accounts!$C:$C,"Customer",Accounts!$H:$H,"&gt;"&amp;30,Accounts!$H:$H,"&lt;="&amp;60)/T34)</f>
        <v/>
      </c>
      <c r="U35" s="4">
        <f>IF(U34=0,0,SUMIFS(Accounts!$L:$L,Accounts!$E:$E,'AccountSummary (New)'!U$1,Accounts!$G:$G,'AccountSummary (New)'!U$2,Accounts!$F:$F,'AccountSummary (New)'!U$3,Accounts!$W:$W,0,Accounts!$C:$C,"Customer",Accounts!$H:$H,"&gt;"&amp;30,Accounts!$H:$H,"&lt;="&amp;60)/U34)</f>
        <v/>
      </c>
      <c r="V35" s="4">
        <f>IF(V34=0,0,SUMIFS(Accounts!$L:$L,Accounts!$E:$E,'AccountSummary (New)'!V$1,Accounts!$G:$G,'AccountSummary (New)'!V$2,Accounts!$F:$F,'AccountSummary (New)'!V$3,Accounts!$W:$W,0,Accounts!$C:$C,"Customer",Accounts!$H:$H,"&gt;"&amp;30,Accounts!$H:$H,"&lt;="&amp;60)/V34)</f>
        <v/>
      </c>
      <c r="W35" s="5">
        <f>IF(W34=0,0,SUMIFS(Accounts!$L:$L,Accounts!$F:$F,'AccountSummary (New)'!W$3,Accounts!$W:$W,0,Accounts!$C:$C,"Customer",Accounts!$H:$H,"&gt;"&amp;30,Accounts!$H:$H,"&lt;="&amp;60)/W34)</f>
        <v/>
      </c>
    </row>
    <row r="36">
      <c r="A36" s="2" t="inlineStr">
        <is>
          <t xml:space="preserve">   Users per Account</t>
        </is>
      </c>
      <c r="B36" s="13">
        <f>IF(B34=0,0,SUMIFS(Accounts!$M:$M,Accounts!$W:$W,0,Accounts!$C:$C,"Customer",Accounts!$H:$H,"&gt;"&amp;30,Accounts!$H:$H,"&lt;="&amp;60)/B34)</f>
        <v/>
      </c>
      <c r="C36" s="4">
        <f>IF(C34=0,0,SUMIFS(Accounts!$M:$M,Accounts!$E:$E,'AccountSummary (New)'!C$1,Accounts!$G:$G,'AccountSummary (New)'!C$2,Accounts!$F:$F,'AccountSummary (New)'!C$3,Accounts!$W:$W,0,Accounts!$C:$C,"Customer",Accounts!$H:$H,"&gt;"&amp;30,Accounts!$H:$H,"&lt;="&amp;60)/C34)</f>
        <v/>
      </c>
      <c r="D36" s="4">
        <f>IF(D34=0,0,SUMIFS(Accounts!$M:$M,Accounts!$E:$E,'AccountSummary (New)'!D$1,Accounts!$G:$G,'AccountSummary (New)'!D$2,Accounts!$F:$F,'AccountSummary (New)'!D$3,Accounts!$W:$W,0,Accounts!$C:$C,"Customer",Accounts!$H:$H,"&gt;"&amp;30,Accounts!$H:$H,"&lt;="&amp;60)/D34)</f>
        <v/>
      </c>
      <c r="E36" s="4">
        <f>IF(E34=0,0,SUMIFS(Accounts!$M:$M,Accounts!$E:$E,'AccountSummary (New)'!E$1,Accounts!$G:$G,'AccountSummary (New)'!E$2,Accounts!$F:$F,'AccountSummary (New)'!E$3,Accounts!$W:$W,0,Accounts!$C:$C,"Customer",Accounts!$H:$H,"&gt;"&amp;30,Accounts!$H:$H,"&lt;="&amp;60)/E34)</f>
        <v/>
      </c>
      <c r="F36" s="4">
        <f>IF(F34=0,0,SUMIFS(Accounts!$M:$M,Accounts!$E:$E,'AccountSummary (New)'!F$1,Accounts!$G:$G,'AccountSummary (New)'!F$2,Accounts!$F:$F,'AccountSummary (New)'!F$3,Accounts!$W:$W,0,Accounts!$C:$C,"Customer",Accounts!$H:$H,"&gt;"&amp;30,Accounts!$H:$H,"&lt;="&amp;60)/F34)</f>
        <v/>
      </c>
      <c r="G36" s="4">
        <f>IF(G34=0,0,SUMIFS(Accounts!$M:$M,Accounts!$E:$E,'AccountSummary (New)'!G$1,Accounts!$G:$G,'AccountSummary (New)'!G$2,Accounts!$F:$F,'AccountSummary (New)'!G$3,Accounts!$W:$W,0,Accounts!$C:$C,"Customer",Accounts!$H:$H,"&gt;"&amp;30,Accounts!$H:$H,"&lt;="&amp;60)/G34)</f>
        <v/>
      </c>
      <c r="H36" s="4">
        <f>IF(H34=0,0,SUMIFS(Accounts!$M:$M,Accounts!$E:$E,'AccountSummary (New)'!H$1,Accounts!$G:$G,'AccountSummary (New)'!H$2,Accounts!$F:$F,'AccountSummary (New)'!H$3,Accounts!$W:$W,0,Accounts!$C:$C,"Customer",Accounts!$H:$H,"&gt;"&amp;30,Accounts!$H:$H,"&lt;="&amp;60)/H34)</f>
        <v/>
      </c>
      <c r="I36" s="5">
        <f>IF(I34=0,0,SUMIFS(Accounts!$M:$M,Accounts!$F:$F,'AccountSummary (New)'!I$3,Accounts!$W:$W,0,Accounts!$C:$C,"Customer",Accounts!$H:$H,"&gt;"&amp;30,Accounts!$H:$H,"&lt;="&amp;60)/I34)</f>
        <v/>
      </c>
      <c r="J36" s="4">
        <f>IF(J34=0,0,SUMIFS(Accounts!$M:$M,Accounts!$E:$E,'AccountSummary (New)'!J$1,Accounts!$G:$G,'AccountSummary (New)'!J$2,Accounts!$F:$F,'AccountSummary (New)'!J$3,Accounts!$W:$W,0,Accounts!$C:$C,"Customer",Accounts!$H:$H,"&gt;"&amp;30,Accounts!$H:$H,"&lt;="&amp;60)/J34)</f>
        <v/>
      </c>
      <c r="K36" s="4">
        <f>IF(K34=0,0,SUMIFS(Accounts!$M:$M,Accounts!$E:$E,'AccountSummary (New)'!K$1,Accounts!$G:$G,'AccountSummary (New)'!K$2,Accounts!$F:$F,'AccountSummary (New)'!K$3,Accounts!$W:$W,0,Accounts!$C:$C,"Customer",Accounts!$H:$H,"&gt;"&amp;30,Accounts!$H:$H,"&lt;="&amp;60)/K34)</f>
        <v/>
      </c>
      <c r="L36" s="4">
        <f>IF(L34=0,0,SUMIFS(Accounts!$M:$M,Accounts!$E:$E,'AccountSummary (New)'!L$1,Accounts!$G:$G,'AccountSummary (New)'!L$2,Accounts!$F:$F,'AccountSummary (New)'!L$3,Accounts!$W:$W,0,Accounts!$C:$C,"Customer",Accounts!$H:$H,"&gt;"&amp;30,Accounts!$H:$H,"&lt;="&amp;60)/L34)</f>
        <v/>
      </c>
      <c r="M36" s="4">
        <f>IF(M34=0,0,SUMIFS(Accounts!$M:$M,Accounts!$E:$E,'AccountSummary (New)'!M$1,Accounts!$G:$G,'AccountSummary (New)'!M$2,Accounts!$F:$F,'AccountSummary (New)'!M$3,Accounts!$W:$W,0,Accounts!$C:$C,"Customer",Accounts!$H:$H,"&gt;"&amp;30,Accounts!$H:$H,"&lt;="&amp;60)/M34)</f>
        <v/>
      </c>
      <c r="N36" s="4">
        <f>IF(N34=0,0,SUMIFS(Accounts!$M:$M,Accounts!$E:$E,'AccountSummary (New)'!N$1,Accounts!$G:$G,'AccountSummary (New)'!N$2,Accounts!$F:$F,'AccountSummary (New)'!N$3,Accounts!$W:$W,0,Accounts!$C:$C,"Customer",Accounts!$H:$H,"&gt;"&amp;30,Accounts!$H:$H,"&lt;="&amp;60)/N34)</f>
        <v/>
      </c>
      <c r="O36" s="4">
        <f>IF(O34=0,0,SUMIFS(Accounts!$M:$M,Accounts!$E:$E,'AccountSummary (New)'!O$1,Accounts!$G:$G,'AccountSummary (New)'!O$2,Accounts!$F:$F,'AccountSummary (New)'!O$3,Accounts!$W:$W,0,Accounts!$C:$C,"Customer",Accounts!$H:$H,"&gt;"&amp;30,Accounts!$H:$H,"&lt;="&amp;60)/O34)</f>
        <v/>
      </c>
      <c r="P36" s="5">
        <f>IF(P34=0,0,SUMIFS(Accounts!$M:$M,Accounts!$F:$F,'AccountSummary (New)'!P$3,Accounts!$W:$W,0,Accounts!$C:$C,"Customer",Accounts!$H:$H,"&gt;"&amp;30,Accounts!$H:$H,"&lt;="&amp;60)/P34)</f>
        <v/>
      </c>
      <c r="Q36" s="4">
        <f>IF(Q34=0,0,SUMIFS(Accounts!$M:$M,Accounts!$E:$E,'AccountSummary (New)'!Q$1,Accounts!$G:$G,'AccountSummary (New)'!Q$2,Accounts!$F:$F,'AccountSummary (New)'!Q$3,Accounts!$W:$W,0,Accounts!$C:$C,"Customer",Accounts!$H:$H,"&gt;"&amp;30,Accounts!$H:$H,"&lt;="&amp;60)/Q34)</f>
        <v/>
      </c>
      <c r="R36" s="4">
        <f>IF(R34=0,0,SUMIFS(Accounts!$M:$M,Accounts!$E:$E,'AccountSummary (New)'!R$1,Accounts!$G:$G,'AccountSummary (New)'!R$2,Accounts!$F:$F,'AccountSummary (New)'!R$3,Accounts!$W:$W,0,Accounts!$C:$C,"Customer",Accounts!$H:$H,"&gt;"&amp;30,Accounts!$H:$H,"&lt;="&amp;60)/R34)</f>
        <v/>
      </c>
      <c r="S36" s="4">
        <f>IF(S34=0,0,SUMIFS(Accounts!$M:$M,Accounts!$E:$E,'AccountSummary (New)'!S$1,Accounts!$G:$G,'AccountSummary (New)'!S$2,Accounts!$F:$F,'AccountSummary (New)'!S$3,Accounts!$W:$W,0,Accounts!$C:$C,"Customer",Accounts!$H:$H,"&gt;"&amp;30,Accounts!$H:$H,"&lt;="&amp;60)/S34)</f>
        <v/>
      </c>
      <c r="T36" s="4">
        <f>IF(T34=0,0,SUMIFS(Accounts!$M:$M,Accounts!$E:$E,'AccountSummary (New)'!T$1,Accounts!$G:$G,'AccountSummary (New)'!T$2,Accounts!$F:$F,'AccountSummary (New)'!T$3,Accounts!$W:$W,0,Accounts!$C:$C,"Customer",Accounts!$H:$H,"&gt;"&amp;30,Accounts!$H:$H,"&lt;="&amp;60)/T34)</f>
        <v/>
      </c>
      <c r="U36" s="4">
        <f>IF(U34=0,0,SUMIFS(Accounts!$M:$M,Accounts!$E:$E,'AccountSummary (New)'!U$1,Accounts!$G:$G,'AccountSummary (New)'!U$2,Accounts!$F:$F,'AccountSummary (New)'!U$3,Accounts!$W:$W,0,Accounts!$C:$C,"Customer",Accounts!$H:$H,"&gt;"&amp;30,Accounts!$H:$H,"&lt;="&amp;60)/U34)</f>
        <v/>
      </c>
      <c r="V36" s="4">
        <f>IF(V34=0,0,SUMIFS(Accounts!$M:$M,Accounts!$E:$E,'AccountSummary (New)'!V$1,Accounts!$G:$G,'AccountSummary (New)'!V$2,Accounts!$F:$F,'AccountSummary (New)'!V$3,Accounts!$W:$W,0,Accounts!$C:$C,"Customer",Accounts!$H:$H,"&gt;"&amp;30,Accounts!$H:$H,"&lt;="&amp;60)/V34)</f>
        <v/>
      </c>
      <c r="W36" s="5">
        <f>IF(W34=0,0,SUMIFS(Accounts!$M:$M,Accounts!$F:$F,'AccountSummary (New)'!W$3,Accounts!$W:$W,0,Accounts!$C:$C,"Customer",Accounts!$H:$H,"&gt;"&amp;30,Accounts!$H:$H,"&lt;="&amp;60)/W34)</f>
        <v/>
      </c>
    </row>
    <row r="37">
      <c r="A37" s="1" t="inlineStr">
        <is>
          <t xml:space="preserve">   ARPC</t>
        </is>
      </c>
      <c r="B37" s="65">
        <f>IF(B34=0,0,B38/B34)</f>
        <v/>
      </c>
      <c r="C37" s="66">
        <f>IF(C34=0,0,C38/C34)</f>
        <v/>
      </c>
      <c r="D37" s="66">
        <f>IF(D34=0,0,D38/D34)</f>
        <v/>
      </c>
      <c r="E37" s="66">
        <f>IF(E34=0,0,E38/E34)</f>
        <v/>
      </c>
      <c r="F37" s="66">
        <f>IF(F34=0,0,F38/F34)</f>
        <v/>
      </c>
      <c r="G37" s="66">
        <f>IF(G34=0,0,G38/G34)</f>
        <v/>
      </c>
      <c r="H37" s="66">
        <f>IF(H34=0,0,H38/H34)</f>
        <v/>
      </c>
      <c r="I37" s="67">
        <f>IF(I34=0,0,I38/I34)</f>
        <v/>
      </c>
      <c r="J37" s="66">
        <f>IF(J34=0,0,J38/J34)</f>
        <v/>
      </c>
      <c r="K37" s="66">
        <f>IF(K34=0,0,K38/K34)</f>
        <v/>
      </c>
      <c r="L37" s="66">
        <f>IF(L34=0,0,L38/L34)</f>
        <v/>
      </c>
      <c r="M37" s="66">
        <f>IF(M34=0,0,M38/M34)</f>
        <v/>
      </c>
      <c r="N37" s="66">
        <f>IF(N34=0,0,N38/N34)</f>
        <v/>
      </c>
      <c r="O37" s="66">
        <f>IF(O34=0,0,O38/O34)</f>
        <v/>
      </c>
      <c r="P37" s="67">
        <f>IF(P34=0,0,P38/P34)</f>
        <v/>
      </c>
      <c r="Q37" s="66">
        <f>IF(Q34=0,0,Q38/Q34)</f>
        <v/>
      </c>
      <c r="R37" s="66">
        <f>IF(R34=0,0,R38/R34)</f>
        <v/>
      </c>
      <c r="S37" s="66">
        <f>IF(S34=0,0,S38/S34)</f>
        <v/>
      </c>
      <c r="T37" s="66">
        <f>IF(T34=0,0,T38/T34)</f>
        <v/>
      </c>
      <c r="U37" s="66">
        <f>IF(U34=0,0,U38/U34)</f>
        <v/>
      </c>
      <c r="V37" s="66">
        <f>IF(V34=0,0,V38/V34)</f>
        <v/>
      </c>
      <c r="W37" s="67">
        <f>IF(W34=0,0,W38/W34)</f>
        <v/>
      </c>
    </row>
    <row r="38">
      <c r="A38" s="1" t="inlineStr">
        <is>
          <t xml:space="preserve">   SaaS</t>
        </is>
      </c>
      <c r="B38" s="65">
        <f>I38+P38+W38</f>
        <v/>
      </c>
      <c r="C38" s="66">
        <f>SUMIFS(Accounts!$I:$I,Accounts!$E:$E,'AccountSummary (New)'!C$1,Accounts!$G:$G,'AccountSummary (New)'!C$2,Accounts!$F:$F,'AccountSummary (New)'!C$3,Accounts!$W:$W,0,Accounts!$C:$C,"Customer",Accounts!$H:$H,"&gt;"&amp;30,Accounts!$H:$H,"&lt;="&amp;60)</f>
        <v/>
      </c>
      <c r="D38" s="66">
        <f>SUMIFS(Accounts!$I:$I,Accounts!$E:$E,'AccountSummary (New)'!D$1,Accounts!$G:$G,'AccountSummary (New)'!D$2,Accounts!$F:$F,'AccountSummary (New)'!D$3,Accounts!$W:$W,0,Accounts!$C:$C,"Customer",Accounts!$H:$H,"&gt;"&amp;30,Accounts!$H:$H,"&lt;="&amp;60)</f>
        <v/>
      </c>
      <c r="E38" s="66">
        <f>SUMIFS(Accounts!$I:$I,Accounts!$E:$E,'AccountSummary (New)'!E$1,Accounts!$G:$G,'AccountSummary (New)'!E$2,Accounts!$F:$F,'AccountSummary (New)'!E$3,Accounts!$W:$W,0,Accounts!$C:$C,"Customer",Accounts!$H:$H,"&gt;"&amp;30,Accounts!$H:$H,"&lt;="&amp;60)</f>
        <v/>
      </c>
      <c r="F38" s="66">
        <f>SUMIFS(Accounts!$I:$I,Accounts!$E:$E,'AccountSummary (New)'!F$1,Accounts!$G:$G,'AccountSummary (New)'!F$2,Accounts!$F:$F,'AccountSummary (New)'!F$3,Accounts!$W:$W,0,Accounts!$C:$C,"Customer",Accounts!$H:$H,"&gt;"&amp;30,Accounts!$H:$H,"&lt;="&amp;60)</f>
        <v/>
      </c>
      <c r="G38" s="66">
        <f>SUMIFS(Accounts!$I:$I,Accounts!$E:$E,'AccountSummary (New)'!G$1,Accounts!$G:$G,'AccountSummary (New)'!G$2,Accounts!$F:$F,'AccountSummary (New)'!G$3,Accounts!$W:$W,0,Accounts!$C:$C,"Customer",Accounts!$H:$H,"&gt;"&amp;30,Accounts!$H:$H,"&lt;="&amp;60)</f>
        <v/>
      </c>
      <c r="H38" s="66">
        <f>SUMIFS(Accounts!$I:$I,Accounts!$E:$E,'AccountSummary (New)'!H$1,Accounts!$G:$G,'AccountSummary (New)'!H$2,Accounts!$F:$F,'AccountSummary (New)'!H$3,Accounts!$W:$W,0,Accounts!$C:$C,"Customer",Accounts!$H:$H,"&gt;"&amp;30,Accounts!$H:$H,"&lt;="&amp;60)</f>
        <v/>
      </c>
      <c r="I38" s="67">
        <f>SUM(C38:H38)</f>
        <v/>
      </c>
      <c r="J38" s="66">
        <f>SUMIFS(Accounts!$I:$I,Accounts!$E:$E,'AccountSummary (New)'!J$1,Accounts!$G:$G,'AccountSummary (New)'!J$2,Accounts!$F:$F,'AccountSummary (New)'!J$3,Accounts!$W:$W,0,Accounts!$C:$C,"Customer",Accounts!$H:$H,"&gt;"&amp;30,Accounts!$H:$H,"&lt;="&amp;60)</f>
        <v/>
      </c>
      <c r="K38" s="66">
        <f>SUMIFS(Accounts!$I:$I,Accounts!$E:$E,'AccountSummary (New)'!K$1,Accounts!$G:$G,'AccountSummary (New)'!K$2,Accounts!$F:$F,'AccountSummary (New)'!K$3,Accounts!$W:$W,0,Accounts!$C:$C,"Customer",Accounts!$H:$H,"&gt;"&amp;30,Accounts!$H:$H,"&lt;="&amp;60)</f>
        <v/>
      </c>
      <c r="L38" s="66">
        <f>SUMIFS(Accounts!$I:$I,Accounts!$E:$E,'AccountSummary (New)'!L$1,Accounts!$G:$G,'AccountSummary (New)'!L$2,Accounts!$F:$F,'AccountSummary (New)'!L$3,Accounts!$W:$W,0,Accounts!$C:$C,"Customer",Accounts!$H:$H,"&gt;"&amp;30,Accounts!$H:$H,"&lt;="&amp;60)</f>
        <v/>
      </c>
      <c r="M38" s="66">
        <f>SUMIFS(Accounts!$I:$I,Accounts!$E:$E,'AccountSummary (New)'!M$1,Accounts!$G:$G,'AccountSummary (New)'!M$2,Accounts!$F:$F,'AccountSummary (New)'!M$3,Accounts!$W:$W,0,Accounts!$C:$C,"Customer",Accounts!$H:$H,"&gt;"&amp;30,Accounts!$H:$H,"&lt;="&amp;60)</f>
        <v/>
      </c>
      <c r="N38" s="66">
        <f>SUMIFS(Accounts!$I:$I,Accounts!$E:$E,'AccountSummary (New)'!N$1,Accounts!$G:$G,'AccountSummary (New)'!N$2,Accounts!$F:$F,'AccountSummary (New)'!N$3,Accounts!$W:$W,0,Accounts!$C:$C,"Customer",Accounts!$H:$H,"&gt;"&amp;30,Accounts!$H:$H,"&lt;="&amp;60)</f>
        <v/>
      </c>
      <c r="O38" s="66">
        <f>SUMIFS(Accounts!$I:$I,Accounts!$E:$E,'AccountSummary (New)'!O$1,Accounts!$G:$G,'AccountSummary (New)'!O$2,Accounts!$F:$F,'AccountSummary (New)'!O$3,Accounts!$W:$W,0,Accounts!$C:$C,"Customer",Accounts!$H:$H,"&gt;"&amp;30,Accounts!$H:$H,"&lt;="&amp;60)</f>
        <v/>
      </c>
      <c r="P38" s="67">
        <f>SUM(J38:O38)</f>
        <v/>
      </c>
      <c r="Q38" s="66">
        <f>SUMIFS(Accounts!$I:$I,Accounts!$E:$E,'AccountSummary (New)'!Q$1,Accounts!$G:$G,'AccountSummary (New)'!Q$2,Accounts!$F:$F,'AccountSummary (New)'!Q$3,Accounts!$W:$W,0,Accounts!$C:$C,"Customer",Accounts!$H:$H,"&gt;"&amp;30,Accounts!$H:$H,"&lt;="&amp;60)</f>
        <v/>
      </c>
      <c r="R38" s="66">
        <f>SUMIFS(Accounts!$I:$I,Accounts!$E:$E,'AccountSummary (New)'!R$1,Accounts!$G:$G,'AccountSummary (New)'!R$2,Accounts!$F:$F,'AccountSummary (New)'!R$3,Accounts!$W:$W,0,Accounts!$C:$C,"Customer",Accounts!$H:$H,"&gt;"&amp;30,Accounts!$H:$H,"&lt;="&amp;60)</f>
        <v/>
      </c>
      <c r="S38" s="66">
        <f>SUMIFS(Accounts!$I:$I,Accounts!$E:$E,'AccountSummary (New)'!S$1,Accounts!$G:$G,'AccountSummary (New)'!S$2,Accounts!$F:$F,'AccountSummary (New)'!S$3,Accounts!$W:$W,0,Accounts!$C:$C,"Customer",Accounts!$H:$H,"&gt;"&amp;30,Accounts!$H:$H,"&lt;="&amp;60)</f>
        <v/>
      </c>
      <c r="T38" s="66">
        <f>SUMIFS(Accounts!$I:$I,Accounts!$E:$E,'AccountSummary (New)'!T$1,Accounts!$G:$G,'AccountSummary (New)'!T$2,Accounts!$F:$F,'AccountSummary (New)'!T$3,Accounts!$W:$W,0,Accounts!$C:$C,"Customer",Accounts!$H:$H,"&gt;"&amp;30,Accounts!$H:$H,"&lt;="&amp;60)</f>
        <v/>
      </c>
      <c r="U38" s="66">
        <f>SUMIFS(Accounts!$I:$I,Accounts!$E:$E,'AccountSummary (New)'!U$1,Accounts!$G:$G,'AccountSummary (New)'!U$2,Accounts!$F:$F,'AccountSummary (New)'!U$3,Accounts!$W:$W,0,Accounts!$C:$C,"Customer",Accounts!$H:$H,"&gt;"&amp;30,Accounts!$H:$H,"&lt;="&amp;60)</f>
        <v/>
      </c>
      <c r="V38" s="66">
        <f>SUMIFS(Accounts!$I:$I,Accounts!$E:$E,'AccountSummary (New)'!V$1,Accounts!$G:$G,'AccountSummary (New)'!V$2,Accounts!$F:$F,'AccountSummary (New)'!V$3,Accounts!$W:$W,0,Accounts!$C:$C,"Customer",Accounts!$H:$H,"&gt;"&amp;30,Accounts!$H:$H,"&lt;="&amp;60)</f>
        <v/>
      </c>
      <c r="W38" s="67">
        <f>SUM(Q38:V38)</f>
        <v/>
      </c>
    </row>
    <row r="39">
      <c r="A39" s="1" t="inlineStr">
        <is>
          <t>61-90 day cohort as of BOM</t>
        </is>
      </c>
      <c r="B39" s="65" t="n"/>
      <c r="C39" s="66" t="n"/>
      <c r="D39" s="66" t="n"/>
      <c r="E39" s="66" t="n"/>
      <c r="F39" s="66" t="n"/>
      <c r="G39" s="66" t="n"/>
      <c r="H39" s="66" t="n"/>
      <c r="I39" s="67" t="n"/>
      <c r="J39" s="66" t="n"/>
      <c r="K39" s="66" t="n"/>
      <c r="L39" s="66" t="n"/>
      <c r="M39" s="66" t="n"/>
      <c r="N39" s="66" t="n"/>
      <c r="O39" s="66" t="n"/>
      <c r="P39" s="67" t="n"/>
      <c r="Q39" s="66" t="n"/>
      <c r="R39" s="66" t="n"/>
      <c r="S39" s="66" t="n"/>
      <c r="T39" s="66" t="n"/>
      <c r="U39" s="66" t="n"/>
      <c r="V39" s="66" t="n"/>
      <c r="W39" s="67" t="n"/>
    </row>
    <row r="40">
      <c r="A40" s="1" t="inlineStr">
        <is>
          <t xml:space="preserve">   Total % of Paying Customers</t>
        </is>
      </c>
      <c r="B40" s="11">
        <f>IF(B$19=0,0,(B42+B43)/B$19)</f>
        <v/>
      </c>
      <c r="C40" s="8">
        <f>IF(C$19=0,0,(C42+C43)/C$19)</f>
        <v/>
      </c>
      <c r="D40" s="8">
        <f>IF(D$19=0,0,(D42+D43)/D$19)</f>
        <v/>
      </c>
      <c r="E40" s="8">
        <f>IF(E$19=0,0,(E42+E43)/E$19)</f>
        <v/>
      </c>
      <c r="F40" s="8">
        <f>IF(F$19=0,0,(F42+F43)/F$19)</f>
        <v/>
      </c>
      <c r="G40" s="8">
        <f>IF(G$19=0,0,(G42+G43)/G$19)</f>
        <v/>
      </c>
      <c r="H40" s="8">
        <f>IF(H$19=0,0,(H42+H43)/H$19)</f>
        <v/>
      </c>
      <c r="I40" s="20">
        <f>IF(I$19=0,0,(I42+I43)/I$19)</f>
        <v/>
      </c>
      <c r="J40" s="8">
        <f>IF(J$19=0,0,(J42+J43)/J$19)</f>
        <v/>
      </c>
      <c r="K40" s="8">
        <f>IF(K$19=0,0,(K42+K43)/K$19)</f>
        <v/>
      </c>
      <c r="L40" s="8">
        <f>IF(L$19=0,0,(L42+L43)/L$19)</f>
        <v/>
      </c>
      <c r="M40" s="8">
        <f>IF(M$19=0,0,(M42+M43)/M$19)</f>
        <v/>
      </c>
      <c r="N40" s="8">
        <f>IF(N$19=0,0,(N42+N43)/N$19)</f>
        <v/>
      </c>
      <c r="O40" s="8">
        <f>IF(O$19=0,0,(O42+O43)/O$19)</f>
        <v/>
      </c>
      <c r="P40" s="20">
        <f>IF(P$19=0,0,(P42+P43)/P$19)</f>
        <v/>
      </c>
      <c r="Q40" s="8">
        <f>IF(Q$19=0,0,(Q42+Q43)/Q$19)</f>
        <v/>
      </c>
      <c r="R40" s="8">
        <f>IF(R$19=0,0,(R42+R43)/R$19)</f>
        <v/>
      </c>
      <c r="S40" s="8">
        <f>IF(S$19=0,0,(S42+S43)/S$19)</f>
        <v/>
      </c>
      <c r="T40" s="8">
        <f>IF(T$19=0,0,(T42+T43)/T$19)</f>
        <v/>
      </c>
      <c r="U40" s="8">
        <f>IF(U$19=0,0,(U42+U43)/U$19)</f>
        <v/>
      </c>
      <c r="V40" s="8">
        <f>IF(V$19=0,0,(V42+V43)/V$19)</f>
        <v/>
      </c>
      <c r="W40" s="20">
        <f>IF(W$19=0,0,(W42+W43)/W$19)</f>
        <v/>
      </c>
    </row>
    <row r="41">
      <c r="A41" s="1" t="inlineStr">
        <is>
          <t xml:space="preserve">   Loss %</t>
        </is>
      </c>
      <c r="B41" s="11">
        <f>IF((B42+B43)=0,0,B42/(B42+B43))</f>
        <v/>
      </c>
      <c r="C41" s="8">
        <f>IF((C42+C43)=0,0,C42/(C42+C43))</f>
        <v/>
      </c>
      <c r="D41" s="8">
        <f>IF((D42+D43)=0,0,D42/(D42+D43))</f>
        <v/>
      </c>
      <c r="E41" s="8">
        <f>IF((E42+E43)=0,0,E42/(E42+E43))</f>
        <v/>
      </c>
      <c r="F41" s="8">
        <f>IF((F42+F43)=0,0,F42/(F42+F43))</f>
        <v/>
      </c>
      <c r="G41" s="8">
        <f>IF((G42+G43)=0,0,G42/(G42+G43))</f>
        <v/>
      </c>
      <c r="H41" s="8">
        <f>IF((H42+H43)=0,0,H42/(H42+H43))</f>
        <v/>
      </c>
      <c r="I41" s="20">
        <f>IF((I42+I43)=0,0,I42/(I42+I43))</f>
        <v/>
      </c>
      <c r="J41" s="8">
        <f>IF((J42+J43)=0,0,J42/(J42+J43))</f>
        <v/>
      </c>
      <c r="K41" s="8">
        <f>IF((K42+K43)=0,0,K42/(K42+K43))</f>
        <v/>
      </c>
      <c r="L41" s="8">
        <f>IF((L42+L43)=0,0,L42/(L42+L43))</f>
        <v/>
      </c>
      <c r="M41" s="8">
        <f>IF((M42+M43)=0,0,M42/(M42+M43))</f>
        <v/>
      </c>
      <c r="N41" s="8">
        <f>IF((N42+N43)=0,0,N42/(N42+N43))</f>
        <v/>
      </c>
      <c r="O41" s="8">
        <f>IF((O42+O43)=0,0,O42/(O42+O43))</f>
        <v/>
      </c>
      <c r="P41" s="20">
        <f>IF((P42+P43)=0,0,P42/(P42+P43))</f>
        <v/>
      </c>
      <c r="Q41" s="8">
        <f>IF((Q42+Q43)=0,0,Q42/(Q42+Q43))</f>
        <v/>
      </c>
      <c r="R41" s="8">
        <f>IF((R42+R43)=0,0,R42/(R42+R43))</f>
        <v/>
      </c>
      <c r="S41" s="8">
        <f>IF((S42+S43)=0,0,S42/(S42+S43))</f>
        <v/>
      </c>
      <c r="T41" s="8">
        <f>IF((T42+T43)=0,0,T42/(T42+T43))</f>
        <v/>
      </c>
      <c r="U41" s="8">
        <f>IF((U42+U43)=0,0,U42/(U42+U43))</f>
        <v/>
      </c>
      <c r="V41" s="8">
        <f>IF((V42+V43)=0,0,V42/(V42+V43))</f>
        <v/>
      </c>
      <c r="W41" s="20">
        <f>IF((W42+W43)=0,0,W42/(W42+W43))</f>
        <v/>
      </c>
    </row>
    <row r="42">
      <c r="A42" s="1" t="inlineStr">
        <is>
          <t xml:space="preserve">   Lost Count</t>
        </is>
      </c>
      <c r="B42" s="9">
        <f>I42+P42+W42</f>
        <v/>
      </c>
      <c r="C42">
        <f>COUNTIFS(Accounts!$E:$E,'AccountSummary (New)'!C$1,Accounts!$G:$G,'AccountSummary (New)'!C$2,Accounts!$F:$F,'AccountSummary (New)'!C$3,Accounts!$B:$B,"Customer",Accounts!$C:$C,"Lost",Accounts!$H:$H,"&gt;"&amp;60,Accounts!$H:$H,"&lt;="&amp;90)</f>
        <v/>
      </c>
      <c r="D42">
        <f>COUNTIFS(Accounts!$E:$E,'AccountSummary (New)'!D$1,Accounts!$G:$G,'AccountSummary (New)'!D$2,Accounts!$F:$F,'AccountSummary (New)'!D$3,Accounts!$B:$B,"Customer",Accounts!$C:$C,"Lost",Accounts!$H:$H,"&gt;"&amp;60,Accounts!$H:$H,"&lt;="&amp;90)</f>
        <v/>
      </c>
      <c r="E42">
        <f>COUNTIFS(Accounts!$E:$E,'AccountSummary (New)'!E$1,Accounts!$G:$G,'AccountSummary (New)'!E$2,Accounts!$F:$F,'AccountSummary (New)'!E$3,Accounts!$B:$B,"Customer",Accounts!$C:$C,"Lost",Accounts!$H:$H,"&gt;"&amp;60,Accounts!$H:$H,"&lt;="&amp;90)</f>
        <v/>
      </c>
      <c r="F42">
        <f>COUNTIFS(Accounts!$E:$E,'AccountSummary (New)'!F$1,Accounts!$G:$G,'AccountSummary (New)'!F$2,Accounts!$F:$F,'AccountSummary (New)'!F$3,Accounts!$B:$B,"Customer",Accounts!$C:$C,"Lost",Accounts!$H:$H,"&gt;"&amp;60,Accounts!$H:$H,"&lt;="&amp;90)</f>
        <v/>
      </c>
      <c r="G42">
        <f>COUNTIFS(Accounts!$E:$E,'AccountSummary (New)'!G$1,Accounts!$G:$G,'AccountSummary (New)'!G$2,Accounts!$F:$F,'AccountSummary (New)'!G$3,Accounts!$B:$B,"Customer",Accounts!$C:$C,"Lost",Accounts!$H:$H,"&gt;"&amp;60,Accounts!$H:$H,"&lt;="&amp;90)</f>
        <v/>
      </c>
      <c r="H42">
        <f>COUNTIFS(Accounts!$E:$E,'AccountSummary (New)'!H$1,Accounts!$G:$G,'AccountSummary (New)'!H$2,Accounts!$F:$F,'AccountSummary (New)'!H$3,Accounts!$B:$B,"Customer",Accounts!$C:$C,"Lost",Accounts!$H:$H,"&gt;"&amp;60,Accounts!$H:$H,"&lt;="&amp;90)</f>
        <v/>
      </c>
      <c r="I42" s="15">
        <f>SUM(C42:H42)</f>
        <v/>
      </c>
      <c r="J42">
        <f>COUNTIFS(Accounts!$E:$E,'AccountSummary (New)'!J$1,Accounts!$G:$G,'AccountSummary (New)'!J$2,Accounts!$F:$F,'AccountSummary (New)'!J$3,Accounts!$B:$B,"Customer",Accounts!$C:$C,"Lost",Accounts!$H:$H,"&gt;"&amp;60,Accounts!$H:$H,"&lt;="&amp;90)</f>
        <v/>
      </c>
      <c r="K42">
        <f>COUNTIFS(Accounts!$E:$E,'AccountSummary (New)'!K$1,Accounts!$G:$G,'AccountSummary (New)'!K$2,Accounts!$F:$F,'AccountSummary (New)'!K$3,Accounts!$B:$B,"Customer",Accounts!$C:$C,"Lost",Accounts!$H:$H,"&gt;"&amp;60,Accounts!$H:$H,"&lt;="&amp;90)</f>
        <v/>
      </c>
      <c r="L42">
        <f>COUNTIFS(Accounts!$E:$E,'AccountSummary (New)'!L$1,Accounts!$G:$G,'AccountSummary (New)'!L$2,Accounts!$F:$F,'AccountSummary (New)'!L$3,Accounts!$B:$B,"Customer",Accounts!$C:$C,"Lost",Accounts!$H:$H,"&gt;"&amp;60,Accounts!$H:$H,"&lt;="&amp;90)</f>
        <v/>
      </c>
      <c r="M42">
        <f>COUNTIFS(Accounts!$E:$E,'AccountSummary (New)'!M$1,Accounts!$G:$G,'AccountSummary (New)'!M$2,Accounts!$F:$F,'AccountSummary (New)'!M$3,Accounts!$B:$B,"Customer",Accounts!$C:$C,"Lost",Accounts!$H:$H,"&gt;"&amp;60,Accounts!$H:$H,"&lt;="&amp;90)</f>
        <v/>
      </c>
      <c r="N42">
        <f>COUNTIFS(Accounts!$E:$E,'AccountSummary (New)'!N$1,Accounts!$G:$G,'AccountSummary (New)'!N$2,Accounts!$F:$F,'AccountSummary (New)'!N$3,Accounts!$B:$B,"Customer",Accounts!$C:$C,"Lost",Accounts!$H:$H,"&gt;"&amp;60,Accounts!$H:$H,"&lt;="&amp;90)</f>
        <v/>
      </c>
      <c r="O42">
        <f>COUNTIFS(Accounts!$E:$E,'AccountSummary (New)'!O$1,Accounts!$G:$G,'AccountSummary (New)'!O$2,Accounts!$F:$F,'AccountSummary (New)'!O$3,Accounts!$B:$B,"Customer",Accounts!$C:$C,"Lost",Accounts!$H:$H,"&gt;"&amp;60,Accounts!$H:$H,"&lt;="&amp;90)</f>
        <v/>
      </c>
      <c r="P42" s="15">
        <f>SUM(J42:O42)</f>
        <v/>
      </c>
      <c r="Q42">
        <f>COUNTIFS(Accounts!$E:$E,'AccountSummary (New)'!Q$1,Accounts!$G:$G,'AccountSummary (New)'!Q$2,Accounts!$F:$F,'AccountSummary (New)'!Q$3,Accounts!$B:$B,"Customer",Accounts!$C:$C,"Lost",Accounts!$H:$H,"&gt;"&amp;60,Accounts!$H:$H,"&lt;="&amp;90)</f>
        <v/>
      </c>
      <c r="R42">
        <f>COUNTIFS(Accounts!$E:$E,'AccountSummary (New)'!R$1,Accounts!$G:$G,'AccountSummary (New)'!R$2,Accounts!$F:$F,'AccountSummary (New)'!R$3,Accounts!$B:$B,"Customer",Accounts!$C:$C,"Lost",Accounts!$H:$H,"&gt;"&amp;60,Accounts!$H:$H,"&lt;="&amp;90)</f>
        <v/>
      </c>
      <c r="S42">
        <f>COUNTIFS(Accounts!$E:$E,'AccountSummary (New)'!S$1,Accounts!$G:$G,'AccountSummary (New)'!S$2,Accounts!$F:$F,'AccountSummary (New)'!S$3,Accounts!$B:$B,"Customer",Accounts!$C:$C,"Lost",Accounts!$H:$H,"&gt;"&amp;60,Accounts!$H:$H,"&lt;="&amp;90)</f>
        <v/>
      </c>
      <c r="T42">
        <f>COUNTIFS(Accounts!$E:$E,'AccountSummary (New)'!T$1,Accounts!$G:$G,'AccountSummary (New)'!T$2,Accounts!$F:$F,'AccountSummary (New)'!T$3,Accounts!$B:$B,"Customer",Accounts!$C:$C,"Lost",Accounts!$H:$H,"&gt;"&amp;60,Accounts!$H:$H,"&lt;="&amp;90)</f>
        <v/>
      </c>
      <c r="U42">
        <f>COUNTIFS(Accounts!$E:$E,'AccountSummary (New)'!U$1,Accounts!$G:$G,'AccountSummary (New)'!U$2,Accounts!$F:$F,'AccountSummary (New)'!U$3,Accounts!$B:$B,"Customer",Accounts!$C:$C,"Lost",Accounts!$H:$H,"&gt;"&amp;60,Accounts!$H:$H,"&lt;="&amp;90)</f>
        <v/>
      </c>
      <c r="V42">
        <f>COUNTIFS(Accounts!$E:$E,'AccountSummary (New)'!V$1,Accounts!$G:$G,'AccountSummary (New)'!V$2,Accounts!$F:$F,'AccountSummary (New)'!V$3,Accounts!$B:$B,"Customer",Accounts!$C:$C,"Lost",Accounts!$H:$H,"&gt;"&amp;60,Accounts!$H:$H,"&lt;="&amp;90)</f>
        <v/>
      </c>
      <c r="W42" s="15">
        <f>SUM(Q42:V42)</f>
        <v/>
      </c>
    </row>
    <row r="43">
      <c r="A43" s="1" t="inlineStr">
        <is>
          <t xml:space="preserve">   Retained Count</t>
        </is>
      </c>
      <c r="B43" s="9">
        <f>I43+P43+W43</f>
        <v/>
      </c>
      <c r="C43">
        <f>COUNTIFS(Accounts!$E:$E,'AccountSummary (New)'!C$1,Accounts!$G:$G,'AccountSummary (New)'!C$2,Accounts!$F:$F,'AccountSummary (New)'!C$3,Accounts!$B:$B,"Customer",Accounts!$C:$C,"Customer",Accounts!$H:$H,"&gt;"&amp;60,Accounts!$H:$H,"&lt;="&amp;90)</f>
        <v/>
      </c>
      <c r="D43">
        <f>COUNTIFS(Accounts!$E:$E,'AccountSummary (New)'!D$1,Accounts!$G:$G,'AccountSummary (New)'!D$2,Accounts!$F:$F,'AccountSummary (New)'!D$3,Accounts!$B:$B,"Customer",Accounts!$C:$C,"Customer",Accounts!$H:$H,"&gt;"&amp;60,Accounts!$H:$H,"&lt;="&amp;90)</f>
        <v/>
      </c>
      <c r="E43">
        <f>COUNTIFS(Accounts!$E:$E,'AccountSummary (New)'!E$1,Accounts!$G:$G,'AccountSummary (New)'!E$2,Accounts!$F:$F,'AccountSummary (New)'!E$3,Accounts!$B:$B,"Customer",Accounts!$C:$C,"Customer",Accounts!$H:$H,"&gt;"&amp;60,Accounts!$H:$H,"&lt;="&amp;90)</f>
        <v/>
      </c>
      <c r="F43">
        <f>COUNTIFS(Accounts!$E:$E,'AccountSummary (New)'!F$1,Accounts!$G:$G,'AccountSummary (New)'!F$2,Accounts!$F:$F,'AccountSummary (New)'!F$3,Accounts!$B:$B,"Customer",Accounts!$C:$C,"Customer",Accounts!$H:$H,"&gt;"&amp;60,Accounts!$H:$H,"&lt;="&amp;90)</f>
        <v/>
      </c>
      <c r="G43">
        <f>COUNTIFS(Accounts!$E:$E,'AccountSummary (New)'!G$1,Accounts!$G:$G,'AccountSummary (New)'!G$2,Accounts!$F:$F,'AccountSummary (New)'!G$3,Accounts!$B:$B,"Customer",Accounts!$C:$C,"Customer",Accounts!$H:$H,"&gt;"&amp;60,Accounts!$H:$H,"&lt;="&amp;90)</f>
        <v/>
      </c>
      <c r="H43">
        <f>COUNTIFS(Accounts!$E:$E,'AccountSummary (New)'!H$1,Accounts!$G:$G,'AccountSummary (New)'!H$2,Accounts!$F:$F,'AccountSummary (New)'!H$3,Accounts!$B:$B,"Customer",Accounts!$C:$C,"Customer",Accounts!$H:$H,"&gt;"&amp;60,Accounts!$H:$H,"&lt;="&amp;90)</f>
        <v/>
      </c>
      <c r="I43" s="15">
        <f>SUM(C43:H43)</f>
        <v/>
      </c>
      <c r="J43">
        <f>COUNTIFS(Accounts!$E:$E,'AccountSummary (New)'!J$1,Accounts!$G:$G,'AccountSummary (New)'!J$2,Accounts!$F:$F,'AccountSummary (New)'!J$3,Accounts!$B:$B,"Customer",Accounts!$C:$C,"Customer",Accounts!$H:$H,"&gt;"&amp;60,Accounts!$H:$H,"&lt;="&amp;90)</f>
        <v/>
      </c>
      <c r="K43">
        <f>COUNTIFS(Accounts!$E:$E,'AccountSummary (New)'!K$1,Accounts!$G:$G,'AccountSummary (New)'!K$2,Accounts!$F:$F,'AccountSummary (New)'!K$3,Accounts!$B:$B,"Customer",Accounts!$C:$C,"Customer",Accounts!$H:$H,"&gt;"&amp;60,Accounts!$H:$H,"&lt;="&amp;90)</f>
        <v/>
      </c>
      <c r="L43">
        <f>COUNTIFS(Accounts!$E:$E,'AccountSummary (New)'!L$1,Accounts!$G:$G,'AccountSummary (New)'!L$2,Accounts!$F:$F,'AccountSummary (New)'!L$3,Accounts!$B:$B,"Customer",Accounts!$C:$C,"Customer",Accounts!$H:$H,"&gt;"&amp;60,Accounts!$H:$H,"&lt;="&amp;90)</f>
        <v/>
      </c>
      <c r="M43">
        <f>COUNTIFS(Accounts!$E:$E,'AccountSummary (New)'!M$1,Accounts!$G:$G,'AccountSummary (New)'!M$2,Accounts!$F:$F,'AccountSummary (New)'!M$3,Accounts!$B:$B,"Customer",Accounts!$C:$C,"Customer",Accounts!$H:$H,"&gt;"&amp;60,Accounts!$H:$H,"&lt;="&amp;90)</f>
        <v/>
      </c>
      <c r="N43">
        <f>COUNTIFS(Accounts!$E:$E,'AccountSummary (New)'!N$1,Accounts!$G:$G,'AccountSummary (New)'!N$2,Accounts!$F:$F,'AccountSummary (New)'!N$3,Accounts!$B:$B,"Customer",Accounts!$C:$C,"Customer",Accounts!$H:$H,"&gt;"&amp;60,Accounts!$H:$H,"&lt;="&amp;90)</f>
        <v/>
      </c>
      <c r="O43">
        <f>COUNTIFS(Accounts!$E:$E,'AccountSummary (New)'!O$1,Accounts!$G:$G,'AccountSummary (New)'!O$2,Accounts!$F:$F,'AccountSummary (New)'!O$3,Accounts!$B:$B,"Customer",Accounts!$C:$C,"Customer",Accounts!$H:$H,"&gt;"&amp;60,Accounts!$H:$H,"&lt;="&amp;90)</f>
        <v/>
      </c>
      <c r="P43" s="15">
        <f>SUM(J43:O43)</f>
        <v/>
      </c>
      <c r="Q43">
        <f>COUNTIFS(Accounts!$E:$E,'AccountSummary (New)'!Q$1,Accounts!$G:$G,'AccountSummary (New)'!Q$2,Accounts!$F:$F,'AccountSummary (New)'!Q$3,Accounts!$B:$B,"Customer",Accounts!$C:$C,"Customer",Accounts!$H:$H,"&gt;"&amp;60,Accounts!$H:$H,"&lt;="&amp;90)</f>
        <v/>
      </c>
      <c r="R43">
        <f>COUNTIFS(Accounts!$E:$E,'AccountSummary (New)'!R$1,Accounts!$G:$G,'AccountSummary (New)'!R$2,Accounts!$F:$F,'AccountSummary (New)'!R$3,Accounts!$B:$B,"Customer",Accounts!$C:$C,"Customer",Accounts!$H:$H,"&gt;"&amp;60,Accounts!$H:$H,"&lt;="&amp;90)</f>
        <v/>
      </c>
      <c r="S43">
        <f>COUNTIFS(Accounts!$E:$E,'AccountSummary (New)'!S$1,Accounts!$G:$G,'AccountSummary (New)'!S$2,Accounts!$F:$F,'AccountSummary (New)'!S$3,Accounts!$B:$B,"Customer",Accounts!$C:$C,"Customer",Accounts!$H:$H,"&gt;"&amp;60,Accounts!$H:$H,"&lt;="&amp;90)</f>
        <v/>
      </c>
      <c r="T43">
        <f>COUNTIFS(Accounts!$E:$E,'AccountSummary (New)'!T$1,Accounts!$G:$G,'AccountSummary (New)'!T$2,Accounts!$F:$F,'AccountSummary (New)'!T$3,Accounts!$B:$B,"Customer",Accounts!$C:$C,"Customer",Accounts!$H:$H,"&gt;"&amp;60,Accounts!$H:$H,"&lt;="&amp;90)</f>
        <v/>
      </c>
      <c r="U43">
        <f>COUNTIFS(Accounts!$E:$E,'AccountSummary (New)'!U$1,Accounts!$G:$G,'AccountSummary (New)'!U$2,Accounts!$F:$F,'AccountSummary (New)'!U$3,Accounts!$B:$B,"Customer",Accounts!$C:$C,"Customer",Accounts!$H:$H,"&gt;"&amp;60,Accounts!$H:$H,"&lt;="&amp;90)</f>
        <v/>
      </c>
      <c r="V43">
        <f>COUNTIFS(Accounts!$E:$E,'AccountSummary (New)'!V$1,Accounts!$G:$G,'AccountSummary (New)'!V$2,Accounts!$F:$F,'AccountSummary (New)'!V$3,Accounts!$B:$B,"Customer",Accounts!$C:$C,"Customer",Accounts!$H:$H,"&gt;"&amp;60,Accounts!$H:$H,"&lt;="&amp;90)</f>
        <v/>
      </c>
      <c r="W43" s="15">
        <f>SUM(Q43:V43)</f>
        <v/>
      </c>
    </row>
    <row r="44">
      <c r="A44" s="2" t="inlineStr">
        <is>
          <t xml:space="preserve">   Packs per Account</t>
        </is>
      </c>
      <c r="B44" s="13">
        <f>IF(B43=0,0,SUMIFS(Accounts!$L:$L,Accounts!$W:$W,0,Accounts!$C:$C,"Customer",Accounts!$H:$H,"&gt;"&amp;60,Accounts!$H:$H,"&lt;="&amp;90)/B43)</f>
        <v/>
      </c>
      <c r="C44" s="4">
        <f>IF(C43=0,0,SUMIFS(Accounts!$L:$L,Accounts!$E:$E,'AccountSummary (New)'!C$1,Accounts!$G:$G,'AccountSummary (New)'!C$2,Accounts!$F:$F,'AccountSummary (New)'!C$3,Accounts!$W:$W,0,Accounts!$C:$C,"Customer",Accounts!$H:$H,"&gt;"&amp;60,Accounts!$H:$H,"&lt;="&amp;90)/C43)</f>
        <v/>
      </c>
      <c r="D44" s="4">
        <f>IF(D43=0,0,SUMIFS(Accounts!$L:$L,Accounts!$E:$E,'AccountSummary (New)'!D$1,Accounts!$G:$G,'AccountSummary (New)'!D$2,Accounts!$F:$F,'AccountSummary (New)'!D$3,Accounts!$W:$W,0,Accounts!$C:$C,"Customer",Accounts!$H:$H,"&gt;"&amp;60,Accounts!$H:$H,"&lt;="&amp;90)/D43)</f>
        <v/>
      </c>
      <c r="E44" s="4">
        <f>IF(E43=0,0,SUMIFS(Accounts!$L:$L,Accounts!$E:$E,'AccountSummary (New)'!E$1,Accounts!$G:$G,'AccountSummary (New)'!E$2,Accounts!$F:$F,'AccountSummary (New)'!E$3,Accounts!$W:$W,0,Accounts!$C:$C,"Customer",Accounts!$H:$H,"&gt;"&amp;60,Accounts!$H:$H,"&lt;="&amp;90)/E43)</f>
        <v/>
      </c>
      <c r="F44" s="4">
        <f>IF(F43=0,0,SUMIFS(Accounts!$L:$L,Accounts!$E:$E,'AccountSummary (New)'!F$1,Accounts!$G:$G,'AccountSummary (New)'!F$2,Accounts!$F:$F,'AccountSummary (New)'!F$3,Accounts!$W:$W,0,Accounts!$C:$C,"Customer",Accounts!$H:$H,"&gt;"&amp;60,Accounts!$H:$H,"&lt;="&amp;90)/F43)</f>
        <v/>
      </c>
      <c r="G44" s="4">
        <f>IF(G43=0,0,SUMIFS(Accounts!$L:$L,Accounts!$E:$E,'AccountSummary (New)'!G$1,Accounts!$G:$G,'AccountSummary (New)'!G$2,Accounts!$F:$F,'AccountSummary (New)'!G$3,Accounts!$W:$W,0,Accounts!$C:$C,"Customer",Accounts!$H:$H,"&gt;"&amp;60,Accounts!$H:$H,"&lt;="&amp;90)/G43)</f>
        <v/>
      </c>
      <c r="H44" s="4">
        <f>IF(H43=0,0,SUMIFS(Accounts!$L:$L,Accounts!$E:$E,'AccountSummary (New)'!H$1,Accounts!$G:$G,'AccountSummary (New)'!H$2,Accounts!$F:$F,'AccountSummary (New)'!H$3,Accounts!$W:$W,0,Accounts!$C:$C,"Customer",Accounts!$H:$H,"&gt;"&amp;60,Accounts!$H:$H,"&lt;="&amp;90)/H43)</f>
        <v/>
      </c>
      <c r="I44" s="5">
        <f>IF(I43=0,0,SUMIFS(Accounts!$L:$L,Accounts!$F:$F,'AccountSummary (New)'!I$3,Accounts!$W:$W,0,Accounts!$C:$C,"Customer",Accounts!$H:$H,"&gt;"&amp;60,Accounts!$H:$H,"&lt;="&amp;90)/I43)</f>
        <v/>
      </c>
      <c r="J44" s="4">
        <f>IF(J43=0,0,SUMIFS(Accounts!$L:$L,Accounts!$E:$E,'AccountSummary (New)'!J$1,Accounts!$G:$G,'AccountSummary (New)'!J$2,Accounts!$F:$F,'AccountSummary (New)'!J$3,Accounts!$W:$W,0,Accounts!$C:$C,"Customer",Accounts!$H:$H,"&gt;"&amp;60,Accounts!$H:$H,"&lt;="&amp;90)/J43)</f>
        <v/>
      </c>
      <c r="K44" s="4">
        <f>IF(K43=0,0,SUMIFS(Accounts!$L:$L,Accounts!$E:$E,'AccountSummary (New)'!K$1,Accounts!$G:$G,'AccountSummary (New)'!K$2,Accounts!$F:$F,'AccountSummary (New)'!K$3,Accounts!$W:$W,0,Accounts!$C:$C,"Customer",Accounts!$H:$H,"&gt;"&amp;60,Accounts!$H:$H,"&lt;="&amp;90)/K43)</f>
        <v/>
      </c>
      <c r="L44" s="4">
        <f>IF(L43=0,0,SUMIFS(Accounts!$L:$L,Accounts!$E:$E,'AccountSummary (New)'!L$1,Accounts!$G:$G,'AccountSummary (New)'!L$2,Accounts!$F:$F,'AccountSummary (New)'!L$3,Accounts!$W:$W,0,Accounts!$C:$C,"Customer",Accounts!$H:$H,"&gt;"&amp;60,Accounts!$H:$H,"&lt;="&amp;90)/L43)</f>
        <v/>
      </c>
      <c r="M44" s="4">
        <f>IF(M43=0,0,SUMIFS(Accounts!$L:$L,Accounts!$E:$E,'AccountSummary (New)'!M$1,Accounts!$G:$G,'AccountSummary (New)'!M$2,Accounts!$F:$F,'AccountSummary (New)'!M$3,Accounts!$W:$W,0,Accounts!$C:$C,"Customer",Accounts!$H:$H,"&gt;"&amp;60,Accounts!$H:$H,"&lt;="&amp;90)/M43)</f>
        <v/>
      </c>
      <c r="N44" s="4">
        <f>IF(N43=0,0,SUMIFS(Accounts!$L:$L,Accounts!$E:$E,'AccountSummary (New)'!N$1,Accounts!$G:$G,'AccountSummary (New)'!N$2,Accounts!$F:$F,'AccountSummary (New)'!N$3,Accounts!$W:$W,0,Accounts!$C:$C,"Customer",Accounts!$H:$H,"&gt;"&amp;60,Accounts!$H:$H,"&lt;="&amp;90)/N43)</f>
        <v/>
      </c>
      <c r="O44" s="4">
        <f>IF(O43=0,0,SUMIFS(Accounts!$L:$L,Accounts!$E:$E,'AccountSummary (New)'!O$1,Accounts!$G:$G,'AccountSummary (New)'!O$2,Accounts!$F:$F,'AccountSummary (New)'!O$3,Accounts!$W:$W,0,Accounts!$C:$C,"Customer",Accounts!$H:$H,"&gt;"&amp;60,Accounts!$H:$H,"&lt;="&amp;90)/O43)</f>
        <v/>
      </c>
      <c r="P44" s="5">
        <f>IF(P43=0,0,SUMIFS(Accounts!$L:$L,Accounts!$F:$F,'AccountSummary (New)'!P$3,Accounts!$W:$W,0,Accounts!$C:$C,"Customer",Accounts!$H:$H,"&gt;"&amp;60,Accounts!$H:$H,"&lt;="&amp;90)/P43)</f>
        <v/>
      </c>
      <c r="Q44" s="4">
        <f>IF(Q43=0,0,SUMIFS(Accounts!$L:$L,Accounts!$E:$E,'AccountSummary (New)'!Q$1,Accounts!$G:$G,'AccountSummary (New)'!Q$2,Accounts!$F:$F,'AccountSummary (New)'!Q$3,Accounts!$W:$W,0,Accounts!$C:$C,"Customer",Accounts!$H:$H,"&gt;"&amp;60,Accounts!$H:$H,"&lt;="&amp;90)/Q43)</f>
        <v/>
      </c>
      <c r="R44" s="4">
        <f>IF(R43=0,0,SUMIFS(Accounts!$L:$L,Accounts!$E:$E,'AccountSummary (New)'!R$1,Accounts!$G:$G,'AccountSummary (New)'!R$2,Accounts!$F:$F,'AccountSummary (New)'!R$3,Accounts!$W:$W,0,Accounts!$C:$C,"Customer",Accounts!$H:$H,"&gt;"&amp;60,Accounts!$H:$H,"&lt;="&amp;90)/R43)</f>
        <v/>
      </c>
      <c r="S44" s="4">
        <f>IF(S43=0,0,SUMIFS(Accounts!$L:$L,Accounts!$E:$E,'AccountSummary (New)'!S$1,Accounts!$G:$G,'AccountSummary (New)'!S$2,Accounts!$F:$F,'AccountSummary (New)'!S$3,Accounts!$W:$W,0,Accounts!$C:$C,"Customer",Accounts!$H:$H,"&gt;"&amp;60,Accounts!$H:$H,"&lt;="&amp;90)/S43)</f>
        <v/>
      </c>
      <c r="T44" s="4">
        <f>IF(T43=0,0,SUMIFS(Accounts!$L:$L,Accounts!$E:$E,'AccountSummary (New)'!T$1,Accounts!$G:$G,'AccountSummary (New)'!T$2,Accounts!$F:$F,'AccountSummary (New)'!T$3,Accounts!$W:$W,0,Accounts!$C:$C,"Customer",Accounts!$H:$H,"&gt;"&amp;60,Accounts!$H:$H,"&lt;="&amp;90)/T43)</f>
        <v/>
      </c>
      <c r="U44" s="4">
        <f>IF(U43=0,0,SUMIFS(Accounts!$L:$L,Accounts!$E:$E,'AccountSummary (New)'!U$1,Accounts!$G:$G,'AccountSummary (New)'!U$2,Accounts!$F:$F,'AccountSummary (New)'!U$3,Accounts!$W:$W,0,Accounts!$C:$C,"Customer",Accounts!$H:$H,"&gt;"&amp;60,Accounts!$H:$H,"&lt;="&amp;90)/U43)</f>
        <v/>
      </c>
      <c r="V44" s="4">
        <f>IF(V43=0,0,SUMIFS(Accounts!$L:$L,Accounts!$E:$E,'AccountSummary (New)'!V$1,Accounts!$G:$G,'AccountSummary (New)'!V$2,Accounts!$F:$F,'AccountSummary (New)'!V$3,Accounts!$W:$W,0,Accounts!$C:$C,"Customer",Accounts!$H:$H,"&gt;"&amp;60,Accounts!$H:$H,"&lt;="&amp;90)/V43)</f>
        <v/>
      </c>
      <c r="W44" s="5">
        <f>IF(W43=0,0,SUMIFS(Accounts!$L:$L,Accounts!$F:$F,'AccountSummary (New)'!W$3,Accounts!$W:$W,0,Accounts!$C:$C,"Customer",Accounts!$H:$H,"&gt;"&amp;60,Accounts!$H:$H,"&lt;="&amp;90)/W43)</f>
        <v/>
      </c>
    </row>
    <row r="45">
      <c r="A45" s="2" t="inlineStr">
        <is>
          <t xml:space="preserve">   Users per Account</t>
        </is>
      </c>
      <c r="B45" s="13">
        <f>IF(B43=0,0,SUMIFS(Accounts!$M:$M,Accounts!$W:$W,0,Accounts!$C:$C,"Customer",Accounts!$H:$H,"&gt;"&amp;60,Accounts!$H:$H,"&lt;="&amp;90)/B43)</f>
        <v/>
      </c>
      <c r="C45" s="4">
        <f>IF(C43=0,0,SUMIFS(Accounts!$M:$M,Accounts!$E:$E,'AccountSummary (New)'!C$1,Accounts!$G:$G,'AccountSummary (New)'!C$2,Accounts!$F:$F,'AccountSummary (New)'!C$3,Accounts!$W:$W,0,Accounts!$C:$C,"Customer",Accounts!$H:$H,"&gt;"&amp;60,Accounts!$H:$H,"&lt;="&amp;90)/C43)</f>
        <v/>
      </c>
      <c r="D45" s="4">
        <f>IF(D43=0,0,SUMIFS(Accounts!$M:$M,Accounts!$E:$E,'AccountSummary (New)'!D$1,Accounts!$G:$G,'AccountSummary (New)'!D$2,Accounts!$F:$F,'AccountSummary (New)'!D$3,Accounts!$W:$W,0,Accounts!$C:$C,"Customer",Accounts!$H:$H,"&gt;"&amp;60,Accounts!$H:$H,"&lt;="&amp;90)/D43)</f>
        <v/>
      </c>
      <c r="E45" s="4">
        <f>IF(E43=0,0,SUMIFS(Accounts!$M:$M,Accounts!$E:$E,'AccountSummary (New)'!E$1,Accounts!$G:$G,'AccountSummary (New)'!E$2,Accounts!$F:$F,'AccountSummary (New)'!E$3,Accounts!$W:$W,0,Accounts!$C:$C,"Customer",Accounts!$H:$H,"&gt;"&amp;60,Accounts!$H:$H,"&lt;="&amp;90)/E43)</f>
        <v/>
      </c>
      <c r="F45" s="4">
        <f>IF(F43=0,0,SUMIFS(Accounts!$M:$M,Accounts!$E:$E,'AccountSummary (New)'!F$1,Accounts!$G:$G,'AccountSummary (New)'!F$2,Accounts!$F:$F,'AccountSummary (New)'!F$3,Accounts!$W:$W,0,Accounts!$C:$C,"Customer",Accounts!$H:$H,"&gt;"&amp;60,Accounts!$H:$H,"&lt;="&amp;90)/F43)</f>
        <v/>
      </c>
      <c r="G45" s="4">
        <f>IF(G43=0,0,SUMIFS(Accounts!$M:$M,Accounts!$E:$E,'AccountSummary (New)'!G$1,Accounts!$G:$G,'AccountSummary (New)'!G$2,Accounts!$F:$F,'AccountSummary (New)'!G$3,Accounts!$W:$W,0,Accounts!$C:$C,"Customer",Accounts!$H:$H,"&gt;"&amp;60,Accounts!$H:$H,"&lt;="&amp;90)/G43)</f>
        <v/>
      </c>
      <c r="H45" s="4">
        <f>IF(H43=0,0,SUMIFS(Accounts!$M:$M,Accounts!$E:$E,'AccountSummary (New)'!H$1,Accounts!$G:$G,'AccountSummary (New)'!H$2,Accounts!$F:$F,'AccountSummary (New)'!H$3,Accounts!$W:$W,0,Accounts!$C:$C,"Customer",Accounts!$H:$H,"&gt;"&amp;60,Accounts!$H:$H,"&lt;="&amp;90)/H43)</f>
        <v/>
      </c>
      <c r="I45" s="5">
        <f>IF(I43=0,0,SUMIFS(Accounts!$M:$M,Accounts!$F:$F,'AccountSummary (New)'!I$3,Accounts!$W:$W,0,Accounts!$C:$C,"Customer",Accounts!$H:$H,"&gt;"&amp;60,Accounts!$H:$H,"&lt;="&amp;90)/I43)</f>
        <v/>
      </c>
      <c r="J45" s="4">
        <f>IF(J43=0,0,SUMIFS(Accounts!$M:$M,Accounts!$E:$E,'AccountSummary (New)'!J$1,Accounts!$G:$G,'AccountSummary (New)'!J$2,Accounts!$F:$F,'AccountSummary (New)'!J$3,Accounts!$W:$W,0,Accounts!$C:$C,"Customer",Accounts!$H:$H,"&gt;"&amp;60,Accounts!$H:$H,"&lt;="&amp;90)/J43)</f>
        <v/>
      </c>
      <c r="K45" s="4">
        <f>IF(K43=0,0,SUMIFS(Accounts!$M:$M,Accounts!$E:$E,'AccountSummary (New)'!K$1,Accounts!$G:$G,'AccountSummary (New)'!K$2,Accounts!$F:$F,'AccountSummary (New)'!K$3,Accounts!$W:$W,0,Accounts!$C:$C,"Customer",Accounts!$H:$H,"&gt;"&amp;60,Accounts!$H:$H,"&lt;="&amp;90)/K43)</f>
        <v/>
      </c>
      <c r="L45" s="4">
        <f>IF(L43=0,0,SUMIFS(Accounts!$M:$M,Accounts!$E:$E,'AccountSummary (New)'!L$1,Accounts!$G:$G,'AccountSummary (New)'!L$2,Accounts!$F:$F,'AccountSummary (New)'!L$3,Accounts!$W:$W,0,Accounts!$C:$C,"Customer",Accounts!$H:$H,"&gt;"&amp;60,Accounts!$H:$H,"&lt;="&amp;90)/L43)</f>
        <v/>
      </c>
      <c r="M45" s="4">
        <f>IF(M43=0,0,SUMIFS(Accounts!$M:$M,Accounts!$E:$E,'AccountSummary (New)'!M$1,Accounts!$G:$G,'AccountSummary (New)'!M$2,Accounts!$F:$F,'AccountSummary (New)'!M$3,Accounts!$W:$W,0,Accounts!$C:$C,"Customer",Accounts!$H:$H,"&gt;"&amp;60,Accounts!$H:$H,"&lt;="&amp;90)/M43)</f>
        <v/>
      </c>
      <c r="N45" s="4">
        <f>IF(N43=0,0,SUMIFS(Accounts!$M:$M,Accounts!$E:$E,'AccountSummary (New)'!N$1,Accounts!$G:$G,'AccountSummary (New)'!N$2,Accounts!$F:$F,'AccountSummary (New)'!N$3,Accounts!$W:$W,0,Accounts!$C:$C,"Customer",Accounts!$H:$H,"&gt;"&amp;60,Accounts!$H:$H,"&lt;="&amp;90)/N43)</f>
        <v/>
      </c>
      <c r="O45" s="4">
        <f>IF(O43=0,0,SUMIFS(Accounts!$M:$M,Accounts!$E:$E,'AccountSummary (New)'!O$1,Accounts!$G:$G,'AccountSummary (New)'!O$2,Accounts!$F:$F,'AccountSummary (New)'!O$3,Accounts!$W:$W,0,Accounts!$C:$C,"Customer",Accounts!$H:$H,"&gt;"&amp;60,Accounts!$H:$H,"&lt;="&amp;90)/O43)</f>
        <v/>
      </c>
      <c r="P45" s="5">
        <f>IF(P43=0,0,SUMIFS(Accounts!$M:$M,Accounts!$F:$F,'AccountSummary (New)'!P$3,Accounts!$W:$W,0,Accounts!$C:$C,"Customer",Accounts!$H:$H,"&gt;"&amp;60,Accounts!$H:$H,"&lt;="&amp;90)/P43)</f>
        <v/>
      </c>
      <c r="Q45" s="4">
        <f>IF(Q43=0,0,SUMIFS(Accounts!$M:$M,Accounts!$E:$E,'AccountSummary (New)'!Q$1,Accounts!$G:$G,'AccountSummary (New)'!Q$2,Accounts!$F:$F,'AccountSummary (New)'!Q$3,Accounts!$W:$W,0,Accounts!$C:$C,"Customer",Accounts!$H:$H,"&gt;"&amp;60,Accounts!$H:$H,"&lt;="&amp;90)/Q43)</f>
        <v/>
      </c>
      <c r="R45" s="4">
        <f>IF(R43=0,0,SUMIFS(Accounts!$M:$M,Accounts!$E:$E,'AccountSummary (New)'!R$1,Accounts!$G:$G,'AccountSummary (New)'!R$2,Accounts!$F:$F,'AccountSummary (New)'!R$3,Accounts!$W:$W,0,Accounts!$C:$C,"Customer",Accounts!$H:$H,"&gt;"&amp;60,Accounts!$H:$H,"&lt;="&amp;90)/R43)</f>
        <v/>
      </c>
      <c r="S45" s="4">
        <f>IF(S43=0,0,SUMIFS(Accounts!$M:$M,Accounts!$E:$E,'AccountSummary (New)'!S$1,Accounts!$G:$G,'AccountSummary (New)'!S$2,Accounts!$F:$F,'AccountSummary (New)'!S$3,Accounts!$W:$W,0,Accounts!$C:$C,"Customer",Accounts!$H:$H,"&gt;"&amp;60,Accounts!$H:$H,"&lt;="&amp;90)/S43)</f>
        <v/>
      </c>
      <c r="T45" s="4">
        <f>IF(T43=0,0,SUMIFS(Accounts!$M:$M,Accounts!$E:$E,'AccountSummary (New)'!T$1,Accounts!$G:$G,'AccountSummary (New)'!T$2,Accounts!$F:$F,'AccountSummary (New)'!T$3,Accounts!$W:$W,0,Accounts!$C:$C,"Customer",Accounts!$H:$H,"&gt;"&amp;60,Accounts!$H:$H,"&lt;="&amp;90)/T43)</f>
        <v/>
      </c>
      <c r="U45" s="4">
        <f>IF(U43=0,0,SUMIFS(Accounts!$M:$M,Accounts!$E:$E,'AccountSummary (New)'!U$1,Accounts!$G:$G,'AccountSummary (New)'!U$2,Accounts!$F:$F,'AccountSummary (New)'!U$3,Accounts!$W:$W,0,Accounts!$C:$C,"Customer",Accounts!$H:$H,"&gt;"&amp;60,Accounts!$H:$H,"&lt;="&amp;90)/U43)</f>
        <v/>
      </c>
      <c r="V45" s="4">
        <f>IF(V43=0,0,SUMIFS(Accounts!$M:$M,Accounts!$E:$E,'AccountSummary (New)'!V$1,Accounts!$G:$G,'AccountSummary (New)'!V$2,Accounts!$F:$F,'AccountSummary (New)'!V$3,Accounts!$W:$W,0,Accounts!$C:$C,"Customer",Accounts!$H:$H,"&gt;"&amp;60,Accounts!$H:$H,"&lt;="&amp;90)/V43)</f>
        <v/>
      </c>
      <c r="W45" s="5">
        <f>IF(W43=0,0,SUMIFS(Accounts!$M:$M,Accounts!$F:$F,'AccountSummary (New)'!W$3,Accounts!$W:$W,0,Accounts!$C:$C,"Customer",Accounts!$H:$H,"&gt;"&amp;60,Accounts!$H:$H,"&lt;="&amp;90)/W43)</f>
        <v/>
      </c>
    </row>
    <row r="46">
      <c r="A46" s="1" t="inlineStr">
        <is>
          <t xml:space="preserve">   ARPC</t>
        </is>
      </c>
      <c r="B46" s="65">
        <f>IF(B43=0,0,B47/B43)</f>
        <v/>
      </c>
      <c r="C46" s="66">
        <f>IF(C43=0,0,C47/C43)</f>
        <v/>
      </c>
      <c r="D46" s="66">
        <f>IF(D43=0,0,D47/D43)</f>
        <v/>
      </c>
      <c r="E46" s="66">
        <f>IF(E43=0,0,E47/E43)</f>
        <v/>
      </c>
      <c r="F46" s="66">
        <f>IF(F43=0,0,F47/F43)</f>
        <v/>
      </c>
      <c r="G46" s="66">
        <f>IF(G43=0,0,G47/G43)</f>
        <v/>
      </c>
      <c r="H46" s="66">
        <f>IF(H43=0,0,H47/H43)</f>
        <v/>
      </c>
      <c r="I46" s="67">
        <f>IF(I43=0,0,I47/I43)</f>
        <v/>
      </c>
      <c r="J46" s="66">
        <f>IF(J43=0,0,J47/J43)</f>
        <v/>
      </c>
      <c r="K46" s="66">
        <f>IF(K43=0,0,K47/K43)</f>
        <v/>
      </c>
      <c r="L46" s="66">
        <f>IF(L43=0,0,L47/L43)</f>
        <v/>
      </c>
      <c r="M46" s="66">
        <f>IF(M43=0,0,M47/M43)</f>
        <v/>
      </c>
      <c r="N46" s="66">
        <f>IF(N43=0,0,N47/N43)</f>
        <v/>
      </c>
      <c r="O46" s="66">
        <f>IF(O43=0,0,O47/O43)</f>
        <v/>
      </c>
      <c r="P46" s="67">
        <f>IF(P43=0,0,P47/P43)</f>
        <v/>
      </c>
      <c r="Q46" s="66">
        <f>IF(Q43=0,0,Q47/Q43)</f>
        <v/>
      </c>
      <c r="R46" s="66">
        <f>IF(R43=0,0,R47/R43)</f>
        <v/>
      </c>
      <c r="S46" s="66">
        <f>IF(S43=0,0,S47/S43)</f>
        <v/>
      </c>
      <c r="T46" s="66">
        <f>IF(T43=0,0,T47/T43)</f>
        <v/>
      </c>
      <c r="U46" s="66">
        <f>IF(U43=0,0,U47/U43)</f>
        <v/>
      </c>
      <c r="V46" s="66">
        <f>IF(V43=0,0,V47/V43)</f>
        <v/>
      </c>
      <c r="W46" s="67">
        <f>IF(W43=0,0,W47/W43)</f>
        <v/>
      </c>
    </row>
    <row r="47">
      <c r="A47" s="1" t="inlineStr">
        <is>
          <t xml:space="preserve">   SaaS</t>
        </is>
      </c>
      <c r="B47" s="65">
        <f>I47+P47+W47</f>
        <v/>
      </c>
      <c r="C47" s="66">
        <f>SUMIFS(Accounts!$I:$I,Accounts!$E:$E,'AccountSummary (New)'!C$1,Accounts!$G:$G,'AccountSummary (New)'!C$2,Accounts!$F:$F,'AccountSummary (New)'!C$3,Accounts!$W:$W,0,Accounts!$C:$C,"Customer",Accounts!$H:$H,"&gt;"&amp;60,Accounts!$H:$H,"&lt;="&amp;90)</f>
        <v/>
      </c>
      <c r="D47" s="66">
        <f>SUMIFS(Accounts!$I:$I,Accounts!$E:$E,'AccountSummary (New)'!D$1,Accounts!$G:$G,'AccountSummary (New)'!D$2,Accounts!$F:$F,'AccountSummary (New)'!D$3,Accounts!$W:$W,0,Accounts!$C:$C,"Customer",Accounts!$H:$H,"&gt;"&amp;60,Accounts!$H:$H,"&lt;="&amp;90)</f>
        <v/>
      </c>
      <c r="E47" s="66">
        <f>SUMIFS(Accounts!$I:$I,Accounts!$E:$E,'AccountSummary (New)'!E$1,Accounts!$G:$G,'AccountSummary (New)'!E$2,Accounts!$F:$F,'AccountSummary (New)'!E$3,Accounts!$W:$W,0,Accounts!$C:$C,"Customer",Accounts!$H:$H,"&gt;"&amp;60,Accounts!$H:$H,"&lt;="&amp;90)</f>
        <v/>
      </c>
      <c r="F47" s="66">
        <f>SUMIFS(Accounts!$I:$I,Accounts!$E:$E,'AccountSummary (New)'!F$1,Accounts!$G:$G,'AccountSummary (New)'!F$2,Accounts!$F:$F,'AccountSummary (New)'!F$3,Accounts!$W:$W,0,Accounts!$C:$C,"Customer",Accounts!$H:$H,"&gt;"&amp;60,Accounts!$H:$H,"&lt;="&amp;90)</f>
        <v/>
      </c>
      <c r="G47" s="66">
        <f>SUMIFS(Accounts!$I:$I,Accounts!$E:$E,'AccountSummary (New)'!G$1,Accounts!$G:$G,'AccountSummary (New)'!G$2,Accounts!$F:$F,'AccountSummary (New)'!G$3,Accounts!$W:$W,0,Accounts!$C:$C,"Customer",Accounts!$H:$H,"&gt;"&amp;60,Accounts!$H:$H,"&lt;="&amp;90)</f>
        <v/>
      </c>
      <c r="H47" s="66">
        <f>SUMIFS(Accounts!$I:$I,Accounts!$E:$E,'AccountSummary (New)'!H$1,Accounts!$G:$G,'AccountSummary (New)'!H$2,Accounts!$F:$F,'AccountSummary (New)'!H$3,Accounts!$W:$W,0,Accounts!$C:$C,"Customer",Accounts!$H:$H,"&gt;"&amp;60,Accounts!$H:$H,"&lt;="&amp;90)</f>
        <v/>
      </c>
      <c r="I47" s="67">
        <f>SUM(C47:H47)</f>
        <v/>
      </c>
      <c r="J47" s="66">
        <f>SUMIFS(Accounts!$I:$I,Accounts!$E:$E,'AccountSummary (New)'!J$1,Accounts!$G:$G,'AccountSummary (New)'!J$2,Accounts!$F:$F,'AccountSummary (New)'!J$3,Accounts!$W:$W,0,Accounts!$C:$C,"Customer",Accounts!$H:$H,"&gt;"&amp;60,Accounts!$H:$H,"&lt;="&amp;90)</f>
        <v/>
      </c>
      <c r="K47" s="66">
        <f>SUMIFS(Accounts!$I:$I,Accounts!$E:$E,'AccountSummary (New)'!K$1,Accounts!$G:$G,'AccountSummary (New)'!K$2,Accounts!$F:$F,'AccountSummary (New)'!K$3,Accounts!$W:$W,0,Accounts!$C:$C,"Customer",Accounts!$H:$H,"&gt;"&amp;60,Accounts!$H:$H,"&lt;="&amp;90)</f>
        <v/>
      </c>
      <c r="L47" s="66">
        <f>SUMIFS(Accounts!$I:$I,Accounts!$E:$E,'AccountSummary (New)'!L$1,Accounts!$G:$G,'AccountSummary (New)'!L$2,Accounts!$F:$F,'AccountSummary (New)'!L$3,Accounts!$W:$W,0,Accounts!$C:$C,"Customer",Accounts!$H:$H,"&gt;"&amp;60,Accounts!$H:$H,"&lt;="&amp;90)</f>
        <v/>
      </c>
      <c r="M47" s="66">
        <f>SUMIFS(Accounts!$I:$I,Accounts!$E:$E,'AccountSummary (New)'!M$1,Accounts!$G:$G,'AccountSummary (New)'!M$2,Accounts!$F:$F,'AccountSummary (New)'!M$3,Accounts!$W:$W,0,Accounts!$C:$C,"Customer",Accounts!$H:$H,"&gt;"&amp;60,Accounts!$H:$H,"&lt;="&amp;90)</f>
        <v/>
      </c>
      <c r="N47" s="66">
        <f>SUMIFS(Accounts!$I:$I,Accounts!$E:$E,'AccountSummary (New)'!N$1,Accounts!$G:$G,'AccountSummary (New)'!N$2,Accounts!$F:$F,'AccountSummary (New)'!N$3,Accounts!$W:$W,0,Accounts!$C:$C,"Customer",Accounts!$H:$H,"&gt;"&amp;60,Accounts!$H:$H,"&lt;="&amp;90)</f>
        <v/>
      </c>
      <c r="O47" s="66">
        <f>SUMIFS(Accounts!$I:$I,Accounts!$E:$E,'AccountSummary (New)'!O$1,Accounts!$G:$G,'AccountSummary (New)'!O$2,Accounts!$F:$F,'AccountSummary (New)'!O$3,Accounts!$W:$W,0,Accounts!$C:$C,"Customer",Accounts!$H:$H,"&gt;"&amp;60,Accounts!$H:$H,"&lt;="&amp;90)</f>
        <v/>
      </c>
      <c r="P47" s="67">
        <f>SUM(J47:O47)</f>
        <v/>
      </c>
      <c r="Q47" s="66">
        <f>SUMIFS(Accounts!$I:$I,Accounts!$E:$E,'AccountSummary (New)'!Q$1,Accounts!$G:$G,'AccountSummary (New)'!Q$2,Accounts!$F:$F,'AccountSummary (New)'!Q$3,Accounts!$W:$W,0,Accounts!$C:$C,"Customer",Accounts!$H:$H,"&gt;"&amp;60,Accounts!$H:$H,"&lt;="&amp;90)</f>
        <v/>
      </c>
      <c r="R47" s="66">
        <f>SUMIFS(Accounts!$I:$I,Accounts!$E:$E,'AccountSummary (New)'!R$1,Accounts!$G:$G,'AccountSummary (New)'!R$2,Accounts!$F:$F,'AccountSummary (New)'!R$3,Accounts!$W:$W,0,Accounts!$C:$C,"Customer",Accounts!$H:$H,"&gt;"&amp;60,Accounts!$H:$H,"&lt;="&amp;90)</f>
        <v/>
      </c>
      <c r="S47" s="66">
        <f>SUMIFS(Accounts!$I:$I,Accounts!$E:$E,'AccountSummary (New)'!S$1,Accounts!$G:$G,'AccountSummary (New)'!S$2,Accounts!$F:$F,'AccountSummary (New)'!S$3,Accounts!$W:$W,0,Accounts!$C:$C,"Customer",Accounts!$H:$H,"&gt;"&amp;60,Accounts!$H:$H,"&lt;="&amp;90)</f>
        <v/>
      </c>
      <c r="T47" s="66">
        <f>SUMIFS(Accounts!$I:$I,Accounts!$E:$E,'AccountSummary (New)'!T$1,Accounts!$G:$G,'AccountSummary (New)'!T$2,Accounts!$F:$F,'AccountSummary (New)'!T$3,Accounts!$W:$W,0,Accounts!$C:$C,"Customer",Accounts!$H:$H,"&gt;"&amp;60,Accounts!$H:$H,"&lt;="&amp;90)</f>
        <v/>
      </c>
      <c r="U47" s="66">
        <f>SUMIFS(Accounts!$I:$I,Accounts!$E:$E,'AccountSummary (New)'!U$1,Accounts!$G:$G,'AccountSummary (New)'!U$2,Accounts!$F:$F,'AccountSummary (New)'!U$3,Accounts!$W:$W,0,Accounts!$C:$C,"Customer",Accounts!$H:$H,"&gt;"&amp;60,Accounts!$H:$H,"&lt;="&amp;90)</f>
        <v/>
      </c>
      <c r="V47" s="66">
        <f>SUMIFS(Accounts!$I:$I,Accounts!$E:$E,'AccountSummary (New)'!V$1,Accounts!$G:$G,'AccountSummary (New)'!V$2,Accounts!$F:$F,'AccountSummary (New)'!V$3,Accounts!$W:$W,0,Accounts!$C:$C,"Customer",Accounts!$H:$H,"&gt;"&amp;60,Accounts!$H:$H,"&lt;="&amp;90)</f>
        <v/>
      </c>
      <c r="W47" s="67">
        <f>SUM(Q47:V47)</f>
        <v/>
      </c>
    </row>
    <row r="48">
      <c r="A48" s="1" t="inlineStr">
        <is>
          <t>91-180 day cohort as of BOM</t>
        </is>
      </c>
      <c r="B48" s="65" t="n"/>
      <c r="C48" s="66" t="n"/>
      <c r="D48" s="66" t="n"/>
      <c r="E48" s="66" t="n"/>
      <c r="F48" s="66" t="n"/>
      <c r="G48" s="66" t="n"/>
      <c r="H48" s="66" t="n"/>
      <c r="I48" s="67" t="n"/>
      <c r="J48" s="66" t="n"/>
      <c r="K48" s="66" t="n"/>
      <c r="L48" s="66" t="n"/>
      <c r="M48" s="66" t="n"/>
      <c r="N48" s="66" t="n"/>
      <c r="O48" s="66" t="n"/>
      <c r="P48" s="67" t="n"/>
      <c r="Q48" s="66" t="n"/>
      <c r="R48" s="66" t="n"/>
      <c r="S48" s="66" t="n"/>
      <c r="T48" s="66" t="n"/>
      <c r="U48" s="66" t="n"/>
      <c r="V48" s="66" t="n"/>
      <c r="W48" s="67" t="n"/>
    </row>
    <row r="49">
      <c r="A49" s="1" t="inlineStr">
        <is>
          <t xml:space="preserve">   Total % of Paying Customers</t>
        </is>
      </c>
      <c r="B49" s="11">
        <f>IF(B$19=0,0,(B51+B52)/B$19)</f>
        <v/>
      </c>
      <c r="C49" s="8">
        <f>IF(C$19=0,0,(C51+C52)/C$19)</f>
        <v/>
      </c>
      <c r="D49" s="8">
        <f>IF(D$19=0,0,(D51+D52)/D$19)</f>
        <v/>
      </c>
      <c r="E49" s="8">
        <f>IF(E$19=0,0,(E51+E52)/E$19)</f>
        <v/>
      </c>
      <c r="F49" s="8">
        <f>IF(F$19=0,0,(F51+F52)/F$19)</f>
        <v/>
      </c>
      <c r="G49" s="8">
        <f>IF(G$19=0,0,(G51+G52)/G$19)</f>
        <v/>
      </c>
      <c r="H49" s="8">
        <f>IF(H$19=0,0,(H51+H52)/H$19)</f>
        <v/>
      </c>
      <c r="I49" s="20">
        <f>IF(I$19=0,0,(I51+I52)/I$19)</f>
        <v/>
      </c>
      <c r="J49" s="8">
        <f>IF(J$19=0,0,(J51+J52)/J$19)</f>
        <v/>
      </c>
      <c r="K49" s="8">
        <f>IF(K$19=0,0,(K51+K52)/K$19)</f>
        <v/>
      </c>
      <c r="L49" s="8">
        <f>IF(L$19=0,0,(L51+L52)/L$19)</f>
        <v/>
      </c>
      <c r="M49" s="8">
        <f>IF(M$19=0,0,(M51+M52)/M$19)</f>
        <v/>
      </c>
      <c r="N49" s="8">
        <f>IF(N$19=0,0,(N51+N52)/N$19)</f>
        <v/>
      </c>
      <c r="O49" s="8">
        <f>IF(O$19=0,0,(O51+O52)/O$19)</f>
        <v/>
      </c>
      <c r="P49" s="20">
        <f>IF(P$19=0,0,(P51+P52)/P$19)</f>
        <v/>
      </c>
      <c r="Q49" s="8">
        <f>IF(Q$19=0,0,(Q51+Q52)/Q$19)</f>
        <v/>
      </c>
      <c r="R49" s="8">
        <f>IF(R$19=0,0,(R51+R52)/R$19)</f>
        <v/>
      </c>
      <c r="S49" s="8">
        <f>IF(S$19=0,0,(S51+S52)/S$19)</f>
        <v/>
      </c>
      <c r="T49" s="8">
        <f>IF(T$19=0,0,(T51+T52)/T$19)</f>
        <v/>
      </c>
      <c r="U49" s="8">
        <f>IF(U$19=0,0,(U51+U52)/U$19)</f>
        <v/>
      </c>
      <c r="V49" s="8">
        <f>IF(V$19=0,0,(V51+V52)/V$19)</f>
        <v/>
      </c>
      <c r="W49" s="20">
        <f>IF(W$19=0,0,(W51+W52)/W$19)</f>
        <v/>
      </c>
    </row>
    <row r="50">
      <c r="A50" s="1" t="inlineStr">
        <is>
          <t xml:space="preserve">   Loss %</t>
        </is>
      </c>
      <c r="B50" s="11">
        <f>IF((B51+B52)=0,0,B51/(B51+B52))</f>
        <v/>
      </c>
      <c r="C50" s="8">
        <f>IF((C51+C52)=0,0,C51/(C51+C52))</f>
        <v/>
      </c>
      <c r="D50" s="8">
        <f>IF((D51+D52)=0,0,D51/(D51+D52))</f>
        <v/>
      </c>
      <c r="E50" s="8">
        <f>IF((E51+E52)=0,0,E51/(E51+E52))</f>
        <v/>
      </c>
      <c r="F50" s="8">
        <f>IF((F51+F52)=0,0,F51/(F51+F52))</f>
        <v/>
      </c>
      <c r="G50" s="8">
        <f>IF((G51+G52)=0,0,G51/(G51+G52))</f>
        <v/>
      </c>
      <c r="H50" s="8">
        <f>IF((H51+H52)=0,0,H51/(H51+H52))</f>
        <v/>
      </c>
      <c r="I50" s="20">
        <f>IF((I51+I52)=0,0,I51/(I51+I52))</f>
        <v/>
      </c>
      <c r="J50" s="8">
        <f>IF((J51+J52)=0,0,J51/(J51+J52))</f>
        <v/>
      </c>
      <c r="K50" s="8">
        <f>IF((K51+K52)=0,0,K51/(K51+K52))</f>
        <v/>
      </c>
      <c r="L50" s="8">
        <f>IF((L51+L52)=0,0,L51/(L51+L52))</f>
        <v/>
      </c>
      <c r="M50" s="8">
        <f>IF((M51+M52)=0,0,M51/(M51+M52))</f>
        <v/>
      </c>
      <c r="N50" s="8">
        <f>IF((N51+N52)=0,0,N51/(N51+N52))</f>
        <v/>
      </c>
      <c r="O50" s="8">
        <f>IF((O51+O52)=0,0,O51/(O51+O52))</f>
        <v/>
      </c>
      <c r="P50" s="20">
        <f>IF((P51+P52)=0,0,P51/(P51+P52))</f>
        <v/>
      </c>
      <c r="Q50" s="8">
        <f>IF((Q51+Q52)=0,0,Q51/(Q51+Q52))</f>
        <v/>
      </c>
      <c r="R50" s="8">
        <f>IF((R51+R52)=0,0,R51/(R51+R52))</f>
        <v/>
      </c>
      <c r="S50" s="8">
        <f>IF((S51+S52)=0,0,S51/(S51+S52))</f>
        <v/>
      </c>
      <c r="T50" s="8">
        <f>IF((T51+T52)=0,0,T51/(T51+T52))</f>
        <v/>
      </c>
      <c r="U50" s="8">
        <f>IF((U51+U52)=0,0,U51/(U51+U52))</f>
        <v/>
      </c>
      <c r="V50" s="8">
        <f>IF((V51+V52)=0,0,V51/(V51+V52))</f>
        <v/>
      </c>
      <c r="W50" s="20">
        <f>IF((W51+W52)=0,0,W51/(W51+W52))</f>
        <v/>
      </c>
    </row>
    <row r="51">
      <c r="A51" s="1" t="inlineStr">
        <is>
          <t xml:space="preserve">   Lost Count</t>
        </is>
      </c>
      <c r="B51" s="9">
        <f>I51+P51+W51</f>
        <v/>
      </c>
      <c r="C51">
        <f>COUNTIFS(Accounts!$E:$E,'AccountSummary (New)'!C$1,Accounts!$G:$G,'AccountSummary (New)'!C$2,Accounts!$F:$F,'AccountSummary (New)'!C$3,Accounts!$B:$B,"Customer",Accounts!$C:$C,"Lost",Accounts!$H:$H,"&gt;"&amp;90,Accounts!$H:$H,"&lt;="&amp;180)</f>
        <v/>
      </c>
      <c r="D51">
        <f>COUNTIFS(Accounts!$E:$E,'AccountSummary (New)'!D$1,Accounts!$G:$G,'AccountSummary (New)'!D$2,Accounts!$F:$F,'AccountSummary (New)'!D$3,Accounts!$B:$B,"Customer",Accounts!$C:$C,"Lost",Accounts!$H:$H,"&gt;"&amp;90,Accounts!$H:$H,"&lt;="&amp;180)</f>
        <v/>
      </c>
      <c r="E51">
        <f>COUNTIFS(Accounts!$E:$E,'AccountSummary (New)'!E$1,Accounts!$G:$G,'AccountSummary (New)'!E$2,Accounts!$F:$F,'AccountSummary (New)'!E$3,Accounts!$B:$B,"Customer",Accounts!$C:$C,"Lost",Accounts!$H:$H,"&gt;"&amp;90,Accounts!$H:$H,"&lt;="&amp;180)</f>
        <v/>
      </c>
      <c r="F51">
        <f>COUNTIFS(Accounts!$E:$E,'AccountSummary (New)'!F$1,Accounts!$G:$G,'AccountSummary (New)'!F$2,Accounts!$F:$F,'AccountSummary (New)'!F$3,Accounts!$B:$B,"Customer",Accounts!$C:$C,"Lost",Accounts!$H:$H,"&gt;"&amp;90,Accounts!$H:$H,"&lt;="&amp;180)</f>
        <v/>
      </c>
      <c r="G51">
        <f>COUNTIFS(Accounts!$E:$E,'AccountSummary (New)'!G$1,Accounts!$G:$G,'AccountSummary (New)'!G$2,Accounts!$F:$F,'AccountSummary (New)'!G$3,Accounts!$B:$B,"Customer",Accounts!$C:$C,"Lost",Accounts!$H:$H,"&gt;"&amp;90,Accounts!$H:$H,"&lt;="&amp;180)</f>
        <v/>
      </c>
      <c r="H51">
        <f>COUNTIFS(Accounts!$E:$E,'AccountSummary (New)'!H$1,Accounts!$G:$G,'AccountSummary (New)'!H$2,Accounts!$F:$F,'AccountSummary (New)'!H$3,Accounts!$B:$B,"Customer",Accounts!$C:$C,"Lost",Accounts!$H:$H,"&gt;"&amp;90,Accounts!$H:$H,"&lt;="&amp;180)</f>
        <v/>
      </c>
      <c r="I51" s="15">
        <f>SUM(C51:H51)</f>
        <v/>
      </c>
      <c r="J51">
        <f>COUNTIFS(Accounts!$E:$E,'AccountSummary (New)'!J$1,Accounts!$G:$G,'AccountSummary (New)'!J$2,Accounts!$F:$F,'AccountSummary (New)'!J$3,Accounts!$B:$B,"Customer",Accounts!$C:$C,"Lost",Accounts!$H:$H,"&gt;"&amp;90,Accounts!$H:$H,"&lt;="&amp;180)</f>
        <v/>
      </c>
      <c r="K51">
        <f>COUNTIFS(Accounts!$E:$E,'AccountSummary (New)'!K$1,Accounts!$G:$G,'AccountSummary (New)'!K$2,Accounts!$F:$F,'AccountSummary (New)'!K$3,Accounts!$B:$B,"Customer",Accounts!$C:$C,"Lost",Accounts!$H:$H,"&gt;"&amp;90,Accounts!$H:$H,"&lt;="&amp;180)</f>
        <v/>
      </c>
      <c r="L51">
        <f>COUNTIFS(Accounts!$E:$E,'AccountSummary (New)'!L$1,Accounts!$G:$G,'AccountSummary (New)'!L$2,Accounts!$F:$F,'AccountSummary (New)'!L$3,Accounts!$B:$B,"Customer",Accounts!$C:$C,"Lost",Accounts!$H:$H,"&gt;"&amp;90,Accounts!$H:$H,"&lt;="&amp;180)</f>
        <v/>
      </c>
      <c r="M51">
        <f>COUNTIFS(Accounts!$E:$E,'AccountSummary (New)'!M$1,Accounts!$G:$G,'AccountSummary (New)'!M$2,Accounts!$F:$F,'AccountSummary (New)'!M$3,Accounts!$B:$B,"Customer",Accounts!$C:$C,"Lost",Accounts!$H:$H,"&gt;"&amp;90,Accounts!$H:$H,"&lt;="&amp;180)</f>
        <v/>
      </c>
      <c r="N51">
        <f>COUNTIFS(Accounts!$E:$E,'AccountSummary (New)'!N$1,Accounts!$G:$G,'AccountSummary (New)'!N$2,Accounts!$F:$F,'AccountSummary (New)'!N$3,Accounts!$B:$B,"Customer",Accounts!$C:$C,"Lost",Accounts!$H:$H,"&gt;"&amp;90,Accounts!$H:$H,"&lt;="&amp;180)</f>
        <v/>
      </c>
      <c r="O51">
        <f>COUNTIFS(Accounts!$E:$E,'AccountSummary (New)'!O$1,Accounts!$G:$G,'AccountSummary (New)'!O$2,Accounts!$F:$F,'AccountSummary (New)'!O$3,Accounts!$B:$B,"Customer",Accounts!$C:$C,"Lost",Accounts!$H:$H,"&gt;"&amp;90,Accounts!$H:$H,"&lt;="&amp;180)</f>
        <v/>
      </c>
      <c r="P51" s="15">
        <f>SUM(J51:O51)</f>
        <v/>
      </c>
      <c r="Q51">
        <f>COUNTIFS(Accounts!$E:$E,'AccountSummary (New)'!Q$1,Accounts!$G:$G,'AccountSummary (New)'!Q$2,Accounts!$F:$F,'AccountSummary (New)'!Q$3,Accounts!$B:$B,"Customer",Accounts!$C:$C,"Lost",Accounts!$H:$H,"&gt;"&amp;90,Accounts!$H:$H,"&lt;="&amp;180)</f>
        <v/>
      </c>
      <c r="R51">
        <f>COUNTIFS(Accounts!$E:$E,'AccountSummary (New)'!R$1,Accounts!$G:$G,'AccountSummary (New)'!R$2,Accounts!$F:$F,'AccountSummary (New)'!R$3,Accounts!$B:$B,"Customer",Accounts!$C:$C,"Lost",Accounts!$H:$H,"&gt;"&amp;90,Accounts!$H:$H,"&lt;="&amp;180)</f>
        <v/>
      </c>
      <c r="S51">
        <f>COUNTIFS(Accounts!$E:$E,'AccountSummary (New)'!S$1,Accounts!$G:$G,'AccountSummary (New)'!S$2,Accounts!$F:$F,'AccountSummary (New)'!S$3,Accounts!$B:$B,"Customer",Accounts!$C:$C,"Lost",Accounts!$H:$H,"&gt;"&amp;90,Accounts!$H:$H,"&lt;="&amp;180)</f>
        <v/>
      </c>
      <c r="T51">
        <f>COUNTIFS(Accounts!$E:$E,'AccountSummary (New)'!T$1,Accounts!$G:$G,'AccountSummary (New)'!T$2,Accounts!$F:$F,'AccountSummary (New)'!T$3,Accounts!$B:$B,"Customer",Accounts!$C:$C,"Lost",Accounts!$H:$H,"&gt;"&amp;90,Accounts!$H:$H,"&lt;="&amp;180)</f>
        <v/>
      </c>
      <c r="U51">
        <f>COUNTIFS(Accounts!$E:$E,'AccountSummary (New)'!U$1,Accounts!$G:$G,'AccountSummary (New)'!U$2,Accounts!$F:$F,'AccountSummary (New)'!U$3,Accounts!$B:$B,"Customer",Accounts!$C:$C,"Lost",Accounts!$H:$H,"&gt;"&amp;90,Accounts!$H:$H,"&lt;="&amp;180)</f>
        <v/>
      </c>
      <c r="V51">
        <f>COUNTIFS(Accounts!$E:$E,'AccountSummary (New)'!V$1,Accounts!$G:$G,'AccountSummary (New)'!V$2,Accounts!$F:$F,'AccountSummary (New)'!V$3,Accounts!$B:$B,"Customer",Accounts!$C:$C,"Lost",Accounts!$H:$H,"&gt;"&amp;90,Accounts!$H:$H,"&lt;="&amp;180)</f>
        <v/>
      </c>
      <c r="W51" s="15">
        <f>SUM(Q51:V51)</f>
        <v/>
      </c>
    </row>
    <row r="52">
      <c r="A52" s="1" t="inlineStr">
        <is>
          <t xml:space="preserve">   Retained Count</t>
        </is>
      </c>
      <c r="B52" s="9">
        <f>I52+P52+W52</f>
        <v/>
      </c>
      <c r="C52">
        <f>COUNTIFS(Accounts!$E:$E,'AccountSummary (New)'!C$1,Accounts!$G:$G,'AccountSummary (New)'!C$2,Accounts!$F:$F,'AccountSummary (New)'!C$3,Accounts!$B:$B,"Customer",Accounts!$C:$C,"Customer",Accounts!$H:$H,"&gt;"&amp;90,Accounts!$H:$H,"&lt;="&amp;180)</f>
        <v/>
      </c>
      <c r="D52">
        <f>COUNTIFS(Accounts!$E:$E,'AccountSummary (New)'!D$1,Accounts!$G:$G,'AccountSummary (New)'!D$2,Accounts!$F:$F,'AccountSummary (New)'!D$3,Accounts!$B:$B,"Customer",Accounts!$C:$C,"Customer",Accounts!$H:$H,"&gt;"&amp;90,Accounts!$H:$H,"&lt;="&amp;180)</f>
        <v/>
      </c>
      <c r="E52">
        <f>COUNTIFS(Accounts!$E:$E,'AccountSummary (New)'!E$1,Accounts!$G:$G,'AccountSummary (New)'!E$2,Accounts!$F:$F,'AccountSummary (New)'!E$3,Accounts!$B:$B,"Customer",Accounts!$C:$C,"Customer",Accounts!$H:$H,"&gt;"&amp;90,Accounts!$H:$H,"&lt;="&amp;180)</f>
        <v/>
      </c>
      <c r="F52">
        <f>COUNTIFS(Accounts!$E:$E,'AccountSummary (New)'!F$1,Accounts!$G:$G,'AccountSummary (New)'!F$2,Accounts!$F:$F,'AccountSummary (New)'!F$3,Accounts!$B:$B,"Customer",Accounts!$C:$C,"Customer",Accounts!$H:$H,"&gt;"&amp;90,Accounts!$H:$H,"&lt;="&amp;180)</f>
        <v/>
      </c>
      <c r="G52">
        <f>COUNTIFS(Accounts!$E:$E,'AccountSummary (New)'!G$1,Accounts!$G:$G,'AccountSummary (New)'!G$2,Accounts!$F:$F,'AccountSummary (New)'!G$3,Accounts!$B:$B,"Customer",Accounts!$C:$C,"Customer",Accounts!$H:$H,"&gt;"&amp;90,Accounts!$H:$H,"&lt;="&amp;180)</f>
        <v/>
      </c>
      <c r="H52">
        <f>COUNTIFS(Accounts!$E:$E,'AccountSummary (New)'!H$1,Accounts!$G:$G,'AccountSummary (New)'!H$2,Accounts!$F:$F,'AccountSummary (New)'!H$3,Accounts!$B:$B,"Customer",Accounts!$C:$C,"Customer",Accounts!$H:$H,"&gt;"&amp;90,Accounts!$H:$H,"&lt;="&amp;180)</f>
        <v/>
      </c>
      <c r="I52" s="15">
        <f>SUM(C52:H52)</f>
        <v/>
      </c>
      <c r="J52">
        <f>COUNTIFS(Accounts!$E:$E,'AccountSummary (New)'!J$1,Accounts!$G:$G,'AccountSummary (New)'!J$2,Accounts!$F:$F,'AccountSummary (New)'!J$3,Accounts!$B:$B,"Customer",Accounts!$C:$C,"Customer",Accounts!$H:$H,"&gt;"&amp;90,Accounts!$H:$H,"&lt;="&amp;180)</f>
        <v/>
      </c>
      <c r="K52">
        <f>COUNTIFS(Accounts!$E:$E,'AccountSummary (New)'!K$1,Accounts!$G:$G,'AccountSummary (New)'!K$2,Accounts!$F:$F,'AccountSummary (New)'!K$3,Accounts!$B:$B,"Customer",Accounts!$C:$C,"Customer",Accounts!$H:$H,"&gt;"&amp;90,Accounts!$H:$H,"&lt;="&amp;180)</f>
        <v/>
      </c>
      <c r="L52">
        <f>COUNTIFS(Accounts!$E:$E,'AccountSummary (New)'!L$1,Accounts!$G:$G,'AccountSummary (New)'!L$2,Accounts!$F:$F,'AccountSummary (New)'!L$3,Accounts!$B:$B,"Customer",Accounts!$C:$C,"Customer",Accounts!$H:$H,"&gt;"&amp;90,Accounts!$H:$H,"&lt;="&amp;180)</f>
        <v/>
      </c>
      <c r="M52">
        <f>COUNTIFS(Accounts!$E:$E,'AccountSummary (New)'!M$1,Accounts!$G:$G,'AccountSummary (New)'!M$2,Accounts!$F:$F,'AccountSummary (New)'!M$3,Accounts!$B:$B,"Customer",Accounts!$C:$C,"Customer",Accounts!$H:$H,"&gt;"&amp;90,Accounts!$H:$H,"&lt;="&amp;180)</f>
        <v/>
      </c>
      <c r="N52">
        <f>COUNTIFS(Accounts!$E:$E,'AccountSummary (New)'!N$1,Accounts!$G:$G,'AccountSummary (New)'!N$2,Accounts!$F:$F,'AccountSummary (New)'!N$3,Accounts!$B:$B,"Customer",Accounts!$C:$C,"Customer",Accounts!$H:$H,"&gt;"&amp;90,Accounts!$H:$H,"&lt;="&amp;180)</f>
        <v/>
      </c>
      <c r="O52">
        <f>COUNTIFS(Accounts!$E:$E,'AccountSummary (New)'!O$1,Accounts!$G:$G,'AccountSummary (New)'!O$2,Accounts!$F:$F,'AccountSummary (New)'!O$3,Accounts!$B:$B,"Customer",Accounts!$C:$C,"Customer",Accounts!$H:$H,"&gt;"&amp;90,Accounts!$H:$H,"&lt;="&amp;180)</f>
        <v/>
      </c>
      <c r="P52" s="15">
        <f>SUM(J52:O52)</f>
        <v/>
      </c>
      <c r="Q52">
        <f>COUNTIFS(Accounts!$E:$E,'AccountSummary (New)'!Q$1,Accounts!$G:$G,'AccountSummary (New)'!Q$2,Accounts!$F:$F,'AccountSummary (New)'!Q$3,Accounts!$B:$B,"Customer",Accounts!$C:$C,"Customer",Accounts!$H:$H,"&gt;"&amp;90,Accounts!$H:$H,"&lt;="&amp;180)</f>
        <v/>
      </c>
      <c r="R52">
        <f>COUNTIFS(Accounts!$E:$E,'AccountSummary (New)'!R$1,Accounts!$G:$G,'AccountSummary (New)'!R$2,Accounts!$F:$F,'AccountSummary (New)'!R$3,Accounts!$B:$B,"Customer",Accounts!$C:$C,"Customer",Accounts!$H:$H,"&gt;"&amp;90,Accounts!$H:$H,"&lt;="&amp;180)</f>
        <v/>
      </c>
      <c r="S52">
        <f>COUNTIFS(Accounts!$E:$E,'AccountSummary (New)'!S$1,Accounts!$G:$G,'AccountSummary (New)'!S$2,Accounts!$F:$F,'AccountSummary (New)'!S$3,Accounts!$B:$B,"Customer",Accounts!$C:$C,"Customer",Accounts!$H:$H,"&gt;"&amp;90,Accounts!$H:$H,"&lt;="&amp;180)</f>
        <v/>
      </c>
      <c r="T52">
        <f>COUNTIFS(Accounts!$E:$E,'AccountSummary (New)'!T$1,Accounts!$G:$G,'AccountSummary (New)'!T$2,Accounts!$F:$F,'AccountSummary (New)'!T$3,Accounts!$B:$B,"Customer",Accounts!$C:$C,"Customer",Accounts!$H:$H,"&gt;"&amp;90,Accounts!$H:$H,"&lt;="&amp;180)</f>
        <v/>
      </c>
      <c r="U52">
        <f>COUNTIFS(Accounts!$E:$E,'AccountSummary (New)'!U$1,Accounts!$G:$G,'AccountSummary (New)'!U$2,Accounts!$F:$F,'AccountSummary (New)'!U$3,Accounts!$B:$B,"Customer",Accounts!$C:$C,"Customer",Accounts!$H:$H,"&gt;"&amp;90,Accounts!$H:$H,"&lt;="&amp;180)</f>
        <v/>
      </c>
      <c r="V52">
        <f>COUNTIFS(Accounts!$E:$E,'AccountSummary (New)'!V$1,Accounts!$G:$G,'AccountSummary (New)'!V$2,Accounts!$F:$F,'AccountSummary (New)'!V$3,Accounts!$B:$B,"Customer",Accounts!$C:$C,"Customer",Accounts!$H:$H,"&gt;"&amp;90,Accounts!$H:$H,"&lt;="&amp;180)</f>
        <v/>
      </c>
      <c r="W52" s="15">
        <f>SUM(Q52:V52)</f>
        <v/>
      </c>
    </row>
    <row r="53">
      <c r="A53" s="2" t="inlineStr">
        <is>
          <t xml:space="preserve">   Packs per Account</t>
        </is>
      </c>
      <c r="B53" s="13">
        <f>IF(B52=0,0,SUMIFS(Accounts!$L:$L,Accounts!$W:$W,0,Accounts!$C:$C,"Customer",Accounts!$H:$H,"&gt;"&amp;60,Accounts!$H:$H,"&lt;="&amp;90)/B52)</f>
        <v/>
      </c>
      <c r="C53" s="4">
        <f>IF(C52=0,0,SUMIFS(Accounts!$L:$L,Accounts!$E:$E,'AccountSummary (New)'!C$1,Accounts!$G:$G,'AccountSummary (New)'!C$2,Accounts!$F:$F,'AccountSummary (New)'!C$3,Accounts!$W:$W,0,Accounts!$C:$C,"Customer",Accounts!$H:$H,"&gt;"&amp;90,Accounts!$H:$H,"&lt;="&amp;180)/C52)</f>
        <v/>
      </c>
      <c r="D53" s="4">
        <f>IF(D52=0,0,SUMIFS(Accounts!$L:$L,Accounts!$E:$E,'AccountSummary (New)'!D$1,Accounts!$G:$G,'AccountSummary (New)'!D$2,Accounts!$F:$F,'AccountSummary (New)'!D$3,Accounts!$W:$W,0,Accounts!$C:$C,"Customer",Accounts!$H:$H,"&gt;"&amp;90,Accounts!$H:$H,"&lt;="&amp;180)/D52)</f>
        <v/>
      </c>
      <c r="E53" s="4">
        <f>IF(E52=0,0,SUMIFS(Accounts!$L:$L,Accounts!$E:$E,'AccountSummary (New)'!E$1,Accounts!$G:$G,'AccountSummary (New)'!E$2,Accounts!$F:$F,'AccountSummary (New)'!E$3,Accounts!$W:$W,0,Accounts!$C:$C,"Customer",Accounts!$H:$H,"&gt;"&amp;90,Accounts!$H:$H,"&lt;="&amp;180)/E52)</f>
        <v/>
      </c>
      <c r="F53" s="4">
        <f>IF(F52=0,0,SUMIFS(Accounts!$L:$L,Accounts!$E:$E,'AccountSummary (New)'!F$1,Accounts!$G:$G,'AccountSummary (New)'!F$2,Accounts!$F:$F,'AccountSummary (New)'!F$3,Accounts!$W:$W,0,Accounts!$C:$C,"Customer",Accounts!$H:$H,"&gt;"&amp;90,Accounts!$H:$H,"&lt;="&amp;180)/F52)</f>
        <v/>
      </c>
      <c r="G53" s="4">
        <f>IF(G52=0,0,SUMIFS(Accounts!$L:$L,Accounts!$E:$E,'AccountSummary (New)'!G$1,Accounts!$G:$G,'AccountSummary (New)'!G$2,Accounts!$F:$F,'AccountSummary (New)'!G$3,Accounts!$W:$W,0,Accounts!$C:$C,"Customer",Accounts!$H:$H,"&gt;"&amp;90,Accounts!$H:$H,"&lt;="&amp;180)/G52)</f>
        <v/>
      </c>
      <c r="H53" s="4">
        <f>IF(H52=0,0,SUMIFS(Accounts!$L:$L,Accounts!$E:$E,'AccountSummary (New)'!H$1,Accounts!$G:$G,'AccountSummary (New)'!H$2,Accounts!$F:$F,'AccountSummary (New)'!H$3,Accounts!$W:$W,0,Accounts!$C:$C,"Customer",Accounts!$H:$H,"&gt;"&amp;90,Accounts!$H:$H,"&lt;="&amp;180)/H52)</f>
        <v/>
      </c>
      <c r="I53" s="5">
        <f>IF(I52=0,0,SUMIFS(Accounts!$L:$L,Accounts!$F:$F,'AccountSummary (New)'!I$3,Accounts!$W:$W,0,Accounts!$C:$C,"Customer",Accounts!$H:$H,"&gt;"&amp;90,Accounts!$H:$H,"&lt;="&amp;180)/I52)</f>
        <v/>
      </c>
      <c r="J53" s="4">
        <f>IF(J52=0,0,SUMIFS(Accounts!$L:$L,Accounts!$E:$E,'AccountSummary (New)'!J$1,Accounts!$G:$G,'AccountSummary (New)'!J$2,Accounts!$F:$F,'AccountSummary (New)'!J$3,Accounts!$W:$W,0,Accounts!$C:$C,"Customer",Accounts!$H:$H,"&gt;"&amp;90,Accounts!$H:$H,"&lt;="&amp;180)/J52)</f>
        <v/>
      </c>
      <c r="K53" s="4">
        <f>IF(K52=0,0,SUMIFS(Accounts!$L:$L,Accounts!$E:$E,'AccountSummary (New)'!K$1,Accounts!$G:$G,'AccountSummary (New)'!K$2,Accounts!$F:$F,'AccountSummary (New)'!K$3,Accounts!$W:$W,0,Accounts!$C:$C,"Customer",Accounts!$H:$H,"&gt;"&amp;90,Accounts!$H:$H,"&lt;="&amp;180)/K52)</f>
        <v/>
      </c>
      <c r="L53" s="4">
        <f>IF(L52=0,0,SUMIFS(Accounts!$L:$L,Accounts!$E:$E,'AccountSummary (New)'!L$1,Accounts!$G:$G,'AccountSummary (New)'!L$2,Accounts!$F:$F,'AccountSummary (New)'!L$3,Accounts!$W:$W,0,Accounts!$C:$C,"Customer",Accounts!$H:$H,"&gt;"&amp;90,Accounts!$H:$H,"&lt;="&amp;180)/L52)</f>
        <v/>
      </c>
      <c r="M53" s="4">
        <f>IF(M52=0,0,SUMIFS(Accounts!$L:$L,Accounts!$E:$E,'AccountSummary (New)'!M$1,Accounts!$G:$G,'AccountSummary (New)'!M$2,Accounts!$F:$F,'AccountSummary (New)'!M$3,Accounts!$W:$W,0,Accounts!$C:$C,"Customer",Accounts!$H:$H,"&gt;"&amp;90,Accounts!$H:$H,"&lt;="&amp;180)/M52)</f>
        <v/>
      </c>
      <c r="N53" s="4">
        <f>IF(N52=0,0,SUMIFS(Accounts!$L:$L,Accounts!$E:$E,'AccountSummary (New)'!N$1,Accounts!$G:$G,'AccountSummary (New)'!N$2,Accounts!$F:$F,'AccountSummary (New)'!N$3,Accounts!$W:$W,0,Accounts!$C:$C,"Customer",Accounts!$H:$H,"&gt;"&amp;90,Accounts!$H:$H,"&lt;="&amp;180)/N52)</f>
        <v/>
      </c>
      <c r="O53" s="4">
        <f>IF(O52=0,0,SUMIFS(Accounts!$L:$L,Accounts!$E:$E,'AccountSummary (New)'!O$1,Accounts!$G:$G,'AccountSummary (New)'!O$2,Accounts!$F:$F,'AccountSummary (New)'!O$3,Accounts!$W:$W,0,Accounts!$C:$C,"Customer",Accounts!$H:$H,"&gt;"&amp;90,Accounts!$H:$H,"&lt;="&amp;180)/O52)</f>
        <v/>
      </c>
      <c r="P53" s="5">
        <f>IF(P52=0,0,SUMIFS(Accounts!$L:$L,Accounts!$F:$F,'AccountSummary (New)'!P$3,Accounts!$W:$W,0,Accounts!$C:$C,"Customer",Accounts!$H:$H,"&gt;"&amp;90,Accounts!$H:$H,"&lt;="&amp;180)/P52)</f>
        <v/>
      </c>
      <c r="Q53" s="4">
        <f>IF(Q52=0,0,SUMIFS(Accounts!$L:$L,Accounts!$E:$E,'AccountSummary (New)'!Q$1,Accounts!$G:$G,'AccountSummary (New)'!Q$2,Accounts!$F:$F,'AccountSummary (New)'!Q$3,Accounts!$W:$W,0,Accounts!$C:$C,"Customer",Accounts!$H:$H,"&gt;"&amp;90,Accounts!$H:$H,"&lt;="&amp;180)/Q52)</f>
        <v/>
      </c>
      <c r="R53" s="4">
        <f>IF(R52=0,0,SUMIFS(Accounts!$L:$L,Accounts!$E:$E,'AccountSummary (New)'!R$1,Accounts!$G:$G,'AccountSummary (New)'!R$2,Accounts!$F:$F,'AccountSummary (New)'!R$3,Accounts!$W:$W,0,Accounts!$C:$C,"Customer",Accounts!$H:$H,"&gt;"&amp;90,Accounts!$H:$H,"&lt;="&amp;180)/R52)</f>
        <v/>
      </c>
      <c r="S53" s="4">
        <f>IF(S52=0,0,SUMIFS(Accounts!$L:$L,Accounts!$E:$E,'AccountSummary (New)'!S$1,Accounts!$G:$G,'AccountSummary (New)'!S$2,Accounts!$F:$F,'AccountSummary (New)'!S$3,Accounts!$W:$W,0,Accounts!$C:$C,"Customer",Accounts!$H:$H,"&gt;"&amp;90,Accounts!$H:$H,"&lt;="&amp;180)/S52)</f>
        <v/>
      </c>
      <c r="T53" s="4">
        <f>IF(T52=0,0,SUMIFS(Accounts!$L:$L,Accounts!$E:$E,'AccountSummary (New)'!T$1,Accounts!$G:$G,'AccountSummary (New)'!T$2,Accounts!$F:$F,'AccountSummary (New)'!T$3,Accounts!$W:$W,0,Accounts!$C:$C,"Customer",Accounts!$H:$H,"&gt;"&amp;90,Accounts!$H:$H,"&lt;="&amp;180)/T52)</f>
        <v/>
      </c>
      <c r="U53" s="4">
        <f>IF(U52=0,0,SUMIFS(Accounts!$L:$L,Accounts!$E:$E,'AccountSummary (New)'!U$1,Accounts!$G:$G,'AccountSummary (New)'!U$2,Accounts!$F:$F,'AccountSummary (New)'!U$3,Accounts!$W:$W,0,Accounts!$C:$C,"Customer",Accounts!$H:$H,"&gt;"&amp;90,Accounts!$H:$H,"&lt;="&amp;180)/U52)</f>
        <v/>
      </c>
      <c r="V53" s="4">
        <f>IF(V52=0,0,SUMIFS(Accounts!$L:$L,Accounts!$E:$E,'AccountSummary (New)'!V$1,Accounts!$G:$G,'AccountSummary (New)'!V$2,Accounts!$F:$F,'AccountSummary (New)'!V$3,Accounts!$W:$W,0,Accounts!$C:$C,"Customer",Accounts!$H:$H,"&gt;"&amp;90,Accounts!$H:$H,"&lt;="&amp;180)/V52)</f>
        <v/>
      </c>
      <c r="W53" s="5">
        <f>IF(W52=0,0,SUMIFS(Accounts!$L:$L,Accounts!$F:$F,'AccountSummary (New)'!W$3,Accounts!$W:$W,0,Accounts!$C:$C,"Customer",Accounts!$H:$H,"&gt;"&amp;90,Accounts!$H:$H,"&lt;="&amp;180)/W52)</f>
        <v/>
      </c>
    </row>
    <row r="54">
      <c r="A54" s="2" t="inlineStr">
        <is>
          <t xml:space="preserve">   Users per Account</t>
        </is>
      </c>
      <c r="B54" s="13">
        <f>IF(B52=0,0,SUMIFS(Accounts!$M:$M,Accounts!$W:$W,0,Accounts!$C:$C,"Customer",Accounts!$H:$H,"&gt;"&amp;60,Accounts!$H:$H,"&lt;="&amp;90)/B52)</f>
        <v/>
      </c>
      <c r="C54" s="4">
        <f>IF(C52=0,0,SUMIFS(Accounts!$M:$M,Accounts!$E:$E,'AccountSummary (New)'!C$1,Accounts!$G:$G,'AccountSummary (New)'!C$2,Accounts!$F:$F,'AccountSummary (New)'!C$3,Accounts!$W:$W,0,Accounts!$C:$C,"Customer",Accounts!$H:$H,"&gt;"&amp;90,Accounts!$H:$H,"&lt;="&amp;180)/C52)</f>
        <v/>
      </c>
      <c r="D54" s="4">
        <f>IF(D52=0,0,SUMIFS(Accounts!$M:$M,Accounts!$E:$E,'AccountSummary (New)'!D$1,Accounts!$G:$G,'AccountSummary (New)'!D$2,Accounts!$F:$F,'AccountSummary (New)'!D$3,Accounts!$W:$W,0,Accounts!$C:$C,"Customer",Accounts!$H:$H,"&gt;"&amp;90,Accounts!$H:$H,"&lt;="&amp;180)/D52)</f>
        <v/>
      </c>
      <c r="E54" s="4">
        <f>IF(E52=0,0,SUMIFS(Accounts!$M:$M,Accounts!$E:$E,'AccountSummary (New)'!E$1,Accounts!$G:$G,'AccountSummary (New)'!E$2,Accounts!$F:$F,'AccountSummary (New)'!E$3,Accounts!$W:$W,0,Accounts!$C:$C,"Customer",Accounts!$H:$H,"&gt;"&amp;90,Accounts!$H:$H,"&lt;="&amp;180)/E52)</f>
        <v/>
      </c>
      <c r="F54" s="4">
        <f>IF(F52=0,0,SUMIFS(Accounts!$M:$M,Accounts!$E:$E,'AccountSummary (New)'!F$1,Accounts!$G:$G,'AccountSummary (New)'!F$2,Accounts!$F:$F,'AccountSummary (New)'!F$3,Accounts!$W:$W,0,Accounts!$C:$C,"Customer",Accounts!$H:$H,"&gt;"&amp;90,Accounts!$H:$H,"&lt;="&amp;180)/F52)</f>
        <v/>
      </c>
      <c r="G54" s="4">
        <f>IF(G52=0,0,SUMIFS(Accounts!$M:$M,Accounts!$E:$E,'AccountSummary (New)'!G$1,Accounts!$G:$G,'AccountSummary (New)'!G$2,Accounts!$F:$F,'AccountSummary (New)'!G$3,Accounts!$W:$W,0,Accounts!$C:$C,"Customer",Accounts!$H:$H,"&gt;"&amp;90,Accounts!$H:$H,"&lt;="&amp;180)/G52)</f>
        <v/>
      </c>
      <c r="H54" s="4">
        <f>IF(H52=0,0,SUMIFS(Accounts!$M:$M,Accounts!$E:$E,'AccountSummary (New)'!H$1,Accounts!$G:$G,'AccountSummary (New)'!H$2,Accounts!$F:$F,'AccountSummary (New)'!H$3,Accounts!$W:$W,0,Accounts!$C:$C,"Customer",Accounts!$H:$H,"&gt;"&amp;90,Accounts!$H:$H,"&lt;="&amp;180)/H52)</f>
        <v/>
      </c>
      <c r="I54" s="5">
        <f>IF(I52=0,0,SUMIFS(Accounts!$M:$M,Accounts!$F:$F,'AccountSummary (New)'!I$3,Accounts!$W:$W,0,Accounts!$C:$C,"Customer",Accounts!$H:$H,"&gt;"&amp;90,Accounts!$H:$H,"&lt;="&amp;180)/I52)</f>
        <v/>
      </c>
      <c r="J54" s="4">
        <f>IF(J52=0,0,SUMIFS(Accounts!$M:$M,Accounts!$E:$E,'AccountSummary (New)'!J$1,Accounts!$G:$G,'AccountSummary (New)'!J$2,Accounts!$F:$F,'AccountSummary (New)'!J$3,Accounts!$W:$W,0,Accounts!$C:$C,"Customer",Accounts!$H:$H,"&gt;"&amp;90,Accounts!$H:$H,"&lt;="&amp;180)/J52)</f>
        <v/>
      </c>
      <c r="K54" s="4">
        <f>IF(K52=0,0,SUMIFS(Accounts!$M:$M,Accounts!$E:$E,'AccountSummary (New)'!K$1,Accounts!$G:$G,'AccountSummary (New)'!K$2,Accounts!$F:$F,'AccountSummary (New)'!K$3,Accounts!$W:$W,0,Accounts!$C:$C,"Customer",Accounts!$H:$H,"&gt;"&amp;90,Accounts!$H:$H,"&lt;="&amp;180)/K52)</f>
        <v/>
      </c>
      <c r="L54" s="4">
        <f>IF(L52=0,0,SUMIFS(Accounts!$M:$M,Accounts!$E:$E,'AccountSummary (New)'!L$1,Accounts!$G:$G,'AccountSummary (New)'!L$2,Accounts!$F:$F,'AccountSummary (New)'!L$3,Accounts!$W:$W,0,Accounts!$C:$C,"Customer",Accounts!$H:$H,"&gt;"&amp;90,Accounts!$H:$H,"&lt;="&amp;180)/L52)</f>
        <v/>
      </c>
      <c r="M54" s="4">
        <f>IF(M52=0,0,SUMIFS(Accounts!$M:$M,Accounts!$E:$E,'AccountSummary (New)'!M$1,Accounts!$G:$G,'AccountSummary (New)'!M$2,Accounts!$F:$F,'AccountSummary (New)'!M$3,Accounts!$W:$W,0,Accounts!$C:$C,"Customer",Accounts!$H:$H,"&gt;"&amp;90,Accounts!$H:$H,"&lt;="&amp;180)/M52)</f>
        <v/>
      </c>
      <c r="N54" s="4">
        <f>IF(N52=0,0,SUMIFS(Accounts!$M:$M,Accounts!$E:$E,'AccountSummary (New)'!N$1,Accounts!$G:$G,'AccountSummary (New)'!N$2,Accounts!$F:$F,'AccountSummary (New)'!N$3,Accounts!$W:$W,0,Accounts!$C:$C,"Customer",Accounts!$H:$H,"&gt;"&amp;90,Accounts!$H:$H,"&lt;="&amp;180)/N52)</f>
        <v/>
      </c>
      <c r="O54" s="4">
        <f>IF(O52=0,0,SUMIFS(Accounts!$M:$M,Accounts!$E:$E,'AccountSummary (New)'!O$1,Accounts!$G:$G,'AccountSummary (New)'!O$2,Accounts!$F:$F,'AccountSummary (New)'!O$3,Accounts!$W:$W,0,Accounts!$C:$C,"Customer",Accounts!$H:$H,"&gt;"&amp;90,Accounts!$H:$H,"&lt;="&amp;180)/O52)</f>
        <v/>
      </c>
      <c r="P54" s="5">
        <f>IF(P52=0,0,SUMIFS(Accounts!$M:$M,Accounts!$F:$F,'AccountSummary (New)'!P$3,Accounts!$W:$W,0,Accounts!$C:$C,"Customer",Accounts!$H:$H,"&gt;"&amp;90,Accounts!$H:$H,"&lt;="&amp;180)/P52)</f>
        <v/>
      </c>
      <c r="Q54" s="4">
        <f>IF(Q52=0,0,SUMIFS(Accounts!$M:$M,Accounts!$E:$E,'AccountSummary (New)'!Q$1,Accounts!$G:$G,'AccountSummary (New)'!Q$2,Accounts!$F:$F,'AccountSummary (New)'!Q$3,Accounts!$W:$W,0,Accounts!$C:$C,"Customer",Accounts!$H:$H,"&gt;"&amp;90,Accounts!$H:$H,"&lt;="&amp;180)/Q52)</f>
        <v/>
      </c>
      <c r="R54" s="4">
        <f>IF(R52=0,0,SUMIFS(Accounts!$M:$M,Accounts!$E:$E,'AccountSummary (New)'!R$1,Accounts!$G:$G,'AccountSummary (New)'!R$2,Accounts!$F:$F,'AccountSummary (New)'!R$3,Accounts!$W:$W,0,Accounts!$C:$C,"Customer",Accounts!$H:$H,"&gt;"&amp;90,Accounts!$H:$H,"&lt;="&amp;180)/R52)</f>
        <v/>
      </c>
      <c r="S54" s="4">
        <f>IF(S52=0,0,SUMIFS(Accounts!$M:$M,Accounts!$E:$E,'AccountSummary (New)'!S$1,Accounts!$G:$G,'AccountSummary (New)'!S$2,Accounts!$F:$F,'AccountSummary (New)'!S$3,Accounts!$W:$W,0,Accounts!$C:$C,"Customer",Accounts!$H:$H,"&gt;"&amp;90,Accounts!$H:$H,"&lt;="&amp;180)/S52)</f>
        <v/>
      </c>
      <c r="T54" s="4">
        <f>IF(T52=0,0,SUMIFS(Accounts!$M:$M,Accounts!$E:$E,'AccountSummary (New)'!T$1,Accounts!$G:$G,'AccountSummary (New)'!T$2,Accounts!$F:$F,'AccountSummary (New)'!T$3,Accounts!$W:$W,0,Accounts!$C:$C,"Customer",Accounts!$H:$H,"&gt;"&amp;90,Accounts!$H:$H,"&lt;="&amp;180)/T52)</f>
        <v/>
      </c>
      <c r="U54" s="4">
        <f>IF(U52=0,0,SUMIFS(Accounts!$M:$M,Accounts!$E:$E,'AccountSummary (New)'!U$1,Accounts!$G:$G,'AccountSummary (New)'!U$2,Accounts!$F:$F,'AccountSummary (New)'!U$3,Accounts!$W:$W,0,Accounts!$C:$C,"Customer",Accounts!$H:$H,"&gt;"&amp;90,Accounts!$H:$H,"&lt;="&amp;180)/U52)</f>
        <v/>
      </c>
      <c r="V54" s="4">
        <f>IF(V52=0,0,SUMIFS(Accounts!$M:$M,Accounts!$E:$E,'AccountSummary (New)'!V$1,Accounts!$G:$G,'AccountSummary (New)'!V$2,Accounts!$F:$F,'AccountSummary (New)'!V$3,Accounts!$W:$W,0,Accounts!$C:$C,"Customer",Accounts!$H:$H,"&gt;"&amp;90,Accounts!$H:$H,"&lt;="&amp;180)/V52)</f>
        <v/>
      </c>
      <c r="W54" s="5">
        <f>IF(W52=0,0,SUMIFS(Accounts!$M:$M,Accounts!$F:$F,'AccountSummary (New)'!W$3,Accounts!$W:$W,0,Accounts!$C:$C,"Customer",Accounts!$H:$H,"&gt;"&amp;90,Accounts!$H:$H,"&lt;="&amp;180)/W52)</f>
        <v/>
      </c>
    </row>
    <row r="55">
      <c r="A55" s="1" t="inlineStr">
        <is>
          <t xml:space="preserve">   ARPC</t>
        </is>
      </c>
      <c r="B55" s="65">
        <f>IF(B52=0,0,B56/B52)</f>
        <v/>
      </c>
      <c r="C55" s="66">
        <f>IF(C52=0,0,C56/C52)</f>
        <v/>
      </c>
      <c r="D55" s="66">
        <f>IF(D52=0,0,D56/D52)</f>
        <v/>
      </c>
      <c r="E55" s="66">
        <f>IF(E52=0,0,E56/E52)</f>
        <v/>
      </c>
      <c r="F55" s="66">
        <f>IF(F52=0,0,F56/F52)</f>
        <v/>
      </c>
      <c r="G55" s="66">
        <f>IF(G52=0,0,G56/G52)</f>
        <v/>
      </c>
      <c r="H55" s="66">
        <f>IF(H52=0,0,H56/H52)</f>
        <v/>
      </c>
      <c r="I55" s="67">
        <f>IF(I52=0,0,I56/I52)</f>
        <v/>
      </c>
      <c r="J55" s="66">
        <f>IF(J52=0,0,J56/J52)</f>
        <v/>
      </c>
      <c r="K55" s="66">
        <f>IF(K52=0,0,K56/K52)</f>
        <v/>
      </c>
      <c r="L55" s="66">
        <f>IF(L52=0,0,L56/L52)</f>
        <v/>
      </c>
      <c r="M55" s="66">
        <f>IF(M52=0,0,M56/M52)</f>
        <v/>
      </c>
      <c r="N55" s="66">
        <f>IF(N52=0,0,N56/N52)</f>
        <v/>
      </c>
      <c r="O55" s="66">
        <f>IF(O52=0,0,O56/O52)</f>
        <v/>
      </c>
      <c r="P55" s="67">
        <f>IF(P52=0,0,P56/P52)</f>
        <v/>
      </c>
      <c r="Q55" s="66">
        <f>IF(Q52=0,0,Q56/Q52)</f>
        <v/>
      </c>
      <c r="R55" s="66">
        <f>IF(R52=0,0,R56/R52)</f>
        <v/>
      </c>
      <c r="S55" s="66">
        <f>IF(S52=0,0,S56/S52)</f>
        <v/>
      </c>
      <c r="T55" s="66">
        <f>IF(T52=0,0,T56/T52)</f>
        <v/>
      </c>
      <c r="U55" s="66">
        <f>IF(U52=0,0,U56/U52)</f>
        <v/>
      </c>
      <c r="V55" s="66">
        <f>IF(V52=0,0,V56/V52)</f>
        <v/>
      </c>
      <c r="W55" s="67">
        <f>IF(W52=0,0,W56/W52)</f>
        <v/>
      </c>
    </row>
    <row r="56">
      <c r="A56" s="1" t="inlineStr">
        <is>
          <t xml:space="preserve">   SaaS</t>
        </is>
      </c>
      <c r="B56" s="65">
        <f>I56+P56+W56</f>
        <v/>
      </c>
      <c r="C56" s="66">
        <f>SUMIFS(Accounts!$I:$I,Accounts!$E:$E,'AccountSummary (New)'!C$1,Accounts!$G:$G,'AccountSummary (New)'!C$2,Accounts!$F:$F,'AccountSummary (New)'!C$3,Accounts!$W:$W,0,Accounts!$C:$C,"Customer",Accounts!$H:$H,"&gt;"&amp;90,Accounts!$H:$H,"&lt;="&amp;180)</f>
        <v/>
      </c>
      <c r="D56" s="66">
        <f>SUMIFS(Accounts!$I:$I,Accounts!$E:$E,'AccountSummary (New)'!D$1,Accounts!$G:$G,'AccountSummary (New)'!D$2,Accounts!$F:$F,'AccountSummary (New)'!D$3,Accounts!$W:$W,0,Accounts!$C:$C,"Customer",Accounts!$H:$H,"&gt;"&amp;90,Accounts!$H:$H,"&lt;="&amp;180)</f>
        <v/>
      </c>
      <c r="E56" s="66">
        <f>SUMIFS(Accounts!$I:$I,Accounts!$E:$E,'AccountSummary (New)'!E$1,Accounts!$G:$G,'AccountSummary (New)'!E$2,Accounts!$F:$F,'AccountSummary (New)'!E$3,Accounts!$W:$W,0,Accounts!$C:$C,"Customer",Accounts!$H:$H,"&gt;"&amp;90,Accounts!$H:$H,"&lt;="&amp;180)</f>
        <v/>
      </c>
      <c r="F56" s="66">
        <f>SUMIFS(Accounts!$I:$I,Accounts!$E:$E,'AccountSummary (New)'!F$1,Accounts!$G:$G,'AccountSummary (New)'!F$2,Accounts!$F:$F,'AccountSummary (New)'!F$3,Accounts!$W:$W,0,Accounts!$C:$C,"Customer",Accounts!$H:$H,"&gt;"&amp;90,Accounts!$H:$H,"&lt;="&amp;180)</f>
        <v/>
      </c>
      <c r="G56" s="66">
        <f>SUMIFS(Accounts!$I:$I,Accounts!$E:$E,'AccountSummary (New)'!G$1,Accounts!$G:$G,'AccountSummary (New)'!G$2,Accounts!$F:$F,'AccountSummary (New)'!G$3,Accounts!$W:$W,0,Accounts!$C:$C,"Customer",Accounts!$H:$H,"&gt;"&amp;90,Accounts!$H:$H,"&lt;="&amp;180)</f>
        <v/>
      </c>
      <c r="H56" s="66">
        <f>SUMIFS(Accounts!$I:$I,Accounts!$E:$E,'AccountSummary (New)'!H$1,Accounts!$G:$G,'AccountSummary (New)'!H$2,Accounts!$F:$F,'AccountSummary (New)'!H$3,Accounts!$W:$W,0,Accounts!$C:$C,"Customer",Accounts!$H:$H,"&gt;"&amp;90,Accounts!$H:$H,"&lt;="&amp;180)</f>
        <v/>
      </c>
      <c r="I56" s="67">
        <f>SUM(C56:H56)</f>
        <v/>
      </c>
      <c r="J56" s="66">
        <f>SUMIFS(Accounts!$I:$I,Accounts!$E:$E,'AccountSummary (New)'!J$1,Accounts!$G:$G,'AccountSummary (New)'!J$2,Accounts!$F:$F,'AccountSummary (New)'!J$3,Accounts!$W:$W,0,Accounts!$C:$C,"Customer",Accounts!$H:$H,"&gt;"&amp;90,Accounts!$H:$H,"&lt;="&amp;180)</f>
        <v/>
      </c>
      <c r="K56" s="66">
        <f>SUMIFS(Accounts!$I:$I,Accounts!$E:$E,'AccountSummary (New)'!K$1,Accounts!$G:$G,'AccountSummary (New)'!K$2,Accounts!$F:$F,'AccountSummary (New)'!K$3,Accounts!$W:$W,0,Accounts!$C:$C,"Customer",Accounts!$H:$H,"&gt;"&amp;90,Accounts!$H:$H,"&lt;="&amp;180)</f>
        <v/>
      </c>
      <c r="L56" s="66">
        <f>SUMIFS(Accounts!$I:$I,Accounts!$E:$E,'AccountSummary (New)'!L$1,Accounts!$G:$G,'AccountSummary (New)'!L$2,Accounts!$F:$F,'AccountSummary (New)'!L$3,Accounts!$W:$W,0,Accounts!$C:$C,"Customer",Accounts!$H:$H,"&gt;"&amp;90,Accounts!$H:$H,"&lt;="&amp;180)</f>
        <v/>
      </c>
      <c r="M56" s="66">
        <f>SUMIFS(Accounts!$I:$I,Accounts!$E:$E,'AccountSummary (New)'!M$1,Accounts!$G:$G,'AccountSummary (New)'!M$2,Accounts!$F:$F,'AccountSummary (New)'!M$3,Accounts!$W:$W,0,Accounts!$C:$C,"Customer",Accounts!$H:$H,"&gt;"&amp;90,Accounts!$H:$H,"&lt;="&amp;180)</f>
        <v/>
      </c>
      <c r="N56" s="66">
        <f>SUMIFS(Accounts!$I:$I,Accounts!$E:$E,'AccountSummary (New)'!N$1,Accounts!$G:$G,'AccountSummary (New)'!N$2,Accounts!$F:$F,'AccountSummary (New)'!N$3,Accounts!$W:$W,0,Accounts!$C:$C,"Customer",Accounts!$H:$H,"&gt;"&amp;90,Accounts!$H:$H,"&lt;="&amp;180)</f>
        <v/>
      </c>
      <c r="O56" s="66">
        <f>SUMIFS(Accounts!$I:$I,Accounts!$E:$E,'AccountSummary (New)'!O$1,Accounts!$G:$G,'AccountSummary (New)'!O$2,Accounts!$F:$F,'AccountSummary (New)'!O$3,Accounts!$W:$W,0,Accounts!$C:$C,"Customer",Accounts!$H:$H,"&gt;"&amp;90,Accounts!$H:$H,"&lt;="&amp;180)</f>
        <v/>
      </c>
      <c r="P56" s="67">
        <f>SUM(J56:O56)</f>
        <v/>
      </c>
      <c r="Q56" s="66">
        <f>SUMIFS(Accounts!$I:$I,Accounts!$E:$E,'AccountSummary (New)'!Q$1,Accounts!$G:$G,'AccountSummary (New)'!Q$2,Accounts!$F:$F,'AccountSummary (New)'!Q$3,Accounts!$W:$W,0,Accounts!$C:$C,"Customer",Accounts!$H:$H,"&gt;"&amp;90,Accounts!$H:$H,"&lt;="&amp;180)</f>
        <v/>
      </c>
      <c r="R56" s="66">
        <f>SUMIFS(Accounts!$I:$I,Accounts!$E:$E,'AccountSummary (New)'!R$1,Accounts!$G:$G,'AccountSummary (New)'!R$2,Accounts!$F:$F,'AccountSummary (New)'!R$3,Accounts!$W:$W,0,Accounts!$C:$C,"Customer",Accounts!$H:$H,"&gt;"&amp;90,Accounts!$H:$H,"&lt;="&amp;180)</f>
        <v/>
      </c>
      <c r="S56" s="66">
        <f>SUMIFS(Accounts!$I:$I,Accounts!$E:$E,'AccountSummary (New)'!S$1,Accounts!$G:$G,'AccountSummary (New)'!S$2,Accounts!$F:$F,'AccountSummary (New)'!S$3,Accounts!$W:$W,0,Accounts!$C:$C,"Customer",Accounts!$H:$H,"&gt;"&amp;90,Accounts!$H:$H,"&lt;="&amp;180)</f>
        <v/>
      </c>
      <c r="T56" s="66">
        <f>SUMIFS(Accounts!$I:$I,Accounts!$E:$E,'AccountSummary (New)'!T$1,Accounts!$G:$G,'AccountSummary (New)'!T$2,Accounts!$F:$F,'AccountSummary (New)'!T$3,Accounts!$W:$W,0,Accounts!$C:$C,"Customer",Accounts!$H:$H,"&gt;"&amp;90,Accounts!$H:$H,"&lt;="&amp;180)</f>
        <v/>
      </c>
      <c r="U56" s="66">
        <f>SUMIFS(Accounts!$I:$I,Accounts!$E:$E,'AccountSummary (New)'!U$1,Accounts!$G:$G,'AccountSummary (New)'!U$2,Accounts!$F:$F,'AccountSummary (New)'!U$3,Accounts!$W:$W,0,Accounts!$C:$C,"Customer",Accounts!$H:$H,"&gt;"&amp;90,Accounts!$H:$H,"&lt;="&amp;180)</f>
        <v/>
      </c>
      <c r="V56" s="66">
        <f>SUMIFS(Accounts!$I:$I,Accounts!$E:$E,'AccountSummary (New)'!V$1,Accounts!$G:$G,'AccountSummary (New)'!V$2,Accounts!$F:$F,'AccountSummary (New)'!V$3,Accounts!$W:$W,0,Accounts!$C:$C,"Customer",Accounts!$H:$H,"&gt;"&amp;90,Accounts!$H:$H,"&lt;="&amp;180)</f>
        <v/>
      </c>
      <c r="W56" s="67">
        <f>SUM(Q56:V56)</f>
        <v/>
      </c>
    </row>
    <row r="57">
      <c r="A57" s="1" t="inlineStr">
        <is>
          <t>180+ day cohort as of BOM</t>
        </is>
      </c>
      <c r="B57" s="65" t="n"/>
      <c r="C57" s="66" t="n"/>
      <c r="D57" s="66" t="n"/>
      <c r="E57" s="66" t="n"/>
      <c r="F57" s="66" t="n"/>
      <c r="G57" s="66" t="n"/>
      <c r="H57" s="66" t="n"/>
      <c r="I57" s="67" t="n"/>
      <c r="J57" s="66" t="n"/>
      <c r="K57" s="66" t="n"/>
      <c r="L57" s="66" t="n"/>
      <c r="M57" s="66" t="n"/>
      <c r="N57" s="66" t="n"/>
      <c r="O57" s="66" t="n"/>
      <c r="P57" s="67" t="n"/>
      <c r="Q57" s="66" t="n"/>
      <c r="R57" s="66" t="n"/>
      <c r="S57" s="66" t="n"/>
      <c r="T57" s="66" t="n"/>
      <c r="U57" s="66" t="n"/>
      <c r="V57" s="66" t="n"/>
      <c r="W57" s="67" t="n"/>
    </row>
    <row r="58">
      <c r="A58" s="1" t="inlineStr">
        <is>
          <t xml:space="preserve">   Total % of Paying Customers</t>
        </is>
      </c>
      <c r="B58" s="11">
        <f>IF(B$19=0,0,(B60+B61)/B$19)</f>
        <v/>
      </c>
      <c r="C58" s="8">
        <f>IF(C$19=0,0,(C60+C61)/C$19)</f>
        <v/>
      </c>
      <c r="D58" s="8">
        <f>IF(D$19=0,0,(D60+D61)/D$19)</f>
        <v/>
      </c>
      <c r="E58" s="8">
        <f>IF(E$19=0,0,(E60+E61)/E$19)</f>
        <v/>
      </c>
      <c r="F58" s="8">
        <f>IF(F$19=0,0,(F60+F61)/F$19)</f>
        <v/>
      </c>
      <c r="G58" s="8">
        <f>IF(G$19=0,0,(G60+G61)/G$19)</f>
        <v/>
      </c>
      <c r="H58" s="8">
        <f>IF(H$19=0,0,(H60+H61)/H$19)</f>
        <v/>
      </c>
      <c r="I58" s="20">
        <f>IF(I$19=0,0,(I60+I61)/I$19)</f>
        <v/>
      </c>
      <c r="J58" s="8">
        <f>IF(J$19=0,0,(J60+J61)/J$19)</f>
        <v/>
      </c>
      <c r="K58" s="8">
        <f>IF(K$19=0,0,(K60+K61)/K$19)</f>
        <v/>
      </c>
      <c r="L58" s="8">
        <f>IF(L$19=0,0,(L60+L61)/L$19)</f>
        <v/>
      </c>
      <c r="M58" s="8">
        <f>IF(M$19=0,0,(M60+M61)/M$19)</f>
        <v/>
      </c>
      <c r="N58" s="8">
        <f>IF(N$19=0,0,(N60+N61)/N$19)</f>
        <v/>
      </c>
      <c r="O58" s="8">
        <f>IF(O$19=0,0,(O60+O61)/O$19)</f>
        <v/>
      </c>
      <c r="P58" s="20">
        <f>IF(P$19=0,0,(P60+P61)/P$19)</f>
        <v/>
      </c>
      <c r="Q58" s="8">
        <f>IF(Q$19=0,0,(Q60+Q61)/Q$19)</f>
        <v/>
      </c>
      <c r="R58" s="8">
        <f>IF(R$19=0,0,(R60+R61)/R$19)</f>
        <v/>
      </c>
      <c r="S58" s="8">
        <f>IF(S$19=0,0,(S60+S61)/S$19)</f>
        <v/>
      </c>
      <c r="T58" s="8">
        <f>IF(T$19=0,0,(T60+T61)/T$19)</f>
        <v/>
      </c>
      <c r="U58" s="8">
        <f>IF(U$19=0,0,(U60+U61)/U$19)</f>
        <v/>
      </c>
      <c r="V58" s="8">
        <f>IF(V$19=0,0,(V60+V61)/V$19)</f>
        <v/>
      </c>
      <c r="W58" s="20">
        <f>IF(W$19=0,0,(W60+W61)/W$19)</f>
        <v/>
      </c>
    </row>
    <row r="59">
      <c r="A59" s="1" t="inlineStr">
        <is>
          <t xml:space="preserve">   Loss %</t>
        </is>
      </c>
      <c r="B59" s="11">
        <f>IF((B60+B61)=0,0,B60/(B60+B61))</f>
        <v/>
      </c>
      <c r="C59" s="8">
        <f>IF((C60+C61)=0,0,C60/(C60+C61))</f>
        <v/>
      </c>
      <c r="D59" s="8">
        <f>IF((D60+D61)=0,0,D60/(D60+D61))</f>
        <v/>
      </c>
      <c r="E59" s="8">
        <f>IF((E60+E61)=0,0,E60/(E60+E61))</f>
        <v/>
      </c>
      <c r="F59" s="8">
        <f>IF((F60+F61)=0,0,F60/(F60+F61))</f>
        <v/>
      </c>
      <c r="G59" s="8">
        <f>IF((G60+G61)=0,0,G60/(G60+G61))</f>
        <v/>
      </c>
      <c r="H59" s="8">
        <f>IF((H60+H61)=0,0,H60/(H60+H61))</f>
        <v/>
      </c>
      <c r="I59" s="20">
        <f>IF((I60+I61)=0,0,I60/(I60+I61))</f>
        <v/>
      </c>
      <c r="J59" s="8">
        <f>IF((J60+J61)=0,0,J60/(J60+J61))</f>
        <v/>
      </c>
      <c r="K59" s="8">
        <f>IF((K60+K61)=0,0,K60/(K60+K61))</f>
        <v/>
      </c>
      <c r="L59" s="8">
        <f>IF((L60+L61)=0,0,L60/(L60+L61))</f>
        <v/>
      </c>
      <c r="M59" s="8">
        <f>IF((M60+M61)=0,0,M60/(M60+M61))</f>
        <v/>
      </c>
      <c r="N59" s="8">
        <f>IF((N60+N61)=0,0,N60/(N60+N61))</f>
        <v/>
      </c>
      <c r="O59" s="8">
        <f>IF((O60+O61)=0,0,O60/(O60+O61))</f>
        <v/>
      </c>
      <c r="P59" s="20">
        <f>IF((P60+P61)=0,0,P60/(P60+P61))</f>
        <v/>
      </c>
      <c r="Q59" s="8">
        <f>IF((Q60+Q61)=0,0,Q60/(Q60+Q61))</f>
        <v/>
      </c>
      <c r="R59" s="8">
        <f>IF((R60+R61)=0,0,R60/(R60+R61))</f>
        <v/>
      </c>
      <c r="S59" s="8">
        <f>IF((S60+S61)=0,0,S60/(S60+S61))</f>
        <v/>
      </c>
      <c r="T59" s="8">
        <f>IF((T60+T61)=0,0,T60/(T60+T61))</f>
        <v/>
      </c>
      <c r="U59" s="8">
        <f>IF((U60+U61)=0,0,U60/(U60+U61))</f>
        <v/>
      </c>
      <c r="V59" s="8">
        <f>IF((V60+V61)=0,0,V60/(V60+V61))</f>
        <v/>
      </c>
      <c r="W59" s="20">
        <f>IF((W60+W61)=0,0,W60/(W60+W61))</f>
        <v/>
      </c>
    </row>
    <row r="60">
      <c r="A60" s="1" t="inlineStr">
        <is>
          <t xml:space="preserve">   Lost Count</t>
        </is>
      </c>
      <c r="B60" s="9">
        <f>I60+P60+W60</f>
        <v/>
      </c>
      <c r="C60">
        <f>COUNTIFS(Accounts!$E:$E,'AccountSummary (New)'!C$1,Accounts!$G:$G,'AccountSummary (New)'!C$2,Accounts!$F:$F,'AccountSummary (New)'!C$3,Accounts!$B:$B,"Customer",Accounts!$C:$C,"Lost",Accounts!$H:$H,"&gt;"&amp;180)</f>
        <v/>
      </c>
      <c r="D60">
        <f>COUNTIFS(Accounts!$E:$E,'AccountSummary (New)'!D$1,Accounts!$G:$G,'AccountSummary (New)'!D$2,Accounts!$F:$F,'AccountSummary (New)'!D$3,Accounts!$B:$B,"Customer",Accounts!$C:$C,"Lost",Accounts!$H:$H,"&gt;"&amp;180)</f>
        <v/>
      </c>
      <c r="E60">
        <f>COUNTIFS(Accounts!$E:$E,'AccountSummary (New)'!E$1,Accounts!$G:$G,'AccountSummary (New)'!E$2,Accounts!$F:$F,'AccountSummary (New)'!E$3,Accounts!$B:$B,"Customer",Accounts!$C:$C,"Lost",Accounts!$H:$H,"&gt;"&amp;180)</f>
        <v/>
      </c>
      <c r="F60">
        <f>COUNTIFS(Accounts!$E:$E,'AccountSummary (New)'!F$1,Accounts!$G:$G,'AccountSummary (New)'!F$2,Accounts!$F:$F,'AccountSummary (New)'!F$3,Accounts!$B:$B,"Customer",Accounts!$C:$C,"Lost",Accounts!$H:$H,"&gt;"&amp;180)</f>
        <v/>
      </c>
      <c r="G60">
        <f>COUNTIFS(Accounts!$E:$E,'AccountSummary (New)'!G$1,Accounts!$G:$G,'AccountSummary (New)'!G$2,Accounts!$F:$F,'AccountSummary (New)'!G$3,Accounts!$B:$B,"Customer",Accounts!$C:$C,"Lost",Accounts!$H:$H,"&gt;"&amp;180)</f>
        <v/>
      </c>
      <c r="H60">
        <f>COUNTIFS(Accounts!$E:$E,'AccountSummary (New)'!H$1,Accounts!$G:$G,'AccountSummary (New)'!H$2,Accounts!$F:$F,'AccountSummary (New)'!H$3,Accounts!$B:$B,"Customer",Accounts!$C:$C,"Lost",Accounts!$H:$H,"&gt;"&amp;180)</f>
        <v/>
      </c>
      <c r="I60" s="15">
        <f>SUM(C60:H60)</f>
        <v/>
      </c>
      <c r="J60">
        <f>COUNTIFS(Accounts!$E:$E,'AccountSummary (New)'!J$1,Accounts!$G:$G,'AccountSummary (New)'!J$2,Accounts!$F:$F,'AccountSummary (New)'!J$3,Accounts!$B:$B,"Customer",Accounts!$C:$C,"Lost",Accounts!$H:$H,"&gt;"&amp;180)</f>
        <v/>
      </c>
      <c r="K60">
        <f>COUNTIFS(Accounts!$E:$E,'AccountSummary (New)'!K$1,Accounts!$G:$G,'AccountSummary (New)'!K$2,Accounts!$F:$F,'AccountSummary (New)'!K$3,Accounts!$B:$B,"Customer",Accounts!$C:$C,"Lost",Accounts!$H:$H,"&gt;"&amp;180)</f>
        <v/>
      </c>
      <c r="L60">
        <f>COUNTIFS(Accounts!$E:$E,'AccountSummary (New)'!L$1,Accounts!$G:$G,'AccountSummary (New)'!L$2,Accounts!$F:$F,'AccountSummary (New)'!L$3,Accounts!$B:$B,"Customer",Accounts!$C:$C,"Lost",Accounts!$H:$H,"&gt;"&amp;180)</f>
        <v/>
      </c>
      <c r="M60">
        <f>COUNTIFS(Accounts!$E:$E,'AccountSummary (New)'!M$1,Accounts!$G:$G,'AccountSummary (New)'!M$2,Accounts!$F:$F,'AccountSummary (New)'!M$3,Accounts!$B:$B,"Customer",Accounts!$C:$C,"Lost",Accounts!$H:$H,"&gt;"&amp;180)</f>
        <v/>
      </c>
      <c r="N60">
        <f>COUNTIFS(Accounts!$E:$E,'AccountSummary (New)'!N$1,Accounts!$G:$G,'AccountSummary (New)'!N$2,Accounts!$F:$F,'AccountSummary (New)'!N$3,Accounts!$B:$B,"Customer",Accounts!$C:$C,"Lost",Accounts!$H:$H,"&gt;"&amp;180)</f>
        <v/>
      </c>
      <c r="O60">
        <f>COUNTIFS(Accounts!$E:$E,'AccountSummary (New)'!O$1,Accounts!$G:$G,'AccountSummary (New)'!O$2,Accounts!$F:$F,'AccountSummary (New)'!O$3,Accounts!$B:$B,"Customer",Accounts!$C:$C,"Lost",Accounts!$H:$H,"&gt;"&amp;180)</f>
        <v/>
      </c>
      <c r="P60" s="15">
        <f>SUM(J60:O60)</f>
        <v/>
      </c>
      <c r="Q60">
        <f>COUNTIFS(Accounts!$E:$E,'AccountSummary (New)'!Q$1,Accounts!$G:$G,'AccountSummary (New)'!Q$2,Accounts!$F:$F,'AccountSummary (New)'!Q$3,Accounts!$B:$B,"Customer",Accounts!$C:$C,"Lost",Accounts!$H:$H,"&gt;"&amp;180)</f>
        <v/>
      </c>
      <c r="R60">
        <f>COUNTIFS(Accounts!$E:$E,'AccountSummary (New)'!R$1,Accounts!$G:$G,'AccountSummary (New)'!R$2,Accounts!$F:$F,'AccountSummary (New)'!R$3,Accounts!$B:$B,"Customer",Accounts!$C:$C,"Lost",Accounts!$H:$H,"&gt;"&amp;180)</f>
        <v/>
      </c>
      <c r="S60">
        <f>COUNTIFS(Accounts!$E:$E,'AccountSummary (New)'!S$1,Accounts!$G:$G,'AccountSummary (New)'!S$2,Accounts!$F:$F,'AccountSummary (New)'!S$3,Accounts!$B:$B,"Customer",Accounts!$C:$C,"Lost",Accounts!$H:$H,"&gt;"&amp;180)</f>
        <v/>
      </c>
      <c r="T60">
        <f>COUNTIFS(Accounts!$E:$E,'AccountSummary (New)'!T$1,Accounts!$G:$G,'AccountSummary (New)'!T$2,Accounts!$F:$F,'AccountSummary (New)'!T$3,Accounts!$B:$B,"Customer",Accounts!$C:$C,"Lost",Accounts!$H:$H,"&gt;"&amp;180)</f>
        <v/>
      </c>
      <c r="U60">
        <f>COUNTIFS(Accounts!$E:$E,'AccountSummary (New)'!U$1,Accounts!$G:$G,'AccountSummary (New)'!U$2,Accounts!$F:$F,'AccountSummary (New)'!U$3,Accounts!$B:$B,"Customer",Accounts!$C:$C,"Lost",Accounts!$H:$H,"&gt;"&amp;180)</f>
        <v/>
      </c>
      <c r="V60">
        <f>COUNTIFS(Accounts!$E:$E,'AccountSummary (New)'!V$1,Accounts!$G:$G,'AccountSummary (New)'!V$2,Accounts!$F:$F,'AccountSummary (New)'!V$3,Accounts!$B:$B,"Customer",Accounts!$C:$C,"Lost",Accounts!$H:$H,"&gt;"&amp;180)</f>
        <v/>
      </c>
      <c r="W60" s="15">
        <f>SUM(Q60:V60)</f>
        <v/>
      </c>
    </row>
    <row r="61">
      <c r="A61" s="1" t="inlineStr">
        <is>
          <t xml:space="preserve">   Retained Count</t>
        </is>
      </c>
      <c r="B61" s="9">
        <f>I61+P61+W61</f>
        <v/>
      </c>
      <c r="C61">
        <f>COUNTIFS(Accounts!$E:$E,'AccountSummary (New)'!C$1,Accounts!$G:$G,'AccountSummary (New)'!C$2,Accounts!$F:$F,'AccountSummary (New)'!C$3,Accounts!$B:$B,"Customer",Accounts!$C:$C,"Customer",Accounts!$H:$H,"&gt;"&amp;180)</f>
        <v/>
      </c>
      <c r="D61">
        <f>COUNTIFS(Accounts!$E:$E,'AccountSummary (New)'!D$1,Accounts!$G:$G,'AccountSummary (New)'!D$2,Accounts!$F:$F,'AccountSummary (New)'!D$3,Accounts!$B:$B,"Customer",Accounts!$C:$C,"Customer",Accounts!$H:$H,"&gt;"&amp;180)</f>
        <v/>
      </c>
      <c r="E61">
        <f>COUNTIFS(Accounts!$E:$E,'AccountSummary (New)'!E$1,Accounts!$G:$G,'AccountSummary (New)'!E$2,Accounts!$F:$F,'AccountSummary (New)'!E$3,Accounts!$B:$B,"Customer",Accounts!$C:$C,"Customer",Accounts!$H:$H,"&gt;"&amp;180)</f>
        <v/>
      </c>
      <c r="F61">
        <f>COUNTIFS(Accounts!$E:$E,'AccountSummary (New)'!F$1,Accounts!$G:$G,'AccountSummary (New)'!F$2,Accounts!$F:$F,'AccountSummary (New)'!F$3,Accounts!$B:$B,"Customer",Accounts!$C:$C,"Customer",Accounts!$H:$H,"&gt;"&amp;180)</f>
        <v/>
      </c>
      <c r="G61">
        <f>COUNTIFS(Accounts!$E:$E,'AccountSummary (New)'!G$1,Accounts!$G:$G,'AccountSummary (New)'!G$2,Accounts!$F:$F,'AccountSummary (New)'!G$3,Accounts!$B:$B,"Customer",Accounts!$C:$C,"Customer",Accounts!$H:$H,"&gt;"&amp;180)</f>
        <v/>
      </c>
      <c r="H61">
        <f>COUNTIFS(Accounts!$E:$E,'AccountSummary (New)'!H$1,Accounts!$G:$G,'AccountSummary (New)'!H$2,Accounts!$F:$F,'AccountSummary (New)'!H$3,Accounts!$B:$B,"Customer",Accounts!$C:$C,"Customer",Accounts!$H:$H,"&gt;"&amp;180)</f>
        <v/>
      </c>
      <c r="I61" s="15">
        <f>SUM(C61:H61)</f>
        <v/>
      </c>
      <c r="J61">
        <f>COUNTIFS(Accounts!$E:$E,'AccountSummary (New)'!J$1,Accounts!$G:$G,'AccountSummary (New)'!J$2,Accounts!$F:$F,'AccountSummary (New)'!J$3,Accounts!$B:$B,"Customer",Accounts!$C:$C,"Customer",Accounts!$H:$H,"&gt;"&amp;180)</f>
        <v/>
      </c>
      <c r="K61">
        <f>COUNTIFS(Accounts!$E:$E,'AccountSummary (New)'!K$1,Accounts!$G:$G,'AccountSummary (New)'!K$2,Accounts!$F:$F,'AccountSummary (New)'!K$3,Accounts!$B:$B,"Customer",Accounts!$C:$C,"Customer",Accounts!$H:$H,"&gt;"&amp;180)</f>
        <v/>
      </c>
      <c r="L61">
        <f>COUNTIFS(Accounts!$E:$E,'AccountSummary (New)'!L$1,Accounts!$G:$G,'AccountSummary (New)'!L$2,Accounts!$F:$F,'AccountSummary (New)'!L$3,Accounts!$B:$B,"Customer",Accounts!$C:$C,"Customer",Accounts!$H:$H,"&gt;"&amp;180)</f>
        <v/>
      </c>
      <c r="M61">
        <f>COUNTIFS(Accounts!$E:$E,'AccountSummary (New)'!M$1,Accounts!$G:$G,'AccountSummary (New)'!M$2,Accounts!$F:$F,'AccountSummary (New)'!M$3,Accounts!$B:$B,"Customer",Accounts!$C:$C,"Customer",Accounts!$H:$H,"&gt;"&amp;180)</f>
        <v/>
      </c>
      <c r="N61">
        <f>COUNTIFS(Accounts!$E:$E,'AccountSummary (New)'!N$1,Accounts!$G:$G,'AccountSummary (New)'!N$2,Accounts!$F:$F,'AccountSummary (New)'!N$3,Accounts!$B:$B,"Customer",Accounts!$C:$C,"Customer",Accounts!$H:$H,"&gt;"&amp;180)</f>
        <v/>
      </c>
      <c r="O61">
        <f>COUNTIFS(Accounts!$E:$E,'AccountSummary (New)'!O$1,Accounts!$G:$G,'AccountSummary (New)'!O$2,Accounts!$F:$F,'AccountSummary (New)'!O$3,Accounts!$B:$B,"Customer",Accounts!$C:$C,"Customer",Accounts!$H:$H,"&gt;"&amp;180)</f>
        <v/>
      </c>
      <c r="P61" s="15">
        <f>SUM(J61:O61)</f>
        <v/>
      </c>
      <c r="Q61">
        <f>COUNTIFS(Accounts!$E:$E,'AccountSummary (New)'!Q$1,Accounts!$G:$G,'AccountSummary (New)'!Q$2,Accounts!$F:$F,'AccountSummary (New)'!Q$3,Accounts!$B:$B,"Customer",Accounts!$C:$C,"Customer",Accounts!$H:$H,"&gt;"&amp;180)</f>
        <v/>
      </c>
      <c r="R61">
        <f>COUNTIFS(Accounts!$E:$E,'AccountSummary (New)'!R$1,Accounts!$G:$G,'AccountSummary (New)'!R$2,Accounts!$F:$F,'AccountSummary (New)'!R$3,Accounts!$B:$B,"Customer",Accounts!$C:$C,"Customer",Accounts!$H:$H,"&gt;"&amp;180)</f>
        <v/>
      </c>
      <c r="S61">
        <f>COUNTIFS(Accounts!$E:$E,'AccountSummary (New)'!S$1,Accounts!$G:$G,'AccountSummary (New)'!S$2,Accounts!$F:$F,'AccountSummary (New)'!S$3,Accounts!$B:$B,"Customer",Accounts!$C:$C,"Customer",Accounts!$H:$H,"&gt;"&amp;180)</f>
        <v/>
      </c>
      <c r="T61">
        <f>COUNTIFS(Accounts!$E:$E,'AccountSummary (New)'!T$1,Accounts!$G:$G,'AccountSummary (New)'!T$2,Accounts!$F:$F,'AccountSummary (New)'!T$3,Accounts!$B:$B,"Customer",Accounts!$C:$C,"Customer",Accounts!$H:$H,"&gt;"&amp;180)</f>
        <v/>
      </c>
      <c r="U61">
        <f>COUNTIFS(Accounts!$E:$E,'AccountSummary (New)'!U$1,Accounts!$G:$G,'AccountSummary (New)'!U$2,Accounts!$F:$F,'AccountSummary (New)'!U$3,Accounts!$B:$B,"Customer",Accounts!$C:$C,"Customer",Accounts!$H:$H,"&gt;"&amp;180)</f>
        <v/>
      </c>
      <c r="V61">
        <f>COUNTIFS(Accounts!$E:$E,'AccountSummary (New)'!V$1,Accounts!$G:$G,'AccountSummary (New)'!V$2,Accounts!$F:$F,'AccountSummary (New)'!V$3,Accounts!$B:$B,"Customer",Accounts!$C:$C,"Customer",Accounts!$H:$H,"&gt;"&amp;180)</f>
        <v/>
      </c>
      <c r="W61" s="15">
        <f>SUM(Q61:V61)</f>
        <v/>
      </c>
    </row>
    <row r="62">
      <c r="A62" s="2" t="inlineStr">
        <is>
          <t xml:space="preserve">   Packs per Account</t>
        </is>
      </c>
      <c r="B62" s="13">
        <f>IF(B61=0,0,SUMIFS(Accounts!$L:$L,Accounts!$W:$W,0,Accounts!$C:$C,"Customer",Accounts!$H:$H,"&gt;"&amp;180)/B61)</f>
        <v/>
      </c>
      <c r="C62" s="4">
        <f>IF(C61=0,0,SUMIFS(Accounts!$L:$L,Accounts!$E:$E,'AccountSummary (New)'!C$1,Accounts!$G:$G,'AccountSummary (New)'!C$2,Accounts!$F:$F,'AccountSummary (New)'!C$3,Accounts!$W:$W,0,Accounts!$C:$C,"Customer",Accounts!$H:$H,"&gt;"&amp;180)/C61)</f>
        <v/>
      </c>
      <c r="D62" s="4">
        <f>IF(D61=0,0,SUMIFS(Accounts!$L:$L,Accounts!$E:$E,'AccountSummary (New)'!D$1,Accounts!$G:$G,'AccountSummary (New)'!D$2,Accounts!$F:$F,'AccountSummary (New)'!D$3,Accounts!$W:$W,0,Accounts!$C:$C,"Customer",Accounts!$H:$H,"&gt;"&amp;180)/D61)</f>
        <v/>
      </c>
      <c r="E62" s="4">
        <f>IF(E61=0,0,SUMIFS(Accounts!$L:$L,Accounts!$E:$E,'AccountSummary (New)'!E$1,Accounts!$G:$G,'AccountSummary (New)'!E$2,Accounts!$F:$F,'AccountSummary (New)'!E$3,Accounts!$W:$W,0,Accounts!$C:$C,"Customer",Accounts!$H:$H,"&gt;"&amp;180)/E61)</f>
        <v/>
      </c>
      <c r="F62" s="4">
        <f>IF(F61=0,0,SUMIFS(Accounts!$L:$L,Accounts!$E:$E,'AccountSummary (New)'!F$1,Accounts!$G:$G,'AccountSummary (New)'!F$2,Accounts!$F:$F,'AccountSummary (New)'!F$3,Accounts!$W:$W,0,Accounts!$C:$C,"Customer",Accounts!$H:$H,"&gt;"&amp;180)/F61)</f>
        <v/>
      </c>
      <c r="G62" s="4">
        <f>IF(G61=0,0,SUMIFS(Accounts!$L:$L,Accounts!$E:$E,'AccountSummary (New)'!G$1,Accounts!$G:$G,'AccountSummary (New)'!G$2,Accounts!$F:$F,'AccountSummary (New)'!G$3,Accounts!$W:$W,0,Accounts!$C:$C,"Customer",Accounts!$H:$H,"&gt;"&amp;180)/G61)</f>
        <v/>
      </c>
      <c r="H62" s="4">
        <f>IF(H61=0,0,SUMIFS(Accounts!$L:$L,Accounts!$E:$E,'AccountSummary (New)'!H$1,Accounts!$G:$G,'AccountSummary (New)'!H$2,Accounts!$F:$F,'AccountSummary (New)'!H$3,Accounts!$W:$W,0,Accounts!$C:$C,"Customer",Accounts!$H:$H,"&gt;"&amp;180)/H61)</f>
        <v/>
      </c>
      <c r="I62" s="5">
        <f>IF(I61=0,0,SUMIFS(Accounts!$L:$L,Accounts!$F:$F,'AccountSummary (New)'!I$3,Accounts!$W:$W,0,Accounts!$C:$C,"Customer",Accounts!$H:$H,"&gt;"&amp;60,Accounts!$H:$H,"&lt;="&amp;180)/I61)</f>
        <v/>
      </c>
      <c r="J62" s="4">
        <f>IF(J61=0,0,SUMIFS(Accounts!$L:$L,Accounts!$E:$E,'AccountSummary (New)'!J$1,Accounts!$G:$G,'AccountSummary (New)'!J$2,Accounts!$F:$F,'AccountSummary (New)'!J$3,Accounts!$W:$W,0,Accounts!$C:$C,"Customer",Accounts!$H:$H,"&gt;"&amp;180)/J61)</f>
        <v/>
      </c>
      <c r="K62" s="4">
        <f>IF(K61=0,0,SUMIFS(Accounts!$L:$L,Accounts!$E:$E,'AccountSummary (New)'!K$1,Accounts!$G:$G,'AccountSummary (New)'!K$2,Accounts!$F:$F,'AccountSummary (New)'!K$3,Accounts!$W:$W,0,Accounts!$C:$C,"Customer",Accounts!$H:$H,"&gt;"&amp;180)/K61)</f>
        <v/>
      </c>
      <c r="L62" s="4">
        <f>IF(L61=0,0,SUMIFS(Accounts!$L:$L,Accounts!$E:$E,'AccountSummary (New)'!L$1,Accounts!$G:$G,'AccountSummary (New)'!L$2,Accounts!$F:$F,'AccountSummary (New)'!L$3,Accounts!$W:$W,0,Accounts!$C:$C,"Customer",Accounts!$H:$H,"&gt;"&amp;180)/L61)</f>
        <v/>
      </c>
      <c r="M62" s="4">
        <f>IF(M61=0,0,SUMIFS(Accounts!$L:$L,Accounts!$E:$E,'AccountSummary (New)'!M$1,Accounts!$G:$G,'AccountSummary (New)'!M$2,Accounts!$F:$F,'AccountSummary (New)'!M$3,Accounts!$W:$W,0,Accounts!$C:$C,"Customer",Accounts!$H:$H,"&gt;"&amp;180)/M61)</f>
        <v/>
      </c>
      <c r="N62" s="4">
        <f>IF(N61=0,0,SUMIFS(Accounts!$L:$L,Accounts!$E:$E,'AccountSummary (New)'!N$1,Accounts!$G:$G,'AccountSummary (New)'!N$2,Accounts!$F:$F,'AccountSummary (New)'!N$3,Accounts!$W:$W,0,Accounts!$C:$C,"Customer",Accounts!$H:$H,"&gt;"&amp;180)/N61)</f>
        <v/>
      </c>
      <c r="O62" s="4">
        <f>IF(O61=0,0,SUMIFS(Accounts!$L:$L,Accounts!$E:$E,'AccountSummary (New)'!O$1,Accounts!$G:$G,'AccountSummary (New)'!O$2,Accounts!$F:$F,'AccountSummary (New)'!O$3,Accounts!$W:$W,0,Accounts!$C:$C,"Customer",Accounts!$H:$H,"&gt;"&amp;180)/O61)</f>
        <v/>
      </c>
      <c r="P62" s="5">
        <f>IF(P61=0,0,SUMIFS(Accounts!$L:$L,Accounts!$F:$F,'AccountSummary (New)'!P$3,Accounts!$W:$W,0,Accounts!$C:$C,"Customer",Accounts!$H:$H,"&gt;"&amp;60,Accounts!$H:$H,"&lt;="&amp;180)/P61)</f>
        <v/>
      </c>
      <c r="Q62" s="4">
        <f>IF(Q61=0,0,SUMIFS(Accounts!$L:$L,Accounts!$E:$E,'AccountSummary (New)'!Q$1,Accounts!$G:$G,'AccountSummary (New)'!Q$2,Accounts!$F:$F,'AccountSummary (New)'!Q$3,Accounts!$W:$W,0,Accounts!$C:$C,"Customer",Accounts!$H:$H,"&gt;"&amp;180)/Q61)</f>
        <v/>
      </c>
      <c r="R62" s="4">
        <f>IF(R61=0,0,SUMIFS(Accounts!$L:$L,Accounts!$E:$E,'AccountSummary (New)'!R$1,Accounts!$G:$G,'AccountSummary (New)'!R$2,Accounts!$F:$F,'AccountSummary (New)'!R$3,Accounts!$W:$W,0,Accounts!$C:$C,"Customer",Accounts!$H:$H,"&gt;"&amp;180)/R61)</f>
        <v/>
      </c>
      <c r="S62" s="4">
        <f>IF(S61=0,0,SUMIFS(Accounts!$L:$L,Accounts!$E:$E,'AccountSummary (New)'!S$1,Accounts!$G:$G,'AccountSummary (New)'!S$2,Accounts!$F:$F,'AccountSummary (New)'!S$3,Accounts!$W:$W,0,Accounts!$C:$C,"Customer",Accounts!$H:$H,"&gt;"&amp;180)/S61)</f>
        <v/>
      </c>
      <c r="T62" s="4">
        <f>IF(T61=0,0,SUMIFS(Accounts!$L:$L,Accounts!$E:$E,'AccountSummary (New)'!T$1,Accounts!$G:$G,'AccountSummary (New)'!T$2,Accounts!$F:$F,'AccountSummary (New)'!T$3,Accounts!$W:$W,0,Accounts!$C:$C,"Customer",Accounts!$H:$H,"&gt;"&amp;180)/T61)</f>
        <v/>
      </c>
      <c r="U62" s="4">
        <f>IF(U61=0,0,SUMIFS(Accounts!$L:$L,Accounts!$E:$E,'AccountSummary (New)'!U$1,Accounts!$G:$G,'AccountSummary (New)'!U$2,Accounts!$F:$F,'AccountSummary (New)'!U$3,Accounts!$W:$W,0,Accounts!$C:$C,"Customer",Accounts!$H:$H,"&gt;"&amp;180)/U61)</f>
        <v/>
      </c>
      <c r="V62" s="4">
        <f>IF(V61=0,0,SUMIFS(Accounts!$L:$L,Accounts!$E:$E,'AccountSummary (New)'!V$1,Accounts!$G:$G,'AccountSummary (New)'!V$2,Accounts!$F:$F,'AccountSummary (New)'!V$3,Accounts!$W:$W,0,Accounts!$C:$C,"Customer",Accounts!$H:$H,"&gt;"&amp;180)/V61)</f>
        <v/>
      </c>
      <c r="W62" s="5">
        <f>IF(W61=0,0,SUMIFS(Accounts!$L:$L,Accounts!$F:$F,'AccountSummary (New)'!W$3,Accounts!$W:$W,0,Accounts!$C:$C,"Customer",Accounts!$H:$H,"&gt;"&amp;60,Accounts!$H:$H,"&lt;="&amp;180)/W61)</f>
        <v/>
      </c>
    </row>
    <row r="63">
      <c r="A63" s="2" t="inlineStr">
        <is>
          <t xml:space="preserve">   Users per Account</t>
        </is>
      </c>
      <c r="B63" s="13">
        <f>IF(B61=0,0,SUMIFS(Accounts!$M:$M,Accounts!$W:$W,0,Accounts!$C:$C,"Customer",Accounts!$H:$H,"&gt;"&amp;180)/B61)</f>
        <v/>
      </c>
      <c r="C63" s="4">
        <f>IF(C61=0,0,SUMIFS(Accounts!$M:$M,Accounts!$E:$E,'AccountSummary (New)'!C$1,Accounts!$G:$G,'AccountSummary (New)'!C$2,Accounts!$F:$F,'AccountSummary (New)'!C$3,Accounts!$W:$W,0,Accounts!$C:$C,"Customer",Accounts!$H:$H,"&gt;"&amp;180)/C61)</f>
        <v/>
      </c>
      <c r="D63" s="4">
        <f>IF(D61=0,0,SUMIFS(Accounts!$M:$M,Accounts!$E:$E,'AccountSummary (New)'!D$1,Accounts!$G:$G,'AccountSummary (New)'!D$2,Accounts!$F:$F,'AccountSummary (New)'!D$3,Accounts!$W:$W,0,Accounts!$C:$C,"Customer",Accounts!$H:$H,"&gt;"&amp;180)/D61)</f>
        <v/>
      </c>
      <c r="E63" s="4">
        <f>IF(E61=0,0,SUMIFS(Accounts!$M:$M,Accounts!$E:$E,'AccountSummary (New)'!E$1,Accounts!$G:$G,'AccountSummary (New)'!E$2,Accounts!$F:$F,'AccountSummary (New)'!E$3,Accounts!$W:$W,0,Accounts!$C:$C,"Customer",Accounts!$H:$H,"&gt;"&amp;180)/E61)</f>
        <v/>
      </c>
      <c r="F63" s="4">
        <f>IF(F61=0,0,SUMIFS(Accounts!$M:$M,Accounts!$E:$E,'AccountSummary (New)'!F$1,Accounts!$G:$G,'AccountSummary (New)'!F$2,Accounts!$F:$F,'AccountSummary (New)'!F$3,Accounts!$W:$W,0,Accounts!$C:$C,"Customer",Accounts!$H:$H,"&gt;"&amp;180)/F61)</f>
        <v/>
      </c>
      <c r="G63" s="4">
        <f>IF(G61=0,0,SUMIFS(Accounts!$M:$M,Accounts!$E:$E,'AccountSummary (New)'!G$1,Accounts!$G:$G,'AccountSummary (New)'!G$2,Accounts!$F:$F,'AccountSummary (New)'!G$3,Accounts!$W:$W,0,Accounts!$C:$C,"Customer",Accounts!$H:$H,"&gt;"&amp;180)/G61)</f>
        <v/>
      </c>
      <c r="H63" s="4">
        <f>IF(H61=0,0,SUMIFS(Accounts!$M:$M,Accounts!$E:$E,'AccountSummary (New)'!H$1,Accounts!$G:$G,'AccountSummary (New)'!H$2,Accounts!$F:$F,'AccountSummary (New)'!H$3,Accounts!$W:$W,0,Accounts!$C:$C,"Customer",Accounts!$H:$H,"&gt;"&amp;180)/H61)</f>
        <v/>
      </c>
      <c r="I63" s="5">
        <f>IF(I61=0,0,SUMIFS(Accounts!$M:$M,Accounts!$F:$F,'AccountSummary (New)'!I$3,Accounts!$W:$W,0,Accounts!$C:$C,"Customer",Accounts!$H:$H,"&gt;"&amp;60,Accounts!$H:$H,"&lt;="&amp;180)/I61)</f>
        <v/>
      </c>
      <c r="J63" s="4">
        <f>IF(J61=0,0,SUMIFS(Accounts!$M:$M,Accounts!$E:$E,'AccountSummary (New)'!J$1,Accounts!$G:$G,'AccountSummary (New)'!J$2,Accounts!$F:$F,'AccountSummary (New)'!J$3,Accounts!$W:$W,0,Accounts!$C:$C,"Customer",Accounts!$H:$H,"&gt;"&amp;180)/J61)</f>
        <v/>
      </c>
      <c r="K63" s="4">
        <f>IF(K61=0,0,SUMIFS(Accounts!$M:$M,Accounts!$E:$E,'AccountSummary (New)'!K$1,Accounts!$G:$G,'AccountSummary (New)'!K$2,Accounts!$F:$F,'AccountSummary (New)'!K$3,Accounts!$W:$W,0,Accounts!$C:$C,"Customer",Accounts!$H:$H,"&gt;"&amp;180)/K61)</f>
        <v/>
      </c>
      <c r="L63" s="4">
        <f>IF(L61=0,0,SUMIFS(Accounts!$M:$M,Accounts!$E:$E,'AccountSummary (New)'!L$1,Accounts!$G:$G,'AccountSummary (New)'!L$2,Accounts!$F:$F,'AccountSummary (New)'!L$3,Accounts!$W:$W,0,Accounts!$C:$C,"Customer",Accounts!$H:$H,"&gt;"&amp;180)/L61)</f>
        <v/>
      </c>
      <c r="M63" s="4">
        <f>IF(M61=0,0,SUMIFS(Accounts!$M:$M,Accounts!$E:$E,'AccountSummary (New)'!M$1,Accounts!$G:$G,'AccountSummary (New)'!M$2,Accounts!$F:$F,'AccountSummary (New)'!M$3,Accounts!$W:$W,0,Accounts!$C:$C,"Customer",Accounts!$H:$H,"&gt;"&amp;180)/M61)</f>
        <v/>
      </c>
      <c r="N63" s="4">
        <f>IF(N61=0,0,SUMIFS(Accounts!$M:$M,Accounts!$E:$E,'AccountSummary (New)'!N$1,Accounts!$G:$G,'AccountSummary (New)'!N$2,Accounts!$F:$F,'AccountSummary (New)'!N$3,Accounts!$W:$W,0,Accounts!$C:$C,"Customer",Accounts!$H:$H,"&gt;"&amp;180)/N61)</f>
        <v/>
      </c>
      <c r="O63" s="4">
        <f>IF(O61=0,0,SUMIFS(Accounts!$M:$M,Accounts!$E:$E,'AccountSummary (New)'!O$1,Accounts!$G:$G,'AccountSummary (New)'!O$2,Accounts!$F:$F,'AccountSummary (New)'!O$3,Accounts!$W:$W,0,Accounts!$C:$C,"Customer",Accounts!$H:$H,"&gt;"&amp;180)/O61)</f>
        <v/>
      </c>
      <c r="P63" s="5">
        <f>IF(P61=0,0,SUMIFS(Accounts!$M:$M,Accounts!$F:$F,'AccountSummary (New)'!P$3,Accounts!$W:$W,0,Accounts!$C:$C,"Customer",Accounts!$H:$H,"&gt;"&amp;60,Accounts!$H:$H,"&lt;="&amp;180)/P61)</f>
        <v/>
      </c>
      <c r="Q63" s="4">
        <f>IF(Q61=0,0,SUMIFS(Accounts!$M:$M,Accounts!$E:$E,'AccountSummary (New)'!Q$1,Accounts!$G:$G,'AccountSummary (New)'!Q$2,Accounts!$F:$F,'AccountSummary (New)'!Q$3,Accounts!$W:$W,0,Accounts!$C:$C,"Customer",Accounts!$H:$H,"&gt;"&amp;180)/Q61)</f>
        <v/>
      </c>
      <c r="R63" s="4">
        <f>IF(R61=0,0,SUMIFS(Accounts!$M:$M,Accounts!$E:$E,'AccountSummary (New)'!R$1,Accounts!$G:$G,'AccountSummary (New)'!R$2,Accounts!$F:$F,'AccountSummary (New)'!R$3,Accounts!$W:$W,0,Accounts!$C:$C,"Customer",Accounts!$H:$H,"&gt;"&amp;180)/R61)</f>
        <v/>
      </c>
      <c r="S63" s="4">
        <f>IF(S61=0,0,SUMIFS(Accounts!$M:$M,Accounts!$E:$E,'AccountSummary (New)'!S$1,Accounts!$G:$G,'AccountSummary (New)'!S$2,Accounts!$F:$F,'AccountSummary (New)'!S$3,Accounts!$W:$W,0,Accounts!$C:$C,"Customer",Accounts!$H:$H,"&gt;"&amp;180)/S61)</f>
        <v/>
      </c>
      <c r="T63" s="4">
        <f>IF(T61=0,0,SUMIFS(Accounts!$M:$M,Accounts!$E:$E,'AccountSummary (New)'!T$1,Accounts!$G:$G,'AccountSummary (New)'!T$2,Accounts!$F:$F,'AccountSummary (New)'!T$3,Accounts!$W:$W,0,Accounts!$C:$C,"Customer",Accounts!$H:$H,"&gt;"&amp;180)/T61)</f>
        <v/>
      </c>
      <c r="U63" s="4">
        <f>IF(U61=0,0,SUMIFS(Accounts!$M:$M,Accounts!$E:$E,'AccountSummary (New)'!U$1,Accounts!$G:$G,'AccountSummary (New)'!U$2,Accounts!$F:$F,'AccountSummary (New)'!U$3,Accounts!$W:$W,0,Accounts!$C:$C,"Customer",Accounts!$H:$H,"&gt;"&amp;180)/U61)</f>
        <v/>
      </c>
      <c r="V63" s="4">
        <f>IF(V61=0,0,SUMIFS(Accounts!$M:$M,Accounts!$E:$E,'AccountSummary (New)'!V$1,Accounts!$G:$G,'AccountSummary (New)'!V$2,Accounts!$F:$F,'AccountSummary (New)'!V$3,Accounts!$W:$W,0,Accounts!$C:$C,"Customer",Accounts!$H:$H,"&gt;"&amp;180)/V61)</f>
        <v/>
      </c>
      <c r="W63" s="5">
        <f>IF(W61=0,0,SUMIFS(Accounts!$M:$M,Accounts!$F:$F,'AccountSummary (New)'!W$3,Accounts!$W:$W,0,Accounts!$C:$C,"Customer",Accounts!$H:$H,"&gt;"&amp;60,Accounts!$H:$H,"&lt;="&amp;180)/W61)</f>
        <v/>
      </c>
    </row>
    <row r="64">
      <c r="A64" s="1" t="inlineStr">
        <is>
          <t xml:space="preserve">   ARPC</t>
        </is>
      </c>
      <c r="B64" s="65">
        <f>IF(B61=0,0,B65/B61)</f>
        <v/>
      </c>
      <c r="C64" s="66">
        <f>IF(C61=0,0,C65/C61)</f>
        <v/>
      </c>
      <c r="D64" s="66">
        <f>IF(D61=0,0,D65/D61)</f>
        <v/>
      </c>
      <c r="E64" s="66">
        <f>IF(E61=0,0,E65/E61)</f>
        <v/>
      </c>
      <c r="F64" s="66">
        <f>IF(F61=0,0,F65/F61)</f>
        <v/>
      </c>
      <c r="G64" s="66">
        <f>IF(G61=0,0,G65/G61)</f>
        <v/>
      </c>
      <c r="H64" s="66">
        <f>IF(H61=0,0,H65/H61)</f>
        <v/>
      </c>
      <c r="I64" s="67">
        <f>IF(I61=0,0,I65/I61)</f>
        <v/>
      </c>
      <c r="J64" s="66">
        <f>IF(J61=0,0,J65/J61)</f>
        <v/>
      </c>
      <c r="K64" s="66">
        <f>IF(K61=0,0,K65/K61)</f>
        <v/>
      </c>
      <c r="L64" s="66">
        <f>IF(L61=0,0,L65/L61)</f>
        <v/>
      </c>
      <c r="M64" s="66">
        <f>IF(M61=0,0,M65/M61)</f>
        <v/>
      </c>
      <c r="N64" s="66">
        <f>IF(N61=0,0,N65/N61)</f>
        <v/>
      </c>
      <c r="O64" s="66">
        <f>IF(O61=0,0,O65/O61)</f>
        <v/>
      </c>
      <c r="P64" s="67">
        <f>IF(P61=0,0,P65/P61)</f>
        <v/>
      </c>
      <c r="Q64" s="66">
        <f>IF(Q61=0,0,Q65/Q61)</f>
        <v/>
      </c>
      <c r="R64" s="66">
        <f>IF(R61=0,0,R65/R61)</f>
        <v/>
      </c>
      <c r="S64" s="66">
        <f>IF(S61=0,0,S65/S61)</f>
        <v/>
      </c>
      <c r="T64" s="66">
        <f>IF(T61=0,0,T65/T61)</f>
        <v/>
      </c>
      <c r="U64" s="66">
        <f>IF(U61=0,0,U65/U61)</f>
        <v/>
      </c>
      <c r="V64" s="66">
        <f>IF(V61=0,0,V65/V61)</f>
        <v/>
      </c>
      <c r="W64" s="67">
        <f>IF(W61=0,0,W65/W61)</f>
        <v/>
      </c>
    </row>
    <row r="65">
      <c r="A65" s="1" t="inlineStr">
        <is>
          <t xml:space="preserve">   SaaS</t>
        </is>
      </c>
      <c r="B65" s="65">
        <f>I65+P65+W65</f>
        <v/>
      </c>
      <c r="C65" s="66">
        <f>SUMIFS(Accounts!$I:$I,Accounts!$E:$E,'AccountSummary (New)'!C$1,Accounts!$G:$G,'AccountSummary (New)'!C$2,Accounts!$F:$F,'AccountSummary (New)'!C$3,Accounts!$W:$W,0,Accounts!$C:$C,"Customer",Accounts!$C:$C,"Customer",Accounts!$H:$H,"&gt;"&amp;180)</f>
        <v/>
      </c>
      <c r="D65" s="66">
        <f>SUMIFS(Accounts!$I:$I,Accounts!$E:$E,'AccountSummary (New)'!D$1,Accounts!$G:$G,'AccountSummary (New)'!D$2,Accounts!$F:$F,'AccountSummary (New)'!D$3,Accounts!$W:$W,0,Accounts!$C:$C,"Customer",Accounts!$C:$C,"Customer",Accounts!$H:$H,"&gt;"&amp;180)</f>
        <v/>
      </c>
      <c r="E65" s="66">
        <f>SUMIFS(Accounts!$I:$I,Accounts!$E:$E,'AccountSummary (New)'!E$1,Accounts!$G:$G,'AccountSummary (New)'!E$2,Accounts!$F:$F,'AccountSummary (New)'!E$3,Accounts!$W:$W,0,Accounts!$C:$C,"Customer",Accounts!$C:$C,"Customer",Accounts!$H:$H,"&gt;"&amp;180)</f>
        <v/>
      </c>
      <c r="F65" s="66">
        <f>SUMIFS(Accounts!$I:$I,Accounts!$E:$E,'AccountSummary (New)'!F$1,Accounts!$G:$G,'AccountSummary (New)'!F$2,Accounts!$F:$F,'AccountSummary (New)'!F$3,Accounts!$W:$W,0,Accounts!$C:$C,"Customer",Accounts!$C:$C,"Customer",Accounts!$H:$H,"&gt;"&amp;180)</f>
        <v/>
      </c>
      <c r="G65" s="66">
        <f>SUMIFS(Accounts!$I:$I,Accounts!$E:$E,'AccountSummary (New)'!G$1,Accounts!$G:$G,'AccountSummary (New)'!G$2,Accounts!$F:$F,'AccountSummary (New)'!G$3,Accounts!$W:$W,0,Accounts!$C:$C,"Customer",Accounts!$C:$C,"Customer",Accounts!$H:$H,"&gt;"&amp;180)</f>
        <v/>
      </c>
      <c r="H65" s="66">
        <f>SUMIFS(Accounts!$I:$I,Accounts!$E:$E,'AccountSummary (New)'!H$1,Accounts!$G:$G,'AccountSummary (New)'!H$2,Accounts!$F:$F,'AccountSummary (New)'!H$3,Accounts!$W:$W,0,Accounts!$C:$C,"Customer",Accounts!$C:$C,"Customer",Accounts!$H:$H,"&gt;"&amp;180)</f>
        <v/>
      </c>
      <c r="I65" s="67">
        <f>SUM(C65:H65)</f>
        <v/>
      </c>
      <c r="J65" s="66">
        <f>SUMIFS(Accounts!$I:$I,Accounts!$E:$E,'AccountSummary (New)'!J$1,Accounts!$G:$G,'AccountSummary (New)'!J$2,Accounts!$F:$F,'AccountSummary (New)'!J$3,Accounts!$W:$W,0,Accounts!$C:$C,"Customer",Accounts!$C:$C,"Customer",Accounts!$H:$H,"&gt;"&amp;180)</f>
        <v/>
      </c>
      <c r="K65" s="66">
        <f>SUMIFS(Accounts!$I:$I,Accounts!$E:$E,'AccountSummary (New)'!K$1,Accounts!$G:$G,'AccountSummary (New)'!K$2,Accounts!$F:$F,'AccountSummary (New)'!K$3,Accounts!$W:$W,0,Accounts!$C:$C,"Customer",Accounts!$C:$C,"Customer",Accounts!$H:$H,"&gt;"&amp;180)</f>
        <v/>
      </c>
      <c r="L65" s="66">
        <f>SUMIFS(Accounts!$I:$I,Accounts!$E:$E,'AccountSummary (New)'!L$1,Accounts!$G:$G,'AccountSummary (New)'!L$2,Accounts!$F:$F,'AccountSummary (New)'!L$3,Accounts!$W:$W,0,Accounts!$C:$C,"Customer",Accounts!$C:$C,"Customer",Accounts!$H:$H,"&gt;"&amp;180)</f>
        <v/>
      </c>
      <c r="M65" s="66">
        <f>SUMIFS(Accounts!$I:$I,Accounts!$E:$E,'AccountSummary (New)'!M$1,Accounts!$G:$G,'AccountSummary (New)'!M$2,Accounts!$F:$F,'AccountSummary (New)'!M$3,Accounts!$W:$W,0,Accounts!$C:$C,"Customer",Accounts!$C:$C,"Customer",Accounts!$H:$H,"&gt;"&amp;180)</f>
        <v/>
      </c>
      <c r="N65" s="66">
        <f>SUMIFS(Accounts!$I:$I,Accounts!$E:$E,'AccountSummary (New)'!N$1,Accounts!$G:$G,'AccountSummary (New)'!N$2,Accounts!$F:$F,'AccountSummary (New)'!N$3,Accounts!$W:$W,0,Accounts!$C:$C,"Customer",Accounts!$C:$C,"Customer",Accounts!$H:$H,"&gt;"&amp;180)</f>
        <v/>
      </c>
      <c r="O65" s="66">
        <f>SUMIFS(Accounts!$I:$I,Accounts!$E:$E,'AccountSummary (New)'!O$1,Accounts!$G:$G,'AccountSummary (New)'!O$2,Accounts!$F:$F,'AccountSummary (New)'!O$3,Accounts!$W:$W,0,Accounts!$C:$C,"Customer",Accounts!$C:$C,"Customer",Accounts!$H:$H,"&gt;"&amp;180)</f>
        <v/>
      </c>
      <c r="P65" s="67">
        <f>SUM(J65:O65)</f>
        <v/>
      </c>
      <c r="Q65" s="66">
        <f>SUMIFS(Accounts!$I:$I,Accounts!$E:$E,'AccountSummary (New)'!Q$1,Accounts!$G:$G,'AccountSummary (New)'!Q$2,Accounts!$F:$F,'AccountSummary (New)'!Q$3,Accounts!$W:$W,0,Accounts!$C:$C,"Customer",Accounts!$C:$C,"Customer",Accounts!$H:$H,"&gt;"&amp;180)</f>
        <v/>
      </c>
      <c r="R65" s="66">
        <f>SUMIFS(Accounts!$I:$I,Accounts!$E:$E,'AccountSummary (New)'!R$1,Accounts!$G:$G,'AccountSummary (New)'!R$2,Accounts!$F:$F,'AccountSummary (New)'!R$3,Accounts!$W:$W,0,Accounts!$C:$C,"Customer",Accounts!$C:$C,"Customer",Accounts!$H:$H,"&gt;"&amp;180)</f>
        <v/>
      </c>
      <c r="S65" s="66">
        <f>SUMIFS(Accounts!$I:$I,Accounts!$E:$E,'AccountSummary (New)'!S$1,Accounts!$G:$G,'AccountSummary (New)'!S$2,Accounts!$F:$F,'AccountSummary (New)'!S$3,Accounts!$W:$W,0,Accounts!$C:$C,"Customer",Accounts!$C:$C,"Customer",Accounts!$H:$H,"&gt;"&amp;180)</f>
        <v/>
      </c>
      <c r="T65" s="66">
        <f>SUMIFS(Accounts!$I:$I,Accounts!$E:$E,'AccountSummary (New)'!T$1,Accounts!$G:$G,'AccountSummary (New)'!T$2,Accounts!$F:$F,'AccountSummary (New)'!T$3,Accounts!$W:$W,0,Accounts!$C:$C,"Customer",Accounts!$C:$C,"Customer",Accounts!$H:$H,"&gt;"&amp;180)</f>
        <v/>
      </c>
      <c r="U65" s="66">
        <f>SUMIFS(Accounts!$I:$I,Accounts!$E:$E,'AccountSummary (New)'!U$1,Accounts!$G:$G,'AccountSummary (New)'!U$2,Accounts!$F:$F,'AccountSummary (New)'!U$3,Accounts!$W:$W,0,Accounts!$C:$C,"Customer",Accounts!$C:$C,"Customer",Accounts!$H:$H,"&gt;"&amp;180)</f>
        <v/>
      </c>
      <c r="V65" s="66">
        <f>SUMIFS(Accounts!$I:$I,Accounts!$E:$E,'AccountSummary (New)'!V$1,Accounts!$G:$G,'AccountSummary (New)'!V$2,Accounts!$F:$F,'AccountSummary (New)'!V$3,Accounts!$W:$W,0,Accounts!$C:$C,"Customer",Accounts!$C:$C,"Customer",Accounts!$H:$H,"&gt;"&amp;180)</f>
        <v/>
      </c>
      <c r="W65" s="67">
        <f>SUM(Q65:V65)</f>
        <v/>
      </c>
    </row>
    <row r="66">
      <c r="A66" s="1" t="inlineStr">
        <is>
          <t>Total Lost Count</t>
        </is>
      </c>
      <c r="B66" s="9">
        <f>I66+P66+W66</f>
        <v/>
      </c>
      <c r="C66">
        <f>C24+C33+C42+C51+C60</f>
        <v/>
      </c>
      <c r="D66">
        <f>D24+D33+D42+D51+D60</f>
        <v/>
      </c>
      <c r="E66">
        <f>E24+E33+E42+E51+E60</f>
        <v/>
      </c>
      <c r="F66">
        <f>F24+F33+F42+F51+F60</f>
        <v/>
      </c>
      <c r="G66">
        <f>G24+G33+G42+G51+G60</f>
        <v/>
      </c>
      <c r="H66">
        <f>H24+H33+H42+H51+H60</f>
        <v/>
      </c>
      <c r="I66" s="15">
        <f>SUM(C66:H66)</f>
        <v/>
      </c>
      <c r="J66">
        <f>J24+J33+J42+J51+J60</f>
        <v/>
      </c>
      <c r="K66">
        <f>K24+K33+K42+K51+K60</f>
        <v/>
      </c>
      <c r="L66">
        <f>L24+L33+L42+L60</f>
        <v/>
      </c>
      <c r="M66">
        <f>M24+M33+M42+M51+M60</f>
        <v/>
      </c>
      <c r="N66">
        <f>N24+N33+N42+N51+N60</f>
        <v/>
      </c>
      <c r="O66">
        <f>O24+O33+O42+O51+O60</f>
        <v/>
      </c>
      <c r="P66" s="15">
        <f>SUM(J66:O66)</f>
        <v/>
      </c>
      <c r="Q66">
        <f>Q24+Q33+Q42+Q51+Q60</f>
        <v/>
      </c>
      <c r="R66">
        <f>R24+R33+R42+R51+R60</f>
        <v/>
      </c>
      <c r="S66">
        <f>S24+S33+S42+S51+S60</f>
        <v/>
      </c>
      <c r="T66">
        <f>T24+T33+T42+T51+T60</f>
        <v/>
      </c>
      <c r="U66">
        <f>U24+U33+U42+U51+U60</f>
        <v/>
      </c>
      <c r="V66">
        <f>V24+V33+V42+V51+V60</f>
        <v/>
      </c>
      <c r="W66" s="15">
        <f>SUM(Q66:V66)</f>
        <v/>
      </c>
    </row>
    <row r="67">
      <c r="A67" s="1" t="inlineStr">
        <is>
          <t>Total Retained Count</t>
        </is>
      </c>
      <c r="B67" s="9">
        <f>I67+P67+W67</f>
        <v/>
      </c>
      <c r="C67">
        <f>C25+C34+C43+C52+C61</f>
        <v/>
      </c>
      <c r="D67">
        <f>D25+D34+D43+D52+D61</f>
        <v/>
      </c>
      <c r="E67">
        <f>E25+E34+E43+E52+E61</f>
        <v/>
      </c>
      <c r="F67">
        <f>F25+F34+F43+F52+F61</f>
        <v/>
      </c>
      <c r="G67">
        <f>G25+G34+G43+G52+G61</f>
        <v/>
      </c>
      <c r="H67">
        <f>H25+H34+H43+H52+H61</f>
        <v/>
      </c>
      <c r="I67" s="15">
        <f>SUM(C67:H67)</f>
        <v/>
      </c>
      <c r="J67">
        <f>J25+J34+J43+J52+J61</f>
        <v/>
      </c>
      <c r="K67">
        <f>K25+K34+K43+K52+K61</f>
        <v/>
      </c>
      <c r="L67">
        <f>L25+L34+L43+L52+L61</f>
        <v/>
      </c>
      <c r="M67">
        <f>M25+M34+M43+M52+M61</f>
        <v/>
      </c>
      <c r="N67">
        <f>N25+N34+N43+N52+N61</f>
        <v/>
      </c>
      <c r="O67">
        <f>O25+O34+O43+O52+O61</f>
        <v/>
      </c>
      <c r="P67" s="15">
        <f>SUM(J67:O67)</f>
        <v/>
      </c>
      <c r="Q67">
        <f>Q25+Q34+Q43+Q52+Q61</f>
        <v/>
      </c>
      <c r="R67">
        <f>R25+R34+R43+R52+R61</f>
        <v/>
      </c>
      <c r="S67">
        <f>S25+S34+S43+S52+S61</f>
        <v/>
      </c>
      <c r="T67">
        <f>T25+T34+T43+T52+T61</f>
        <v/>
      </c>
      <c r="U67">
        <f>U25+U34+U43+U52+U61</f>
        <v/>
      </c>
      <c r="V67">
        <f>V25+V34+V43+V52+V61</f>
        <v/>
      </c>
      <c r="W67" s="15">
        <f>SUM(Q67:V67)</f>
        <v/>
      </c>
    </row>
    <row r="68">
      <c r="A68" s="7" t="inlineStr">
        <is>
          <t>SaaS from Retained Customers</t>
        </is>
      </c>
      <c r="B68" s="65">
        <f>I68+P68+W68</f>
        <v/>
      </c>
      <c r="C68" s="66">
        <f>C29+C38+C47+C56+C65</f>
        <v/>
      </c>
      <c r="D68" s="66">
        <f>D29+D38+D47+D56+D65</f>
        <v/>
      </c>
      <c r="E68" s="66">
        <f>E29+E38+E47+E56+E65</f>
        <v/>
      </c>
      <c r="F68" s="66">
        <f>F29+F38+F47+F56+F65</f>
        <v/>
      </c>
      <c r="G68" s="66">
        <f>G29+G38+G47+G56+G65</f>
        <v/>
      </c>
      <c r="H68" s="66">
        <f>H29+H38+H47+H56+H65</f>
        <v/>
      </c>
      <c r="I68" s="67">
        <f>SUM(C68:H68)</f>
        <v/>
      </c>
      <c r="J68" s="66">
        <f>J29+J38+J47+J56+J65</f>
        <v/>
      </c>
      <c r="K68" s="66">
        <f>K29+K38+K47+K56+K65</f>
        <v/>
      </c>
      <c r="L68" s="66">
        <f>L29+L38+L47+L56+L65</f>
        <v/>
      </c>
      <c r="M68" s="66">
        <f>M29+M38+M47+M56+M65</f>
        <v/>
      </c>
      <c r="N68" s="66">
        <f>N29+N38+N47+N56+N65</f>
        <v/>
      </c>
      <c r="O68" s="66">
        <f>O29+O38+O47+O56+O65</f>
        <v/>
      </c>
      <c r="P68" s="67">
        <f>SUM(J68:O68)</f>
        <v/>
      </c>
      <c r="Q68" s="66">
        <f>Q29+Q38+Q47+Q56+Q65</f>
        <v/>
      </c>
      <c r="R68" s="66">
        <f>R29+R38+R47+R56+R65</f>
        <v/>
      </c>
      <c r="S68" s="66">
        <f>S29+S38+S47+S56+S65</f>
        <v/>
      </c>
      <c r="T68" s="66">
        <f>T29+T38+T47+T56+T65</f>
        <v/>
      </c>
      <c r="U68" s="66">
        <f>U29+U38+U47+U56+U65</f>
        <v/>
      </c>
      <c r="V68" s="66">
        <f>V29+V38+V47+V56+V65</f>
        <v/>
      </c>
      <c r="W68" s="67">
        <f>SUM(Q68:V68)</f>
        <v/>
      </c>
    </row>
    <row r="69">
      <c r="B69" s="9" t="n"/>
    </row>
    <row r="70">
      <c r="A70" s="1" t="inlineStr">
        <is>
          <t>Prepay % of Paying Customers</t>
        </is>
      </c>
      <c r="B70" s="11">
        <f>IF(B19=0,0,B71/B19)</f>
        <v/>
      </c>
      <c r="C70" s="8">
        <f>IF(C19=0,0,C71/C19)</f>
        <v/>
      </c>
      <c r="D70" s="8">
        <f>IF(D19=0,0,D71/D19)</f>
        <v/>
      </c>
      <c r="E70" s="8">
        <f>IF(E19=0,0,E71/E19)</f>
        <v/>
      </c>
      <c r="F70" s="8">
        <f>IF(F19=0,0,F71/F19)</f>
        <v/>
      </c>
      <c r="G70" s="8">
        <f>IF(G19=0,0,G71/G19)</f>
        <v/>
      </c>
      <c r="H70" s="8">
        <f>IF(H19=0,0,H71/H19)</f>
        <v/>
      </c>
      <c r="I70" s="20">
        <f>IF(I19=0,0,I71/I19)</f>
        <v/>
      </c>
      <c r="J70" s="8">
        <f>IF(J19=0,0,J71/J19)</f>
        <v/>
      </c>
      <c r="K70" s="8">
        <f>IF(K18=0,0,K71/K19)</f>
        <v/>
      </c>
      <c r="L70" s="8">
        <f>IF(L19=0,0,L71/L19)</f>
        <v/>
      </c>
      <c r="M70" s="8">
        <f>IF(M19=0,0,M71/M19)</f>
        <v/>
      </c>
      <c r="N70" s="8">
        <f>IF(N19=0,0,N71/N19)</f>
        <v/>
      </c>
      <c r="O70" s="8">
        <f>IF(O19=0,0,O71/O19)</f>
        <v/>
      </c>
      <c r="P70" s="20">
        <f>IF(P19=0,0,P71/P19)</f>
        <v/>
      </c>
      <c r="Q70" s="8">
        <f>IF(Q19=0,0,Q71/Q19)</f>
        <v/>
      </c>
      <c r="R70" s="8">
        <f>IF(R19=0,0,R71/R19)</f>
        <v/>
      </c>
      <c r="S70" s="8">
        <f>IF(S19=0,0,S71/S19)</f>
        <v/>
      </c>
      <c r="T70" s="8">
        <f>IF(T19=0,0,T71/T19)</f>
        <v/>
      </c>
      <c r="U70" s="8">
        <f>IF(U19=0,0,U71/U19)</f>
        <v/>
      </c>
      <c r="V70" s="8">
        <f>IF(V19=0,0,V71/V19)</f>
        <v/>
      </c>
      <c r="W70" s="20">
        <f>IF(W19=0,0,W71/W19)</f>
        <v/>
      </c>
    </row>
    <row r="71">
      <c r="A71" s="1" t="inlineStr">
        <is>
          <t>Prepay Starting Count BOM</t>
        </is>
      </c>
      <c r="B71" s="9">
        <f>I71+P71+W71</f>
        <v/>
      </c>
      <c r="C71">
        <f>COUNTIFS(Accounts!$E:$E,'AccountSummary (New)'!C$1,Accounts!$G:$G,'AccountSummary (New)'!C$2,Accounts!$F:$F,'AccountSummary (New)'!C$3,Accounts!$B:$B,"Customer",Accounts!$D:$D,"Prepay")</f>
        <v/>
      </c>
      <c r="D71">
        <f>COUNTIFS(Accounts!$E:$E,'AccountSummary (New)'!D$1,Accounts!$G:$G,'AccountSummary (New)'!D$2,Accounts!$F:$F,'AccountSummary (New)'!D$3,Accounts!$B:$B,"Customer",Accounts!$D:$D,"Prepay")</f>
        <v/>
      </c>
      <c r="E71">
        <f>COUNTIFS(Accounts!$E:$E,'AccountSummary (New)'!E$1,Accounts!$G:$G,'AccountSummary (New)'!E$2,Accounts!$F:$F,'AccountSummary (New)'!E$3,Accounts!$B:$B,"Customer",Accounts!$D:$D,"Prepay")</f>
        <v/>
      </c>
      <c r="F71">
        <f>COUNTIFS(Accounts!$E:$E,'AccountSummary (New)'!F$1,Accounts!$G:$G,'AccountSummary (New)'!F$2,Accounts!$F:$F,'AccountSummary (New)'!F$3,Accounts!$B:$B,"Customer",Accounts!$D:$D,"Prepay")</f>
        <v/>
      </c>
      <c r="G71">
        <f>COUNTIFS(Accounts!$E:$E,'AccountSummary (New)'!G$1,Accounts!$G:$G,'AccountSummary (New)'!G$2,Accounts!$F:$F,'AccountSummary (New)'!G$3,Accounts!$B:$B,"Customer",Accounts!$D:$D,"Prepay")</f>
        <v/>
      </c>
      <c r="H71">
        <f>COUNTIFS(Accounts!$E:$E,'AccountSummary (New)'!H$1,Accounts!$G:$G,'AccountSummary (New)'!H$2,Accounts!$F:$F,'AccountSummary (New)'!H$3,Accounts!$B:$B,"Customer",Accounts!$D:$D,"Prepay")</f>
        <v/>
      </c>
      <c r="I71" s="15">
        <f>SUM(C71:H71)</f>
        <v/>
      </c>
      <c r="J71">
        <f>COUNTIFS(Accounts!$E:$E,'AccountSummary (New)'!J$1,Accounts!$G:$G,'AccountSummary (New)'!J$2,Accounts!$F:$F,'AccountSummary (New)'!J$3,Accounts!$B:$B,"Customer",Accounts!$D:$D,"Prepay")</f>
        <v/>
      </c>
      <c r="K71">
        <f>COUNTIFS(Accounts!$E:$E,'AccountSummary (New)'!K$1,Accounts!$G:$G,'AccountSummary (New)'!K$2,Accounts!$F:$F,'AccountSummary (New)'!K$3,Accounts!$B:$B,"Customer",Accounts!$D:$D,"Prepay")</f>
        <v/>
      </c>
      <c r="L71">
        <f>COUNTIFS(Accounts!$E:$E,'AccountSummary (New)'!L$1,Accounts!$G:$G,'AccountSummary (New)'!L$2,Accounts!$F:$F,'AccountSummary (New)'!L$3,Accounts!$B:$B,"Customer",Accounts!$D:$D,"Prepay")</f>
        <v/>
      </c>
      <c r="M71">
        <f>COUNTIFS(Accounts!$E:$E,'AccountSummary (New)'!M$1,Accounts!$G:$G,'AccountSummary (New)'!M$2,Accounts!$F:$F,'AccountSummary (New)'!M$3,Accounts!$B:$B,"Customer",Accounts!$D:$D,"Prepay")</f>
        <v/>
      </c>
      <c r="N71">
        <f>COUNTIFS(Accounts!$E:$E,'AccountSummary (New)'!N$1,Accounts!$G:$G,'AccountSummary (New)'!N$2,Accounts!$F:$F,'AccountSummary (New)'!N$3,Accounts!$B:$B,"Customer",Accounts!$D:$D,"Prepay")</f>
        <v/>
      </c>
      <c r="O71">
        <f>COUNTIFS(Accounts!$E:$E,'AccountSummary (New)'!O$1,Accounts!$G:$G,'AccountSummary (New)'!O$2,Accounts!$F:$F,'AccountSummary (New)'!O$3,Accounts!$B:$B,"Customer",Accounts!$D:$D,"Prepay")</f>
        <v/>
      </c>
      <c r="P71" s="15">
        <f>SUM(J71:O71)</f>
        <v/>
      </c>
      <c r="Q71">
        <f>COUNTIFS(Accounts!$E:$E,'AccountSummary (New)'!Q$1,Accounts!$G:$G,'AccountSummary (New)'!Q$2,Accounts!$F:$F,'AccountSummary (New)'!Q$3,Accounts!$B:$B,"Customer",Accounts!$D:$D,"Prepay")</f>
        <v/>
      </c>
      <c r="R71">
        <f>COUNTIFS(Accounts!$E:$E,'AccountSummary (New)'!R$1,Accounts!$G:$G,'AccountSummary (New)'!R$2,Accounts!$F:$F,'AccountSummary (New)'!R$3,Accounts!$B:$B,"Customer",Accounts!$D:$D,"Prepay")</f>
        <v/>
      </c>
      <c r="S71">
        <f>COUNTIFS(Accounts!$E:$E,'AccountSummary (New)'!S$1,Accounts!$G:$G,'AccountSummary (New)'!S$2,Accounts!$F:$F,'AccountSummary (New)'!S$3,Accounts!$B:$B,"Customer",Accounts!$D:$D,"Prepay")</f>
        <v/>
      </c>
      <c r="T71">
        <f>COUNTIFS(Accounts!$E:$E,'AccountSummary (New)'!T$1,Accounts!$G:$G,'AccountSummary (New)'!T$2,Accounts!$F:$F,'AccountSummary (New)'!T$3,Accounts!$B:$B,"Customer",Accounts!$D:$D,"Prepay")</f>
        <v/>
      </c>
      <c r="U71">
        <f>COUNTIFS(Accounts!$E:$E,'AccountSummary (New)'!U$1,Accounts!$G:$G,'AccountSummary (New)'!U$2,Accounts!$F:$F,'AccountSummary (New)'!U$3,Accounts!$B:$B,"Customer",Accounts!$D:$D,"Prepay")</f>
        <v/>
      </c>
      <c r="V71">
        <f>COUNTIFS(Accounts!$E:$E,'AccountSummary (New)'!V$1,Accounts!$G:$G,'AccountSummary (New)'!V$2,Accounts!$F:$F,'AccountSummary (New)'!V$3,Accounts!$B:$B,"Customer",Accounts!$D:$D,"Prepay")</f>
        <v/>
      </c>
      <c r="W71" s="15">
        <f>SUM(Q71:V71)</f>
        <v/>
      </c>
    </row>
    <row r="72">
      <c r="A72" s="1" t="inlineStr">
        <is>
          <t>Prepay Loss %</t>
        </is>
      </c>
      <c r="B72" s="11">
        <f>IF(B71=0,0,B73/B71)</f>
        <v/>
      </c>
      <c r="C72" s="8">
        <f>IF(C71=0,0,C73/C71)</f>
        <v/>
      </c>
      <c r="D72" s="8">
        <f>IF(D71=0,0,D73/D71)</f>
        <v/>
      </c>
      <c r="E72" s="8">
        <f>IF(E71=0,0,E73/E71)</f>
        <v/>
      </c>
      <c r="F72" s="8">
        <f>IF(F71=0,0,F73/F71)</f>
        <v/>
      </c>
      <c r="G72" s="8">
        <f>IF(G71=0,0,G73/G71)</f>
        <v/>
      </c>
      <c r="H72" s="8">
        <f>IF(H71=0,0,H73/H71)</f>
        <v/>
      </c>
      <c r="I72" s="20">
        <f>IF(I71=0,0,I73/I71)</f>
        <v/>
      </c>
      <c r="J72" s="8">
        <f>IF(J71=0,0,J73/J71)</f>
        <v/>
      </c>
      <c r="K72" s="8">
        <f>IF(K71=0,0,K73/K71)</f>
        <v/>
      </c>
      <c r="L72" s="8">
        <f>IF(L71=0,0,L73/L71)</f>
        <v/>
      </c>
      <c r="M72" s="8">
        <f>IF(M71=0,0,M73/M71)</f>
        <v/>
      </c>
      <c r="N72" s="8">
        <f>IF(N71=0,0,N73/N71)</f>
        <v/>
      </c>
      <c r="O72" s="8">
        <f>IF(O71=0,0,O73/O71)</f>
        <v/>
      </c>
      <c r="P72" s="20">
        <f>IF(P71=0,0,P73/P71)</f>
        <v/>
      </c>
      <c r="Q72" s="8">
        <f>IF(Q71=0,0,Q73/Q71)</f>
        <v/>
      </c>
      <c r="R72" s="8">
        <f>IF(R71=0,0,R73/R71)</f>
        <v/>
      </c>
      <c r="S72" s="8">
        <f>IF(S71=0,0,S73/S71)</f>
        <v/>
      </c>
      <c r="T72" s="8">
        <f>IF(T71=0,0,T73/T71)</f>
        <v/>
      </c>
      <c r="U72" s="8">
        <f>IF(U71=0,0,U73/U71)</f>
        <v/>
      </c>
      <c r="V72" s="8">
        <f>IF(V71=0,0,V73/V71)</f>
        <v/>
      </c>
      <c r="W72" s="20">
        <f>IF(W71=0,0,W73/W71)</f>
        <v/>
      </c>
    </row>
    <row r="73">
      <c r="A73" s="1" t="inlineStr">
        <is>
          <t>Prepay Total Lost</t>
        </is>
      </c>
      <c r="B73" s="9">
        <f>I73+P73+W73</f>
        <v/>
      </c>
      <c r="C73">
        <f>COUNTIFS(Accounts!$E:$E,'AccountSummary (New)'!C$1,Accounts!$G:$G,'AccountSummary (New)'!C$2,Accounts!$F:$F,'AccountSummary (New)'!C$3,Accounts!$B:$B,"Customer",Accounts!$D:$D,"Prepay",Accounts!$C:$C,"Lost")</f>
        <v/>
      </c>
      <c r="D73">
        <f>COUNTIFS(Accounts!$E:$E,'AccountSummary (New)'!D$1,Accounts!$G:$G,'AccountSummary (New)'!D$2,Accounts!$F:$F,'AccountSummary (New)'!D$3,Accounts!$B:$B,"Customer",Accounts!$D:$D,"Prepay",Accounts!$C:$C,"Lost")</f>
        <v/>
      </c>
      <c r="E73">
        <f>COUNTIFS(Accounts!$E:$E,'AccountSummary (New)'!E$1,Accounts!$G:$G,'AccountSummary (New)'!E$2,Accounts!$F:$F,'AccountSummary (New)'!E$3,Accounts!$B:$B,"Customer",Accounts!$D:$D,"Prepay",Accounts!$C:$C,"Lost")</f>
        <v/>
      </c>
      <c r="F73">
        <f>COUNTIFS(Accounts!$E:$E,'AccountSummary (New)'!F$1,Accounts!$G:$G,'AccountSummary (New)'!F$2,Accounts!$F:$F,'AccountSummary (New)'!F$3,Accounts!$B:$B,"Customer",Accounts!$D:$D,"Prepay",Accounts!$C:$C,"Lost")</f>
        <v/>
      </c>
      <c r="G73">
        <f>COUNTIFS(Accounts!$E:$E,'AccountSummary (New)'!G$1,Accounts!$G:$G,'AccountSummary (New)'!G$2,Accounts!$F:$F,'AccountSummary (New)'!G$3,Accounts!$B:$B,"Customer",Accounts!$D:$D,"Prepay",Accounts!$C:$C,"Lost")</f>
        <v/>
      </c>
      <c r="H73">
        <f>COUNTIFS(Accounts!$E:$E,'AccountSummary (New)'!H$1,Accounts!$G:$G,'AccountSummary (New)'!H$2,Accounts!$F:$F,'AccountSummary (New)'!H$3,Accounts!$B:$B,"Customer",Accounts!$D:$D,"Prepay",Accounts!$C:$C,"Lost")</f>
        <v/>
      </c>
      <c r="I73" s="15">
        <f>SUM(C73:H73)</f>
        <v/>
      </c>
      <c r="J73">
        <f>COUNTIFS(Accounts!$E:$E,'AccountSummary (New)'!J$1,Accounts!$G:$G,'AccountSummary (New)'!J$2,Accounts!$F:$F,'AccountSummary (New)'!J$3,Accounts!$B:$B,"Customer",Accounts!$D:$D,"Prepay",Accounts!$C:$C,"Lost")</f>
        <v/>
      </c>
      <c r="K73">
        <f>COUNTIFS(Accounts!$E:$E,'AccountSummary (New)'!K$1,Accounts!$G:$G,'AccountSummary (New)'!K$2,Accounts!$F:$F,'AccountSummary (New)'!K$3,Accounts!$B:$B,"Customer",Accounts!$D:$D,"Prepay",Accounts!$C:$C,"Lost")</f>
        <v/>
      </c>
      <c r="L73">
        <f>COUNTIFS(Accounts!$E:$E,'AccountSummary (New)'!L$1,Accounts!$G:$G,'AccountSummary (New)'!L$2,Accounts!$F:$F,'AccountSummary (New)'!L$3,Accounts!$B:$B,"Customer",Accounts!$D:$D,"Prepay",Accounts!$C:$C,"Lost")</f>
        <v/>
      </c>
      <c r="M73">
        <f>COUNTIFS(Accounts!$E:$E,'AccountSummary (New)'!M$1,Accounts!$G:$G,'AccountSummary (New)'!M$2,Accounts!$F:$F,'AccountSummary (New)'!M$3,Accounts!$B:$B,"Customer",Accounts!$D:$D,"Prepay",Accounts!$C:$C,"Lost")</f>
        <v/>
      </c>
      <c r="N73">
        <f>COUNTIFS(Accounts!$E:$E,'AccountSummary (New)'!N$1,Accounts!$G:$G,'AccountSummary (New)'!N$2,Accounts!$F:$F,'AccountSummary (New)'!N$3,Accounts!$B:$B,"Customer",Accounts!$D:$D,"Prepay",Accounts!$C:$C,"Lost")</f>
        <v/>
      </c>
      <c r="O73">
        <f>COUNTIFS(Accounts!$E:$E,'AccountSummary (New)'!O$1,Accounts!$G:$G,'AccountSummary (New)'!O$2,Accounts!$F:$F,'AccountSummary (New)'!O$3,Accounts!$B:$B,"Customer",Accounts!$D:$D,"Prepay",Accounts!$C:$C,"Lost")</f>
        <v/>
      </c>
      <c r="P73" s="15">
        <f>SUM(J73:O73)</f>
        <v/>
      </c>
      <c r="Q73">
        <f>COUNTIFS(Accounts!$E:$E,'AccountSummary (New)'!Q$1,Accounts!$G:$G,'AccountSummary (New)'!Q$2,Accounts!$F:$F,'AccountSummary (New)'!Q$3,Accounts!$B:$B,"Customer",Accounts!$D:$D,"Prepay",Accounts!$C:$C,"Lost")</f>
        <v/>
      </c>
      <c r="R73">
        <f>COUNTIFS(Accounts!$E:$E,'AccountSummary (New)'!R$1,Accounts!$G:$G,'AccountSummary (New)'!R$2,Accounts!$F:$F,'AccountSummary (New)'!R$3,Accounts!$B:$B,"Customer",Accounts!$D:$D,"Prepay",Accounts!$C:$C,"Lost")</f>
        <v/>
      </c>
      <c r="S73">
        <f>COUNTIFS(Accounts!$E:$E,'AccountSummary (New)'!S$1,Accounts!$G:$G,'AccountSummary (New)'!S$2,Accounts!$F:$F,'AccountSummary (New)'!S$3,Accounts!$B:$B,"Customer",Accounts!$D:$D,"Prepay",Accounts!$C:$C,"Lost")</f>
        <v/>
      </c>
      <c r="T73">
        <f>COUNTIFS(Accounts!$E:$E,'AccountSummary (New)'!T$1,Accounts!$G:$G,'AccountSummary (New)'!T$2,Accounts!$F:$F,'AccountSummary (New)'!T$3,Accounts!$B:$B,"Customer",Accounts!$D:$D,"Prepay",Accounts!$C:$C,"Lost")</f>
        <v/>
      </c>
      <c r="U73">
        <f>COUNTIFS(Accounts!$E:$E,'AccountSummary (New)'!U$1,Accounts!$G:$G,'AccountSummary (New)'!U$2,Accounts!$F:$F,'AccountSummary (New)'!U$3,Accounts!$B:$B,"Customer",Accounts!$D:$D,"Prepay",Accounts!$C:$C,"Lost")</f>
        <v/>
      </c>
      <c r="V73">
        <f>COUNTIFS(Accounts!$E:$E,'AccountSummary (New)'!V$1,Accounts!$G:$G,'AccountSummary (New)'!V$2,Accounts!$F:$F,'AccountSummary (New)'!V$3,Accounts!$B:$B,"Customer",Accounts!$D:$D,"Prepay",Accounts!$C:$C,"Lost")</f>
        <v/>
      </c>
      <c r="W73" s="15">
        <f>SUM(Q73:V73)</f>
        <v/>
      </c>
    </row>
    <row r="74">
      <c r="A74" s="1" t="inlineStr">
        <is>
          <t>Prepay Retained</t>
        </is>
      </c>
      <c r="B74" s="9">
        <f>I74+P74+W74</f>
        <v/>
      </c>
      <c r="C74">
        <f>COUNTIFS(Accounts!$E:$E,'AccountSummary (New)'!C$1,Accounts!$G:$G,'AccountSummary (New)'!C$2,Accounts!$F:$F,'AccountSummary (New)'!C$3,Accounts!$B:$B,"Customer",Accounts!$D:$D,"Prepay",Accounts!$C:$C,"Customer")</f>
        <v/>
      </c>
      <c r="D74">
        <f>COUNTIFS(Accounts!$E:$E,'AccountSummary (New)'!D$1,Accounts!$G:$G,'AccountSummary (New)'!D$2,Accounts!$F:$F,'AccountSummary (New)'!D$3,Accounts!$B:$B,"Customer",Accounts!$D:$D,"Prepay",Accounts!$C:$C,"Customer")</f>
        <v/>
      </c>
      <c r="E74">
        <f>COUNTIFS(Accounts!$E:$E,'AccountSummary (New)'!E$1,Accounts!$G:$G,'AccountSummary (New)'!E$2,Accounts!$F:$F,'AccountSummary (New)'!E$3,Accounts!$B:$B,"Customer",Accounts!$D:$D,"Prepay",Accounts!$C:$C,"Customer")</f>
        <v/>
      </c>
      <c r="F74">
        <f>COUNTIFS(Accounts!$E:$E,'AccountSummary (New)'!F$1,Accounts!$G:$G,'AccountSummary (New)'!F$2,Accounts!$F:$F,'AccountSummary (New)'!F$3,Accounts!$B:$B,"Customer",Accounts!$D:$D,"Prepay",Accounts!$C:$C,"Customer")</f>
        <v/>
      </c>
      <c r="G74">
        <f>COUNTIFS(Accounts!$E:$E,'AccountSummary (New)'!G$1,Accounts!$G:$G,'AccountSummary (New)'!G$2,Accounts!$F:$F,'AccountSummary (New)'!G$3,Accounts!$B:$B,"Customer",Accounts!$D:$D,"Prepay",Accounts!$C:$C,"Customer")</f>
        <v/>
      </c>
      <c r="H74">
        <f>COUNTIFS(Accounts!$E:$E,'AccountSummary (New)'!H$1,Accounts!$G:$G,'AccountSummary (New)'!H$2,Accounts!$F:$F,'AccountSummary (New)'!H$3,Accounts!$B:$B,"Customer",Accounts!$D:$D,"Prepay",Accounts!$C:$C,"Customer")</f>
        <v/>
      </c>
      <c r="I74" s="15">
        <f>SUM(C74:H74)</f>
        <v/>
      </c>
      <c r="J74">
        <f>COUNTIFS(Accounts!$E:$E,'AccountSummary (New)'!J$1,Accounts!$G:$G,'AccountSummary (New)'!J$2,Accounts!$F:$F,'AccountSummary (New)'!J$3,Accounts!$B:$B,"Customer",Accounts!$D:$D,"Prepay",Accounts!$C:$C,"Customer")</f>
        <v/>
      </c>
      <c r="K74">
        <f>COUNTIFS(Accounts!$E:$E,'AccountSummary (New)'!K$1,Accounts!$G:$G,'AccountSummary (New)'!K$2,Accounts!$F:$F,'AccountSummary (New)'!K$3,Accounts!$B:$B,"Customer",Accounts!$D:$D,"Prepay",Accounts!$C:$C,"Customer")</f>
        <v/>
      </c>
      <c r="L74">
        <f>COUNTIFS(Accounts!$E:$E,'AccountSummary (New)'!L$1,Accounts!$G:$G,'AccountSummary (New)'!L$2,Accounts!$F:$F,'AccountSummary (New)'!L$3,Accounts!$B:$B,"Customer",Accounts!$D:$D,"Prepay",Accounts!$C:$C,"Customer")</f>
        <v/>
      </c>
      <c r="M74">
        <f>COUNTIFS(Accounts!$E:$E,'AccountSummary (New)'!M$1,Accounts!$G:$G,'AccountSummary (New)'!M$2,Accounts!$F:$F,'AccountSummary (New)'!M$3,Accounts!$B:$B,"Customer",Accounts!$D:$D,"Prepay",Accounts!$C:$C,"Customer")</f>
        <v/>
      </c>
      <c r="N74">
        <f>COUNTIFS(Accounts!$E:$E,'AccountSummary (New)'!N$1,Accounts!$G:$G,'AccountSummary (New)'!N$2,Accounts!$F:$F,'AccountSummary (New)'!N$3,Accounts!$B:$B,"Customer",Accounts!$D:$D,"Prepay",Accounts!$C:$C,"Customer")</f>
        <v/>
      </c>
      <c r="O74">
        <f>COUNTIFS(Accounts!$E:$E,'AccountSummary (New)'!O$1,Accounts!$G:$G,'AccountSummary (New)'!O$2,Accounts!$F:$F,'AccountSummary (New)'!O$3,Accounts!$B:$B,"Customer",Accounts!$D:$D,"Prepay",Accounts!$C:$C,"Customer")</f>
        <v/>
      </c>
      <c r="P74" s="15">
        <f>SUM(J74:O74)</f>
        <v/>
      </c>
      <c r="Q74">
        <f>COUNTIFS(Accounts!$E:$E,'AccountSummary (New)'!Q$1,Accounts!$G:$G,'AccountSummary (New)'!Q$2,Accounts!$F:$F,'AccountSummary (New)'!Q$3,Accounts!$B:$B,"Customer",Accounts!$D:$D,"Prepay",Accounts!$C:$C,"Customer")</f>
        <v/>
      </c>
      <c r="R74">
        <f>COUNTIFS(Accounts!$E:$E,'AccountSummary (New)'!R$1,Accounts!$G:$G,'AccountSummary (New)'!R$2,Accounts!$F:$F,'AccountSummary (New)'!R$3,Accounts!$B:$B,"Customer",Accounts!$D:$D,"Prepay",Accounts!$C:$C,"Customer")</f>
        <v/>
      </c>
      <c r="S74">
        <f>COUNTIFS(Accounts!$E:$E,'AccountSummary (New)'!S$1,Accounts!$G:$G,'AccountSummary (New)'!S$2,Accounts!$F:$F,'AccountSummary (New)'!S$3,Accounts!$B:$B,"Customer",Accounts!$D:$D,"Prepay",Accounts!$C:$C,"Customer")</f>
        <v/>
      </c>
      <c r="T74">
        <f>COUNTIFS(Accounts!$E:$E,'AccountSummary (New)'!T$1,Accounts!$G:$G,'AccountSummary (New)'!T$2,Accounts!$F:$F,'AccountSummary (New)'!T$3,Accounts!$B:$B,"Customer",Accounts!$D:$D,"Prepay",Accounts!$C:$C,"Customer")</f>
        <v/>
      </c>
      <c r="U74">
        <f>COUNTIFS(Accounts!$E:$E,'AccountSummary (New)'!U$1,Accounts!$G:$G,'AccountSummary (New)'!U$2,Accounts!$F:$F,'AccountSummary (New)'!U$3,Accounts!$B:$B,"Customer",Accounts!$D:$D,"Prepay",Accounts!$C:$C,"Customer")</f>
        <v/>
      </c>
      <c r="V74">
        <f>COUNTIFS(Accounts!$E:$E,'AccountSummary (New)'!V$1,Accounts!$G:$G,'AccountSummary (New)'!V$2,Accounts!$F:$F,'AccountSummary (New)'!V$3,Accounts!$B:$B,"Customer",Accounts!$D:$D,"Prepay",Accounts!$C:$C,"Customer")</f>
        <v/>
      </c>
      <c r="W74" s="15">
        <f>SUM(Q74:V74)</f>
        <v/>
      </c>
    </row>
    <row r="75">
      <c r="A75" s="2" t="inlineStr">
        <is>
          <t>Packs per Account</t>
        </is>
      </c>
      <c r="B75" s="13">
        <f>IF(B74=0,0,SUMIFS(Accounts!$L:$L,Accounts!$W:$W,0,Accounts!$C:$C,"Customer",Accounts!$D:$D,"Prepay")/B74)</f>
        <v/>
      </c>
      <c r="C75" s="4">
        <f>IF(C74=0,0,SUMIFS(Accounts!$L:$L,Accounts!$E:$E,'AccountSummary (New)'!C$1,Accounts!$G:$G,'AccountSummary (New)'!C$2,Accounts!$F:$F,'AccountSummary (New)'!C$3,Accounts!$W:$W,0,Accounts!$C:$C,"Customer",Accounts!$D:$D,"Prepay")/C74)</f>
        <v/>
      </c>
      <c r="D75" s="4">
        <f>IF(D74=0,0,SUMIFS(Accounts!$L:$L,Accounts!$E:$E,'AccountSummary (New)'!D$1,Accounts!$G:$G,'AccountSummary (New)'!D$2,Accounts!$F:$F,'AccountSummary (New)'!D$3,Accounts!$W:$W,0,Accounts!$C:$C,"Customer",Accounts!$D:$D,"Prepay")/D74)</f>
        <v/>
      </c>
      <c r="E75" s="4">
        <f>IF(E74=0,0,SUMIFS(Accounts!$L:$L,Accounts!$E:$E,'AccountSummary (New)'!E$1,Accounts!$G:$G,'AccountSummary (New)'!E$2,Accounts!$F:$F,'AccountSummary (New)'!E$3,Accounts!$W:$W,0,Accounts!$C:$C,"Customer",Accounts!$D:$D,"Prepay")/E74)</f>
        <v/>
      </c>
      <c r="F75" s="4">
        <f>IF(F74=0,0,SUMIFS(Accounts!$L:$L,Accounts!$E:$E,'AccountSummary (New)'!F$1,Accounts!$G:$G,'AccountSummary (New)'!F$2,Accounts!$F:$F,'AccountSummary (New)'!F$3,Accounts!$W:$W,0,Accounts!$C:$C,"Customer",Accounts!$D:$D,"Prepay")/F74)</f>
        <v/>
      </c>
      <c r="G75" s="4">
        <f>IF(G74=0,0,SUMIFS(Accounts!$L:$L,Accounts!$E:$E,'AccountSummary (New)'!G$1,Accounts!$G:$G,'AccountSummary (New)'!G$2,Accounts!$F:$F,'AccountSummary (New)'!G$3,Accounts!$W:$W,0,Accounts!$C:$C,"Customer",Accounts!$D:$D,"Prepay")/G74)</f>
        <v/>
      </c>
      <c r="H75" s="4">
        <f>IF(H74=0,0,SUMIFS(Accounts!$L:$L,Accounts!$E:$E,'AccountSummary (New)'!H$1,Accounts!$G:$G,'AccountSummary (New)'!H$2,Accounts!$F:$F,'AccountSummary (New)'!H$3,Accounts!$W:$W,0,Accounts!$C:$C,"Customer",Accounts!$D:$D,"Prepay")/H74)</f>
        <v/>
      </c>
      <c r="I75" s="5">
        <f>IF(I74=0,0,SUMIFS(Accounts!$L:$L,Accounts!$F:$F,'AccountSummary (New)'!I$3,Accounts!$W:$W,0,Accounts!$C:$C,"Customer",Accounts!$D:$D,"Prepay")/I74)</f>
        <v/>
      </c>
      <c r="J75" s="4">
        <f>IF(J74=0,0,SUMIFS(Accounts!$L:$L,Accounts!$E:$E,'AccountSummary (New)'!J$1,Accounts!$G:$G,'AccountSummary (New)'!J$2,Accounts!$F:$F,'AccountSummary (New)'!J$3,Accounts!$W:$W,0,Accounts!$C:$C,"Customer",Accounts!$D:$D,"Prepay")/J74)</f>
        <v/>
      </c>
      <c r="K75" s="4">
        <f>IF(K74=0,0,SUMIFS(Accounts!$L:$L,Accounts!$E:$E,'AccountSummary (New)'!K$1,Accounts!$G:$G,'AccountSummary (New)'!K$2,Accounts!$F:$F,'AccountSummary (New)'!K$3,Accounts!$W:$W,0,Accounts!$C:$C,"Customer",Accounts!$D:$D,"Prepay")/K74)</f>
        <v/>
      </c>
      <c r="L75" s="4">
        <f>IF(L74=0,0,SUMIFS(Accounts!$L:$L,Accounts!$E:$E,'AccountSummary (New)'!L$1,Accounts!$G:$G,'AccountSummary (New)'!L$2,Accounts!$F:$F,'AccountSummary (New)'!L$3,Accounts!$W:$W,0,Accounts!$C:$C,"Customer",Accounts!$D:$D,"Prepay")/L74)</f>
        <v/>
      </c>
      <c r="M75" s="4">
        <f>IF(M74=0,0,SUMIFS(Accounts!$L:$L,Accounts!$E:$E,'AccountSummary (New)'!M$1,Accounts!$G:$G,'AccountSummary (New)'!M$2,Accounts!$F:$F,'AccountSummary (New)'!M$3,Accounts!$W:$W,0,Accounts!$C:$C,"Customer",Accounts!$D:$D,"Prepay")/M74)</f>
        <v/>
      </c>
      <c r="N75" s="4">
        <f>IF(N74=0,0,SUMIFS(Accounts!$L:$L,Accounts!$E:$E,'AccountSummary (New)'!N$1,Accounts!$G:$G,'AccountSummary (New)'!N$2,Accounts!$F:$F,'AccountSummary (New)'!N$3,Accounts!$W:$W,0,Accounts!$C:$C,"Customer",Accounts!$D:$D,"Prepay")/N74)</f>
        <v/>
      </c>
      <c r="O75" s="4">
        <f>IF(O74=0,0,SUMIFS(Accounts!$L:$L,Accounts!$E:$E,'AccountSummary (New)'!O$1,Accounts!$G:$G,'AccountSummary (New)'!O$2,Accounts!$F:$F,'AccountSummary (New)'!O$3,Accounts!$W:$W,0,Accounts!$C:$C,"Customer",Accounts!$D:$D,"Prepay")/O74)</f>
        <v/>
      </c>
      <c r="P75" s="5">
        <f>IF(P74=0,0,SUMIFS(Accounts!$L:$L,Accounts!$F:$F,'AccountSummary (New)'!P$3,Accounts!$W:$W,0,Accounts!$C:$C,"Customer",Accounts!$D:$D,"Prepay")/P74)</f>
        <v/>
      </c>
      <c r="Q75" s="4">
        <f>IF(Q74=0,0,SUMIFS(Accounts!$L:$L,Accounts!$E:$E,'AccountSummary (New)'!Q$1,Accounts!$G:$G,'AccountSummary (New)'!Q$2,Accounts!$F:$F,'AccountSummary (New)'!Q$3,Accounts!$W:$W,0,Accounts!$C:$C,"Customer",Accounts!$D:$D,"Prepay")/Q74)</f>
        <v/>
      </c>
      <c r="R75" s="4">
        <f>IF(R74=0,0,SUMIFS(Accounts!$L:$L,Accounts!$E:$E,'AccountSummary (New)'!R$1,Accounts!$G:$G,'AccountSummary (New)'!R$2,Accounts!$F:$F,'AccountSummary (New)'!R$3,Accounts!$W:$W,0,Accounts!$C:$C,"Customer",Accounts!$D:$D,"Prepay")/R74)</f>
        <v/>
      </c>
      <c r="S75" s="4">
        <f>IF(S74=0,0,SUMIFS(Accounts!$L:$L,Accounts!$E:$E,'AccountSummary (New)'!S$1,Accounts!$G:$G,'AccountSummary (New)'!S$2,Accounts!$F:$F,'AccountSummary (New)'!S$3,Accounts!$W:$W,0,Accounts!$C:$C,"Customer",Accounts!$D:$D,"Prepay")/S74)</f>
        <v/>
      </c>
      <c r="T75" s="4">
        <f>IF(T74=0,0,SUMIFS(Accounts!$L:$L,Accounts!$E:$E,'AccountSummary (New)'!T$1,Accounts!$G:$G,'AccountSummary (New)'!T$2,Accounts!$F:$F,'AccountSummary (New)'!T$3,Accounts!$W:$W,0,Accounts!$C:$C,"Customer",Accounts!$D:$D,"Prepay")/T74)</f>
        <v/>
      </c>
      <c r="U75" s="4">
        <f>IF(U74=0,0,SUMIFS(Accounts!$L:$L,Accounts!$E:$E,'AccountSummary (New)'!U$1,Accounts!$G:$G,'AccountSummary (New)'!U$2,Accounts!$F:$F,'AccountSummary (New)'!U$3,Accounts!$W:$W,0,Accounts!$C:$C,"Customer",Accounts!$D:$D,"Prepay")/U74)</f>
        <v/>
      </c>
      <c r="V75" s="4">
        <f>IF(V74=0,0,SUMIFS(Accounts!$L:$L,Accounts!$E:$E,'AccountSummary (New)'!V$1,Accounts!$G:$G,'AccountSummary (New)'!V$2,Accounts!$F:$F,'AccountSummary (New)'!V$3,Accounts!$W:$W,0,Accounts!$C:$C,"Customer",Accounts!$D:$D,"Prepay")/V74)</f>
        <v/>
      </c>
      <c r="W75" s="5">
        <f>IF(W74=0,0,SUMIFS(Accounts!$L:$L,Accounts!$F:$F,'AccountSummary (New)'!W$3,Accounts!$W:$W,0,Accounts!$C:$C,"Customer",Accounts!$D:$D,"Prepay")/W74)</f>
        <v/>
      </c>
    </row>
    <row r="76">
      <c r="A76" s="2" t="inlineStr">
        <is>
          <t>Users per Account</t>
        </is>
      </c>
      <c r="B76" s="13">
        <f>IF(B74=0,0,SUMIFS(Accounts!$M:$M,Accounts!$W:$W,0,Accounts!$C:$C,"Customer",Accounts!$D:$D,"Prepay")/B74)</f>
        <v/>
      </c>
      <c r="C76" s="4">
        <f>IF(C74=0,0,SUMIFS(Accounts!$M:$M,Accounts!$E:$E,'AccountSummary (New)'!C$1,Accounts!$G:$G,'AccountSummary (New)'!C$2,Accounts!$F:$F,'AccountSummary (New)'!C$3,Accounts!$W:$W,0,Accounts!$C:$C,"Customer",Accounts!$D:$D,"Prepay")/C74)</f>
        <v/>
      </c>
      <c r="D76" s="4">
        <f>IF(D74=0,0,SUMIFS(Accounts!$M:$M,Accounts!$E:$E,'AccountSummary (New)'!D$1,Accounts!$G:$G,'AccountSummary (New)'!D$2,Accounts!$F:$F,'AccountSummary (New)'!D$3,Accounts!$W:$W,0,Accounts!$C:$C,"Customer",Accounts!$D:$D,"Prepay")/D74)</f>
        <v/>
      </c>
      <c r="E76" s="4">
        <f>IF(E74=0,0,SUMIFS(Accounts!$M:$M,Accounts!$E:$E,'AccountSummary (New)'!E$1,Accounts!$G:$G,'AccountSummary (New)'!E$2,Accounts!$F:$F,'AccountSummary (New)'!E$3,Accounts!$W:$W,0,Accounts!$C:$C,"Customer",Accounts!$D:$D,"Prepay")/E74)</f>
        <v/>
      </c>
      <c r="F76" s="4">
        <f>IF(F74=0,0,SUMIFS(Accounts!$M:$M,Accounts!$E:$E,'AccountSummary (New)'!F$1,Accounts!$G:$G,'AccountSummary (New)'!F$2,Accounts!$F:$F,'AccountSummary (New)'!F$3,Accounts!$W:$W,0,Accounts!$C:$C,"Customer",Accounts!$D:$D,"Prepay")/F74)</f>
        <v/>
      </c>
      <c r="G76" s="4">
        <f>IF(G74=0,0,SUMIFS(Accounts!$M:$M,Accounts!$E:$E,'AccountSummary (New)'!G$1,Accounts!$G:$G,'AccountSummary (New)'!G$2,Accounts!$F:$F,'AccountSummary (New)'!G$3,Accounts!$W:$W,0,Accounts!$C:$C,"Customer",Accounts!$D:$D,"Prepay")/G74)</f>
        <v/>
      </c>
      <c r="H76" s="4">
        <f>IF(H74=0,0,SUMIFS(Accounts!$M:$M,Accounts!$E:$E,'AccountSummary (New)'!H$1,Accounts!$G:$G,'AccountSummary (New)'!H$2,Accounts!$F:$F,'AccountSummary (New)'!H$3,Accounts!$W:$W,0,Accounts!$C:$C,"Customer",Accounts!$D:$D,"Prepay")/H74)</f>
        <v/>
      </c>
      <c r="I76" s="5">
        <f>IF(I74=0,0,SUMIFS(Accounts!$M:$M,Accounts!$F:$F,'AccountSummary (New)'!I$3,Accounts!$W:$W,0,Accounts!$C:$C,"Customer",Accounts!$D:$D,"Prepay")/I74)</f>
        <v/>
      </c>
      <c r="J76" s="4">
        <f>IF(J74=0,0,SUMIFS(Accounts!$M:$M,Accounts!$E:$E,'AccountSummary (New)'!J$1,Accounts!$G:$G,'AccountSummary (New)'!J$2,Accounts!$F:$F,'AccountSummary (New)'!J$3,Accounts!$W:$W,0,Accounts!$C:$C,"Customer",Accounts!$D:$D,"Prepay")/J74)</f>
        <v/>
      </c>
      <c r="K76" s="4">
        <f>IF(K74=0,0,SUMIFS(Accounts!$M:$M,Accounts!$E:$E,'AccountSummary (New)'!K$1,Accounts!$G:$G,'AccountSummary (New)'!K$2,Accounts!$F:$F,'AccountSummary (New)'!K$3,Accounts!$W:$W,0,Accounts!$C:$C,"Customer",Accounts!$D:$D,"Prepay")/K74)</f>
        <v/>
      </c>
      <c r="L76" s="4">
        <f>IF(L74=0,0,SUMIFS(Accounts!$M:$M,Accounts!$E:$E,'AccountSummary (New)'!L$1,Accounts!$G:$G,'AccountSummary (New)'!L$2,Accounts!$F:$F,'AccountSummary (New)'!L$3,Accounts!$W:$W,0,Accounts!$C:$C,"Customer",Accounts!$D:$D,"Prepay")/L74)</f>
        <v/>
      </c>
      <c r="M76" s="4">
        <f>IF(M74=0,0,SUMIFS(Accounts!$M:$M,Accounts!$E:$E,'AccountSummary (New)'!M$1,Accounts!$G:$G,'AccountSummary (New)'!M$2,Accounts!$F:$F,'AccountSummary (New)'!M$3,Accounts!$W:$W,0,Accounts!$C:$C,"Customer",Accounts!$D:$D,"Prepay")/M74)</f>
        <v/>
      </c>
      <c r="N76" s="4">
        <f>IF(N74=0,0,SUMIFS(Accounts!$M:$M,Accounts!$E:$E,'AccountSummary (New)'!N$1,Accounts!$G:$G,'AccountSummary (New)'!N$2,Accounts!$F:$F,'AccountSummary (New)'!N$3,Accounts!$W:$W,0,Accounts!$C:$C,"Customer",Accounts!$D:$D,"Prepay")/N74)</f>
        <v/>
      </c>
      <c r="O76" s="4">
        <f>IF(O74=0,0,SUMIFS(Accounts!$M:$M,Accounts!$E:$E,'AccountSummary (New)'!O$1,Accounts!$G:$G,'AccountSummary (New)'!O$2,Accounts!$F:$F,'AccountSummary (New)'!O$3,Accounts!$W:$W,0,Accounts!$C:$C,"Customer",Accounts!$D:$D,"Prepay")/O74)</f>
        <v/>
      </c>
      <c r="P76" s="5">
        <f>IF(P74=0,0,SUMIFS(Accounts!$M:$M,Accounts!$F:$F,'AccountSummary (New)'!P$3,Accounts!$W:$W,0,Accounts!$C:$C,"Customer",Accounts!$D:$D,"Prepay")/P74)</f>
        <v/>
      </c>
      <c r="Q76" s="4">
        <f>IF(Q74=0,0,SUMIFS(Accounts!$M:$M,Accounts!$E:$E,'AccountSummary (New)'!Q$1,Accounts!$G:$G,'AccountSummary (New)'!Q$2,Accounts!$F:$F,'AccountSummary (New)'!Q$3,Accounts!$W:$W,0,Accounts!$C:$C,"Customer",Accounts!$D:$D,"Prepay")/Q74)</f>
        <v/>
      </c>
      <c r="R76" s="4">
        <f>IF(R74=0,0,SUMIFS(Accounts!$M:$M,Accounts!$E:$E,'AccountSummary (New)'!R$1,Accounts!$G:$G,'AccountSummary (New)'!R$2,Accounts!$F:$F,'AccountSummary (New)'!R$3,Accounts!$W:$W,0,Accounts!$C:$C,"Customer",Accounts!$D:$D,"Prepay")/R74)</f>
        <v/>
      </c>
      <c r="S76" s="4">
        <f>IF(S74=0,0,SUMIFS(Accounts!$M:$M,Accounts!$E:$E,'AccountSummary (New)'!S$1,Accounts!$G:$G,'AccountSummary (New)'!S$2,Accounts!$F:$F,'AccountSummary (New)'!S$3,Accounts!$W:$W,0,Accounts!$C:$C,"Customer",Accounts!$D:$D,"Prepay")/S74)</f>
        <v/>
      </c>
      <c r="T76" s="4">
        <f>IF(T74=0,0,SUMIFS(Accounts!$M:$M,Accounts!$E:$E,'AccountSummary (New)'!T$1,Accounts!$G:$G,'AccountSummary (New)'!T$2,Accounts!$F:$F,'AccountSummary (New)'!T$3,Accounts!$W:$W,0,Accounts!$C:$C,"Customer",Accounts!$D:$D,"Prepay")/T74)</f>
        <v/>
      </c>
      <c r="U76" s="4">
        <f>IF(U74=0,0,SUMIFS(Accounts!$M:$M,Accounts!$E:$E,'AccountSummary (New)'!U$1,Accounts!$G:$G,'AccountSummary (New)'!U$2,Accounts!$F:$F,'AccountSummary (New)'!U$3,Accounts!$W:$W,0,Accounts!$C:$C,"Customer",Accounts!$D:$D,"Prepay")/U74)</f>
        <v/>
      </c>
      <c r="V76" s="4">
        <f>IF(V74=0,0,SUMIFS(Accounts!$M:$M,Accounts!$E:$E,'AccountSummary (New)'!V$1,Accounts!$G:$G,'AccountSummary (New)'!V$2,Accounts!$F:$F,'AccountSummary (New)'!V$3,Accounts!$W:$W,0,Accounts!$C:$C,"Customer",Accounts!$D:$D,"Prepay")/V74)</f>
        <v/>
      </c>
      <c r="W76" s="5">
        <f>IF(W74=0,0,SUMIFS(Accounts!$M:$M,Accounts!$F:$F,'AccountSummary (New)'!W$3,Accounts!$W:$W,0,Accounts!$C:$C,"Customer",Accounts!$D:$D,"Prepay")/W74)</f>
        <v/>
      </c>
    </row>
    <row r="77">
      <c r="A77" s="1" t="inlineStr">
        <is>
          <t>ARPC Prepay</t>
        </is>
      </c>
      <c r="B77" s="65">
        <f>IF(B74=0,0,B78/B74)</f>
        <v/>
      </c>
      <c r="C77" s="66">
        <f>IF(C74=0,0,C78/C74)</f>
        <v/>
      </c>
      <c r="D77" s="66">
        <f>IF(D74=0,0,D78/D74)</f>
        <v/>
      </c>
      <c r="E77" s="66">
        <f>IF(E74=0,0,E78/E74)</f>
        <v/>
      </c>
      <c r="F77" s="66">
        <f>IF(F74=0,0,F78/F74)</f>
        <v/>
      </c>
      <c r="G77" s="66">
        <f>IF(G74=0,0,G78/G74)</f>
        <v/>
      </c>
      <c r="H77" s="66">
        <f>IF(H74=0,0,H78/H74)</f>
        <v/>
      </c>
      <c r="I77" s="67">
        <f>IF(I74=0,0,I78/I74)</f>
        <v/>
      </c>
      <c r="J77" s="66">
        <f>IF(J74=0,0,J78/J74)</f>
        <v/>
      </c>
      <c r="K77" s="66">
        <f>IF(K74=0,0,K78/K74)</f>
        <v/>
      </c>
      <c r="L77" s="66">
        <f>IF(L74=0,0,L78/L74)</f>
        <v/>
      </c>
      <c r="M77" s="66">
        <f>IF(M74=0,0,M78/M74)</f>
        <v/>
      </c>
      <c r="N77" s="66">
        <f>IF(N74=0,0,N78/N74)</f>
        <v/>
      </c>
      <c r="O77" s="66">
        <f>IF(O74=0,0,O78/O74)</f>
        <v/>
      </c>
      <c r="P77" s="67">
        <f>IF(P74=0,0,P78/P74)</f>
        <v/>
      </c>
      <c r="Q77" s="66">
        <f>IF(Q74=0,0,Q78/Q74)</f>
        <v/>
      </c>
      <c r="R77" s="66">
        <f>IF(R74=0,0,R78/R74)</f>
        <v/>
      </c>
      <c r="S77" s="66">
        <f>IF(S74=0,0,S78/S74)</f>
        <v/>
      </c>
      <c r="T77" s="66">
        <f>IF(T74=0,0,T78/T74)</f>
        <v/>
      </c>
      <c r="U77" s="66">
        <f>IF(U74=0,0,U78/U74)</f>
        <v/>
      </c>
      <c r="V77" s="66">
        <f>IF(V74=0,0,V78/V74)</f>
        <v/>
      </c>
      <c r="W77" s="67">
        <f>IF(W74=0,0,W78/W74)</f>
        <v/>
      </c>
    </row>
    <row r="78">
      <c r="A78" s="1" t="inlineStr">
        <is>
          <t>SaaS from Retained Prepay Customers</t>
        </is>
      </c>
      <c r="B78" s="65">
        <f>I78+P78+W78</f>
        <v/>
      </c>
      <c r="C78" s="66">
        <f>SUMIFS(Accounts!$I:$I,Accounts!$E:$E,'AccountSummary (New)'!C$1,Accounts!$G:$G,'AccountSummary (New)'!C$2,Accounts!$F:$F,'AccountSummary (New)'!C$3,Accounts!$W:$W,0,Accounts!$C:$C,"Customer",Accounts!$D:$D,"Prepay")</f>
        <v/>
      </c>
      <c r="D78" s="66">
        <f>SUMIFS(Accounts!$I:$I,Accounts!$E:$E,'AccountSummary (New)'!D$1,Accounts!$G:$G,'AccountSummary (New)'!D$2,Accounts!$F:$F,'AccountSummary (New)'!D$3,Accounts!$W:$W,0,Accounts!$C:$C,"Customer",Accounts!$D:$D,"Prepay")</f>
        <v/>
      </c>
      <c r="E78" s="66">
        <f>SUMIFS(Accounts!$I:$I,Accounts!$E:$E,'AccountSummary (New)'!E$1,Accounts!$G:$G,'AccountSummary (New)'!E$2,Accounts!$F:$F,'AccountSummary (New)'!E$3,Accounts!$W:$W,0,Accounts!$C:$C,"Customer",Accounts!$D:$D,"Prepay")</f>
        <v/>
      </c>
      <c r="F78" s="66">
        <f>SUMIFS(Accounts!$I:$I,Accounts!$E:$E,'AccountSummary (New)'!F$1,Accounts!$G:$G,'AccountSummary (New)'!F$2,Accounts!$F:$F,'AccountSummary (New)'!F$3,Accounts!$W:$W,0,Accounts!$C:$C,"Customer",Accounts!$D:$D,"Prepay")</f>
        <v/>
      </c>
      <c r="G78" s="66">
        <f>SUMIFS(Accounts!$I:$I,Accounts!$E:$E,'AccountSummary (New)'!G$1,Accounts!$G:$G,'AccountSummary (New)'!G$2,Accounts!$F:$F,'AccountSummary (New)'!G$3,Accounts!$W:$W,0,Accounts!$C:$C,"Customer",Accounts!$D:$D,"Prepay")</f>
        <v/>
      </c>
      <c r="H78" s="66">
        <f>SUMIFS(Accounts!$I:$I,Accounts!$E:$E,'AccountSummary (New)'!H$1,Accounts!$G:$G,'AccountSummary (New)'!H$2,Accounts!$F:$F,'AccountSummary (New)'!H$3,Accounts!$W:$W,0,Accounts!$C:$C,"Customer",Accounts!$D:$D,"Prepay")</f>
        <v/>
      </c>
      <c r="I78" s="67">
        <f>SUM(C78:H78)</f>
        <v/>
      </c>
      <c r="J78" s="66">
        <f>SUMIFS(Accounts!$I:$I,Accounts!$E:$E,'AccountSummary (New)'!J$1,Accounts!$G:$G,'AccountSummary (New)'!J$2,Accounts!$F:$F,'AccountSummary (New)'!J$3,Accounts!$W:$W,0,Accounts!$C:$C,"Customer",Accounts!$D:$D,"Prepay")</f>
        <v/>
      </c>
      <c r="K78" s="66">
        <f>SUMIFS(Accounts!$I:$I,Accounts!$E:$E,'AccountSummary (New)'!K$1,Accounts!$G:$G,'AccountSummary (New)'!K$2,Accounts!$F:$F,'AccountSummary (New)'!K$3,Accounts!$W:$W,0,Accounts!$C:$C,"Customer",Accounts!$D:$D,"Prepay")</f>
        <v/>
      </c>
      <c r="L78" s="66">
        <f>SUMIFS(Accounts!$I:$I,Accounts!$E:$E,'AccountSummary (New)'!L$1,Accounts!$G:$G,'AccountSummary (New)'!L$2,Accounts!$F:$F,'AccountSummary (New)'!L$3,Accounts!$W:$W,0,Accounts!$C:$C,"Customer",Accounts!$D:$D,"Prepay")</f>
        <v/>
      </c>
      <c r="M78" s="66">
        <f>SUMIFS(Accounts!$I:$I,Accounts!$E:$E,'AccountSummary (New)'!M$1,Accounts!$G:$G,'AccountSummary (New)'!M$2,Accounts!$F:$F,'AccountSummary (New)'!M$3,Accounts!$W:$W,0,Accounts!$C:$C,"Customer",Accounts!$D:$D,"Prepay")</f>
        <v/>
      </c>
      <c r="N78" s="66">
        <f>SUMIFS(Accounts!$I:$I,Accounts!$E:$E,'AccountSummary (New)'!N$1,Accounts!$G:$G,'AccountSummary (New)'!N$2,Accounts!$F:$F,'AccountSummary (New)'!N$3,Accounts!$W:$W,0,Accounts!$C:$C,"Customer",Accounts!$D:$D,"Prepay")</f>
        <v/>
      </c>
      <c r="O78" s="66">
        <f>SUMIFS(Accounts!$I:$I,Accounts!$E:$E,'AccountSummary (New)'!O$1,Accounts!$G:$G,'AccountSummary (New)'!O$2,Accounts!$F:$F,'AccountSummary (New)'!O$3,Accounts!$W:$W,0,Accounts!$C:$C,"Customer",Accounts!$D:$D,"Prepay")</f>
        <v/>
      </c>
      <c r="P78" s="67">
        <f>SUM(J78:O78)</f>
        <v/>
      </c>
      <c r="Q78" s="66">
        <f>SUMIFS(Accounts!$I:$I,Accounts!$E:$E,'AccountSummary (New)'!Q$1,Accounts!$G:$G,'AccountSummary (New)'!Q$2,Accounts!$F:$F,'AccountSummary (New)'!Q$3,Accounts!$W:$W,0,Accounts!$C:$C,"Customer",Accounts!$D:$D,"Prepay")</f>
        <v/>
      </c>
      <c r="R78" s="66">
        <f>SUMIFS(Accounts!$I:$I,Accounts!$E:$E,'AccountSummary (New)'!R$1,Accounts!$G:$G,'AccountSummary (New)'!R$2,Accounts!$F:$F,'AccountSummary (New)'!R$3,Accounts!$W:$W,0,Accounts!$C:$C,"Customer",Accounts!$D:$D,"Prepay")</f>
        <v/>
      </c>
      <c r="S78" s="66">
        <f>SUMIFS(Accounts!$I:$I,Accounts!$E:$E,'AccountSummary (New)'!S$1,Accounts!$G:$G,'AccountSummary (New)'!S$2,Accounts!$F:$F,'AccountSummary (New)'!S$3,Accounts!$W:$W,0,Accounts!$C:$C,"Customer",Accounts!$D:$D,"Prepay")</f>
        <v/>
      </c>
      <c r="T78" s="66">
        <f>SUMIFS(Accounts!$I:$I,Accounts!$E:$E,'AccountSummary (New)'!T$1,Accounts!$G:$G,'AccountSummary (New)'!T$2,Accounts!$F:$F,'AccountSummary (New)'!T$3,Accounts!$W:$W,0,Accounts!$C:$C,"Customer",Accounts!$D:$D,"Prepay")</f>
        <v/>
      </c>
      <c r="U78" s="66">
        <f>SUMIFS(Accounts!$I:$I,Accounts!$E:$E,'AccountSummary (New)'!U$1,Accounts!$G:$G,'AccountSummary (New)'!U$2,Accounts!$F:$F,'AccountSummary (New)'!U$3,Accounts!$W:$W,0,Accounts!$C:$C,"Customer",Accounts!$D:$D,"Prepay")</f>
        <v/>
      </c>
      <c r="V78" s="66">
        <f>SUMIFS(Accounts!$I:$I,Accounts!$E:$E,'AccountSummary (New)'!V$1,Accounts!$G:$G,'AccountSummary (New)'!V$2,Accounts!$F:$F,'AccountSummary (New)'!V$3,Accounts!$W:$W,0,Accounts!$C:$C,"Customer",Accounts!$D:$D,"Prepay")</f>
        <v/>
      </c>
      <c r="W78" s="67">
        <f>SUM(Q78:V78)</f>
        <v/>
      </c>
    </row>
    <row r="79">
      <c r="A79" s="1" t="inlineStr">
        <is>
          <t>SaaS from Retained Prepay % of Total</t>
        </is>
      </c>
      <c r="B79" s="21">
        <f>B78/B68</f>
        <v/>
      </c>
      <c r="C79" s="19">
        <f>C78/C68</f>
        <v/>
      </c>
      <c r="D79" s="19">
        <f>D78/D68</f>
        <v/>
      </c>
      <c r="E79" s="19">
        <f>E78/E68</f>
        <v/>
      </c>
      <c r="F79" s="19">
        <f>F78/F68</f>
        <v/>
      </c>
      <c r="G79" s="19">
        <f>G78/G68</f>
        <v/>
      </c>
      <c r="H79" s="19">
        <f>H78/H68</f>
        <v/>
      </c>
      <c r="I79" s="20">
        <f>I78/I68</f>
        <v/>
      </c>
      <c r="J79" s="19">
        <f>J78/J68</f>
        <v/>
      </c>
      <c r="K79" s="19">
        <f>K78/K68</f>
        <v/>
      </c>
      <c r="L79" s="19">
        <f>L78/L68</f>
        <v/>
      </c>
      <c r="M79" s="19">
        <f>M78/M68</f>
        <v/>
      </c>
      <c r="N79" s="19">
        <f>N78/N68</f>
        <v/>
      </c>
      <c r="O79" s="19">
        <f>O78/O68</f>
        <v/>
      </c>
      <c r="P79" s="20">
        <f>P78/P68</f>
        <v/>
      </c>
      <c r="Q79" s="19">
        <f>Q78/Q68</f>
        <v/>
      </c>
      <c r="R79" s="19">
        <f>R78/R68</f>
        <v/>
      </c>
      <c r="S79" s="19">
        <f>S78/S68</f>
        <v/>
      </c>
      <c r="T79" s="19">
        <f>T78/T68</f>
        <v/>
      </c>
      <c r="U79" s="19">
        <f>U78/U68</f>
        <v/>
      </c>
      <c r="V79" s="19">
        <f>V78/V68</f>
        <v/>
      </c>
      <c r="W79" s="20">
        <f>W78/W68</f>
        <v/>
      </c>
    </row>
    <row r="80">
      <c r="A80" s="1" t="n"/>
      <c r="B80" s="9" t="n"/>
    </row>
    <row r="81">
      <c r="A81" s="1" t="inlineStr">
        <is>
          <t>Total Paying Customers Lost</t>
        </is>
      </c>
      <c r="B81" s="9">
        <f>I81+P81+W81</f>
        <v/>
      </c>
      <c r="C81">
        <f>COUNTIFS(Accounts!$E:$E,'AccountSummary (New)'!C$1,Accounts!$G:$G,'AccountSummary (New)'!C$2,Accounts!$F:$F,'AccountSummary (New)'!C$3,Accounts!$C:$C,"Lost",Accounts!$BG:$BG,FALSE)</f>
        <v/>
      </c>
      <c r="D81">
        <f>COUNTIFS(Accounts!$E:$E,'AccountSummary (New)'!D$1,Accounts!$G:$G,'AccountSummary (New)'!D$2,Accounts!$F:$F,'AccountSummary (New)'!D$3,Accounts!$C:$C,"Lost",Accounts!$BG:$BG,FALSE)</f>
        <v/>
      </c>
      <c r="E81">
        <f>COUNTIFS(Accounts!$E:$E,'AccountSummary (New)'!E$1,Accounts!$G:$G,'AccountSummary (New)'!E$2,Accounts!$F:$F,'AccountSummary (New)'!E$3,Accounts!$C:$C,"Lost",Accounts!$BG:$BG,FALSE)</f>
        <v/>
      </c>
      <c r="F81">
        <f>COUNTIFS(Accounts!$E:$E,'AccountSummary (New)'!F$1,Accounts!$G:$G,'AccountSummary (New)'!F$2,Accounts!$F:$F,'AccountSummary (New)'!F$3,Accounts!$C:$C,"Lost",Accounts!$BG:$BG,FALSE)</f>
        <v/>
      </c>
      <c r="G81">
        <f>COUNTIFS(Accounts!$E:$E,'AccountSummary (New)'!G$1,Accounts!$G:$G,'AccountSummary (New)'!G$2,Accounts!$F:$F,'AccountSummary (New)'!G$3,Accounts!$C:$C,"Lost",Accounts!$BG:$BG,FALSE)</f>
        <v/>
      </c>
      <c r="H81">
        <f>COUNTIFS(Accounts!$E:$E,'AccountSummary (New)'!H$1,Accounts!$G:$G,'AccountSummary (New)'!H$2,Accounts!$F:$F,'AccountSummary (New)'!H$3,Accounts!$C:$C,"Lost",Accounts!$BG:$BG,FALSE)</f>
        <v/>
      </c>
      <c r="I81" s="15">
        <f>SUM(C81:H81)</f>
        <v/>
      </c>
      <c r="J81">
        <f>COUNTIFS(Accounts!$E:$E,'AccountSummary (New)'!J$1,Accounts!$G:$G,'AccountSummary (New)'!J$2,Accounts!$F:$F,'AccountSummary (New)'!J$3,Accounts!$C:$C,"Lost",Accounts!$BG:$BG,FALSE)</f>
        <v/>
      </c>
      <c r="K81">
        <f>COUNTIFS(Accounts!$E:$E,'AccountSummary (New)'!K$1,Accounts!$G:$G,'AccountSummary (New)'!K$2,Accounts!$F:$F,'AccountSummary (New)'!K$3,Accounts!$C:$C,"Lost",Accounts!$BG:$BG,FALSE)</f>
        <v/>
      </c>
      <c r="L81">
        <f>COUNTIFS(Accounts!$E:$E,'AccountSummary (New)'!L$1,Accounts!$G:$G,'AccountSummary (New)'!L$2,Accounts!$F:$F,'AccountSummary (New)'!L$3,Accounts!$C:$C,"Lost",Accounts!$BG:$BG,FALSE)</f>
        <v/>
      </c>
      <c r="M81">
        <f>COUNTIFS(Accounts!$E:$E,'AccountSummary (New)'!M$1,Accounts!$G:$G,'AccountSummary (New)'!M$2,Accounts!$F:$F,'AccountSummary (New)'!M$3,Accounts!$C:$C,"Lost",Accounts!$BG:$BG,FALSE)</f>
        <v/>
      </c>
      <c r="N81">
        <f>COUNTIFS(Accounts!$E:$E,'AccountSummary (New)'!N$1,Accounts!$G:$G,'AccountSummary (New)'!N$2,Accounts!$F:$F,'AccountSummary (New)'!N$3,Accounts!$C:$C,"Lost",Accounts!$BG:$BG,FALSE)</f>
        <v/>
      </c>
      <c r="O81">
        <f>COUNTIFS(Accounts!$E:$E,'AccountSummary (New)'!O$1,Accounts!$G:$G,'AccountSummary (New)'!O$2,Accounts!$F:$F,'AccountSummary (New)'!O$3,Accounts!$C:$C,"Lost",Accounts!$BG:$BG,FALSE)</f>
        <v/>
      </c>
      <c r="P81" s="15">
        <f>SUM(J81:O81)</f>
        <v/>
      </c>
      <c r="Q81">
        <f>COUNTIFS(Accounts!$E:$E,'AccountSummary (New)'!Q$1,Accounts!$G:$G,'AccountSummary (New)'!Q$2,Accounts!$F:$F,'AccountSummary (New)'!Q$3,Accounts!$C:$C,"Lost",Accounts!$BG:$BG,FALSE)</f>
        <v/>
      </c>
      <c r="R81">
        <f>COUNTIFS(Accounts!$E:$E,'AccountSummary (New)'!R$1,Accounts!$G:$G,'AccountSummary (New)'!R$2,Accounts!$F:$F,'AccountSummary (New)'!R$3,Accounts!$C:$C,"Lost",Accounts!$BG:$BG,FALSE)</f>
        <v/>
      </c>
      <c r="S81">
        <f>COUNTIFS(Accounts!$E:$E,'AccountSummary (New)'!S$1,Accounts!$G:$G,'AccountSummary (New)'!S$2,Accounts!$F:$F,'AccountSummary (New)'!S$3,Accounts!$C:$C,"Lost",Accounts!$BG:$BG,FALSE)</f>
        <v/>
      </c>
      <c r="T81">
        <f>COUNTIFS(Accounts!$E:$E,'AccountSummary (New)'!T$1,Accounts!$G:$G,'AccountSummary (New)'!T$2,Accounts!$F:$F,'AccountSummary (New)'!T$3,Accounts!$C:$C,"Lost",Accounts!$BG:$BG,FALSE)</f>
        <v/>
      </c>
      <c r="U81">
        <f>COUNTIFS(Accounts!$E:$E,'AccountSummary (New)'!U$1,Accounts!$G:$G,'AccountSummary (New)'!U$2,Accounts!$F:$F,'AccountSummary (New)'!U$3,Accounts!$C:$C,"Lost",Accounts!$BG:$BG,FALSE)</f>
        <v/>
      </c>
      <c r="V81">
        <f>COUNTIFS(Accounts!$E:$E,'AccountSummary (New)'!V$1,Accounts!$G:$G,'AccountSummary (New)'!V$2,Accounts!$F:$F,'AccountSummary (New)'!V$3,Accounts!$C:$C,"Lost",Accounts!$BG:$BG,FALSE)</f>
        <v/>
      </c>
      <c r="W81" s="15">
        <f>SUM(Q81:V81)</f>
        <v/>
      </c>
    </row>
    <row r="82">
      <c r="A82" s="1" t="inlineStr">
        <is>
          <t>Lost who paid %</t>
        </is>
      </c>
      <c r="B82" s="11">
        <f>IF(B81=0,0,B83/B81)</f>
        <v/>
      </c>
      <c r="C82" s="8">
        <f>IF(C81=0,0,C83/C81)</f>
        <v/>
      </c>
      <c r="D82" s="8">
        <f>IF(D81=0,0,D83/D81)</f>
        <v/>
      </c>
      <c r="E82" s="8">
        <f>IF(E81=0,0,E83/E81)</f>
        <v/>
      </c>
      <c r="F82" s="8">
        <f>IF(F81=0,0,F83/F81)</f>
        <v/>
      </c>
      <c r="G82" s="8">
        <f>IF(G81=0,0,G83/G81)</f>
        <v/>
      </c>
      <c r="H82" s="8">
        <f>IF(H81=0,0,H83/H81)</f>
        <v/>
      </c>
      <c r="I82" s="20">
        <f>IF(I81=0,0,I83/I81)</f>
        <v/>
      </c>
      <c r="J82" s="8">
        <f>IF(J81=0,0,J83/J81)</f>
        <v/>
      </c>
      <c r="K82" s="8">
        <f>IF(K81=0,0,K83/K81)</f>
        <v/>
      </c>
      <c r="L82" s="8">
        <f>IF(L81=0,0,L83/L81)</f>
        <v/>
      </c>
      <c r="M82" s="8">
        <f>IF(M81=0,0,M83/M81)</f>
        <v/>
      </c>
      <c r="N82" s="8">
        <f>IF(N81=0,0,N83/N81)</f>
        <v/>
      </c>
      <c r="O82" s="8">
        <f>IF(O81=0,0,O83/O81)</f>
        <v/>
      </c>
      <c r="P82" s="20">
        <f>IF(P81=0,0,P83/P81)</f>
        <v/>
      </c>
      <c r="Q82" s="8">
        <f>IF(Q81=0,0,Q83/Q81)</f>
        <v/>
      </c>
      <c r="R82" s="8">
        <f>IF(R81=0,0,R83/R81)</f>
        <v/>
      </c>
      <c r="S82" s="8">
        <f>IF(S81=0,0,S83/S81)</f>
        <v/>
      </c>
      <c r="T82" s="8">
        <f>IF(T81=0,0,T83/T81)</f>
        <v/>
      </c>
      <c r="U82" s="8">
        <f>IF(U81=0,0,U83/U81)</f>
        <v/>
      </c>
      <c r="V82" s="8">
        <f>IF(V81=0,0,V83/V81)</f>
        <v/>
      </c>
      <c r="W82" s="20">
        <f>IF(W81=0,0,W83/W81)</f>
        <v/>
      </c>
    </row>
    <row r="83">
      <c r="A83" s="1" t="inlineStr">
        <is>
          <t>Lost who paid Count</t>
        </is>
      </c>
      <c r="B83" s="9">
        <f>I83+P83+W83</f>
        <v/>
      </c>
      <c r="C83">
        <f>COUNTIFS(Accounts!$E:$E,'AccountSummary (New)'!C$1,Accounts!$G:$G,'AccountSummary (New)'!C$2,Accounts!$F:$F,'AccountSummary (New)'!C$3,Accounts!$B:$B,"Customer",Accounts!$C:$C,"Lost",Accounts!$I:$I,"&gt;"&amp;0)</f>
        <v/>
      </c>
      <c r="D83">
        <f>COUNTIFS(Accounts!$E:$E,'AccountSummary (New)'!D$1,Accounts!$G:$G,'AccountSummary (New)'!D$2,Accounts!$F:$F,'AccountSummary (New)'!D$3,Accounts!$B:$B,"Customer",Accounts!$C:$C,"Lost",Accounts!$I:$I,"&gt;"&amp;0)</f>
        <v/>
      </c>
      <c r="E83">
        <f>COUNTIFS(Accounts!$E:$E,'AccountSummary (New)'!E$1,Accounts!$G:$G,'AccountSummary (New)'!E$2,Accounts!$F:$F,'AccountSummary (New)'!E$3,Accounts!$B:$B,"Customer",Accounts!$C:$C,"Lost",Accounts!$I:$I,"&gt;"&amp;0)</f>
        <v/>
      </c>
      <c r="F83">
        <f>COUNTIFS(Accounts!$E:$E,'AccountSummary (New)'!F$1,Accounts!$G:$G,'AccountSummary (New)'!F$2,Accounts!$F:$F,'AccountSummary (New)'!F$3,Accounts!$B:$B,"Customer",Accounts!$C:$C,"Lost",Accounts!$I:$I,"&gt;"&amp;0)</f>
        <v/>
      </c>
      <c r="G83">
        <f>COUNTIFS(Accounts!$E:$E,'AccountSummary (New)'!G$1,Accounts!$G:$G,'AccountSummary (New)'!G$2,Accounts!$F:$F,'AccountSummary (New)'!G$3,Accounts!$B:$B,"Customer",Accounts!$C:$C,"Lost",Accounts!$I:$I,"&gt;"&amp;0)</f>
        <v/>
      </c>
      <c r="H83">
        <f>COUNTIFS(Accounts!$E:$E,'AccountSummary (New)'!H$1,Accounts!$G:$G,'AccountSummary (New)'!H$2,Accounts!$F:$F,'AccountSummary (New)'!H$3,Accounts!$B:$B,"Customer",Accounts!$C:$C,"Lost",Accounts!$I:$I,"&gt;"&amp;0)</f>
        <v/>
      </c>
      <c r="I83" s="15">
        <f>SUM(C83:H83)</f>
        <v/>
      </c>
      <c r="J83">
        <f>COUNTIFS(Accounts!$E:$E,'AccountSummary (New)'!J$1,Accounts!$G:$G,'AccountSummary (New)'!J$2,Accounts!$F:$F,'AccountSummary (New)'!J$3,Accounts!$B:$B,"Customer",Accounts!$C:$C,"Lost",Accounts!$I:$I,"&gt;"&amp;0)</f>
        <v/>
      </c>
      <c r="K83">
        <f>COUNTIFS(Accounts!$E:$E,'AccountSummary (New)'!K$1,Accounts!$G:$G,'AccountSummary (New)'!K$2,Accounts!$F:$F,'AccountSummary (New)'!K$3,Accounts!$B:$B,"Customer",Accounts!$C:$C,"Lost",Accounts!$I:$I,"&gt;"&amp;0)</f>
        <v/>
      </c>
      <c r="L83">
        <f>COUNTIFS(Accounts!$E:$E,'AccountSummary (New)'!L$1,Accounts!$G:$G,'AccountSummary (New)'!L$2,Accounts!$F:$F,'AccountSummary (New)'!L$3,Accounts!$B:$B,"Customer",Accounts!$C:$C,"Lost",Accounts!$I:$I,"&gt;"&amp;0)</f>
        <v/>
      </c>
      <c r="M83">
        <f>COUNTIFS(Accounts!$E:$E,'AccountSummary (New)'!M$1,Accounts!$G:$G,'AccountSummary (New)'!M$2,Accounts!$F:$F,'AccountSummary (New)'!M$3,Accounts!$B:$B,"Customer",Accounts!$C:$C,"Lost",Accounts!$I:$I,"&gt;"&amp;0)</f>
        <v/>
      </c>
      <c r="N83">
        <f>COUNTIFS(Accounts!$E:$E,'AccountSummary (New)'!N$1,Accounts!$G:$G,'AccountSummary (New)'!N$2,Accounts!$F:$F,'AccountSummary (New)'!N$3,Accounts!$B:$B,"Customer",Accounts!$C:$C,"Lost",Accounts!$I:$I,"&gt;"&amp;0)</f>
        <v/>
      </c>
      <c r="O83">
        <f>COUNTIFS(Accounts!$E:$E,'AccountSummary (New)'!O$1,Accounts!$G:$G,'AccountSummary (New)'!O$2,Accounts!$F:$F,'AccountSummary (New)'!O$3,Accounts!$B:$B,"Customer",Accounts!$C:$C,"Lost",Accounts!$I:$I,"&gt;"&amp;0)</f>
        <v/>
      </c>
      <c r="P83" s="15">
        <f>SUM(J83:O83)</f>
        <v/>
      </c>
      <c r="Q83">
        <f>COUNTIFS(Accounts!$E:$E,'AccountSummary (New)'!Q$1,Accounts!$G:$G,'AccountSummary (New)'!Q$2,Accounts!$F:$F,'AccountSummary (New)'!Q$3,Accounts!$B:$B,"Customer",Accounts!$C:$C,"Lost",Accounts!$I:$I,"&gt;"&amp;0)</f>
        <v/>
      </c>
      <c r="R83">
        <f>COUNTIFS(Accounts!$E:$E,'AccountSummary (New)'!R$1,Accounts!$G:$G,'AccountSummary (New)'!R$2,Accounts!$F:$F,'AccountSummary (New)'!R$3,Accounts!$B:$B,"Customer",Accounts!$C:$C,"Lost",Accounts!$I:$I,"&gt;"&amp;0)</f>
        <v/>
      </c>
      <c r="S83">
        <f>COUNTIFS(Accounts!$E:$E,'AccountSummary (New)'!S$1,Accounts!$G:$G,'AccountSummary (New)'!S$2,Accounts!$F:$F,'AccountSummary (New)'!S$3,Accounts!$B:$B,"Customer",Accounts!$C:$C,"Lost",Accounts!$I:$I,"&gt;"&amp;0)</f>
        <v/>
      </c>
      <c r="T83">
        <f>COUNTIFS(Accounts!$E:$E,'AccountSummary (New)'!T$1,Accounts!$G:$G,'AccountSummary (New)'!T$2,Accounts!$F:$F,'AccountSummary (New)'!T$3,Accounts!$B:$B,"Customer",Accounts!$C:$C,"Lost",Accounts!$I:$I,"&gt;"&amp;0)</f>
        <v/>
      </c>
      <c r="U83">
        <f>COUNTIFS(Accounts!$E:$E,'AccountSummary (New)'!U$1,Accounts!$G:$G,'AccountSummary (New)'!U$2,Accounts!$F:$F,'AccountSummary (New)'!U$3,Accounts!$B:$B,"Customer",Accounts!$C:$C,"Lost",Accounts!$I:$I,"&gt;"&amp;0)</f>
        <v/>
      </c>
      <c r="V83">
        <f>COUNTIFS(Accounts!$E:$E,'AccountSummary (New)'!V$1,Accounts!$G:$G,'AccountSummary (New)'!V$2,Accounts!$F:$F,'AccountSummary (New)'!V$3,Accounts!$B:$B,"Customer",Accounts!$C:$C,"Lost",Accounts!$I:$I,"&gt;"&amp;0)</f>
        <v/>
      </c>
      <c r="W83" s="15">
        <f>SUM(Q83:V83)</f>
        <v/>
      </c>
    </row>
    <row r="84">
      <c r="A84" s="1" t="inlineStr">
        <is>
          <t>ARPC lost who paid</t>
        </is>
      </c>
      <c r="B84" s="68">
        <f>IF(B83=0,0,B85/B83)</f>
        <v/>
      </c>
      <c r="C84" s="66">
        <f>IF(C81=0,0,C85/C81)</f>
        <v/>
      </c>
      <c r="D84" s="66">
        <f>IF(D81=0,0,D85/D81)</f>
        <v/>
      </c>
      <c r="E84" s="66">
        <f>IF(E81=0,0,E85/E81)</f>
        <v/>
      </c>
      <c r="F84" s="66">
        <f>IF(F81=0,0,F85/F81)</f>
        <v/>
      </c>
      <c r="G84" s="66">
        <f>IF(G81=0,0,G85/G81)</f>
        <v/>
      </c>
      <c r="H84" s="66">
        <f>IF(H81=0,0,H85/H81)</f>
        <v/>
      </c>
      <c r="I84" s="67">
        <f>IF(I83=0,0,I85/I83)</f>
        <v/>
      </c>
      <c r="J84" s="66">
        <f>IF(J81=0,0,J85/J81)</f>
        <v/>
      </c>
      <c r="K84" s="66">
        <f>IF(K81=0,0,K85/K81)</f>
        <v/>
      </c>
      <c r="L84" s="66">
        <f>IF(L81=0,0,L85/L81)</f>
        <v/>
      </c>
      <c r="M84" s="66">
        <f>IF(M81=0,0,M85/M81)</f>
        <v/>
      </c>
      <c r="N84" s="66">
        <f>IF(N81=0,0,N85/N81)</f>
        <v/>
      </c>
      <c r="O84" s="66">
        <f>IF(O81=0,0,O85/O81)</f>
        <v/>
      </c>
      <c r="P84" s="67">
        <f>IF(P83=0,0,P85/P83)</f>
        <v/>
      </c>
      <c r="Q84" s="66">
        <f>IF(Q81=0,0,Q85/Q81)</f>
        <v/>
      </c>
      <c r="R84" s="66">
        <f>IF(R81=0,0,R85/R81)</f>
        <v/>
      </c>
      <c r="S84" s="66">
        <f>IF(S81=0,0,S85/S81)</f>
        <v/>
      </c>
      <c r="T84" s="66">
        <f>IF(T81=0,0,T85/T81)</f>
        <v/>
      </c>
      <c r="U84" s="66">
        <f>IF(U81=0,0,U85/U81)</f>
        <v/>
      </c>
      <c r="V84" s="66">
        <f>IF(V81=0,0,V85/V81)</f>
        <v/>
      </c>
      <c r="W84" s="67">
        <f>IF(W83=0,0,W85/W83)</f>
        <v/>
      </c>
    </row>
    <row r="85">
      <c r="A85" s="7" t="inlineStr">
        <is>
          <t>SaaS from Lost Customers</t>
        </is>
      </c>
      <c r="B85" s="65">
        <f>I85+P85+W85</f>
        <v/>
      </c>
      <c r="C85" s="66">
        <f>SUMIFS(Accounts!$I:$I,Accounts!$E:$E,'AccountSummary (New)'!C$1,Accounts!$G:$G,'AccountSummary (New)'!C$2,Accounts!$F:$F,'AccountSummary (New)'!C$3,Accounts!$W:$W,0,Accounts!$C:$C,"Lost")</f>
        <v/>
      </c>
      <c r="D85" s="66">
        <f>SUMIFS(Accounts!$I:$I,Accounts!$E:$E,'AccountSummary (New)'!D$1,Accounts!$G:$G,'AccountSummary (New)'!D$2,Accounts!$F:$F,'AccountSummary (New)'!D$3,Accounts!$W:$W,0,Accounts!$C:$C,"Lost")</f>
        <v/>
      </c>
      <c r="E85" s="66">
        <f>SUMIFS(Accounts!$I:$I,Accounts!$E:$E,'AccountSummary (New)'!E$1,Accounts!$G:$G,'AccountSummary (New)'!E$2,Accounts!$F:$F,'AccountSummary (New)'!E$3,Accounts!$W:$W,0,Accounts!$C:$C,"Lost")</f>
        <v/>
      </c>
      <c r="F85" s="66">
        <f>SUMIFS(Accounts!$I:$I,Accounts!$E:$E,'AccountSummary (New)'!F$1,Accounts!$G:$G,'AccountSummary (New)'!F$2,Accounts!$F:$F,'AccountSummary (New)'!F$3,Accounts!$W:$W,0,Accounts!$C:$C,"Lost")</f>
        <v/>
      </c>
      <c r="G85" s="66">
        <f>SUMIFS(Accounts!$I:$I,Accounts!$E:$E,'AccountSummary (New)'!G$1,Accounts!$G:$G,'AccountSummary (New)'!G$2,Accounts!$F:$F,'AccountSummary (New)'!G$3,Accounts!$W:$W,0,Accounts!$C:$C,"Lost")</f>
        <v/>
      </c>
      <c r="H85" s="66">
        <f>SUMIFS(Accounts!$I:$I,Accounts!$E:$E,'AccountSummary (New)'!H$1,Accounts!$G:$G,'AccountSummary (New)'!H$2,Accounts!$F:$F,'AccountSummary (New)'!H$3,Accounts!$W:$W,0,Accounts!$C:$C,"Lost")</f>
        <v/>
      </c>
      <c r="I85" s="67">
        <f>SUM(C85:H85)</f>
        <v/>
      </c>
      <c r="J85" s="66">
        <f>SUMIFS(Accounts!$I:$I,Accounts!$E:$E,'AccountSummary (New)'!J$1,Accounts!$G:$G,'AccountSummary (New)'!J$2,Accounts!$F:$F,'AccountSummary (New)'!J$3,Accounts!$W:$W,0,Accounts!$C:$C,"Lost")</f>
        <v/>
      </c>
      <c r="K85" s="66">
        <f>SUMIFS(Accounts!$I:$I,Accounts!$E:$E,'AccountSummary (New)'!K$1,Accounts!$G:$G,'AccountSummary (New)'!K$2,Accounts!$F:$F,'AccountSummary (New)'!K$3,Accounts!$W:$W,0,Accounts!$C:$C,"Lost")</f>
        <v/>
      </c>
      <c r="L85" s="66">
        <f>SUMIFS(Accounts!$I:$I,Accounts!$E:$E,'AccountSummary (New)'!L$1,Accounts!$G:$G,'AccountSummary (New)'!L$2,Accounts!$F:$F,'AccountSummary (New)'!L$3,Accounts!$W:$W,0,Accounts!$C:$C,"Lost")</f>
        <v/>
      </c>
      <c r="M85" s="66">
        <f>SUMIFS(Accounts!$I:$I,Accounts!$E:$E,'AccountSummary (New)'!M$1,Accounts!$G:$G,'AccountSummary (New)'!M$2,Accounts!$F:$F,'AccountSummary (New)'!M$3,Accounts!$W:$W,0,Accounts!$C:$C,"Lost")</f>
        <v/>
      </c>
      <c r="N85" s="66">
        <f>SUMIFS(Accounts!$I:$I,Accounts!$E:$E,'AccountSummary (New)'!N$1,Accounts!$G:$G,'AccountSummary (New)'!N$2,Accounts!$F:$F,'AccountSummary (New)'!N$3,Accounts!$W:$W,0,Accounts!$C:$C,"Lost")</f>
        <v/>
      </c>
      <c r="O85" s="66">
        <f>SUMIFS(Accounts!$I:$I,Accounts!$E:$E,'AccountSummary (New)'!O$1,Accounts!$G:$G,'AccountSummary (New)'!O$2,Accounts!$F:$F,'AccountSummary (New)'!O$3,Accounts!$W:$W,0,Accounts!$C:$C,"Lost")</f>
        <v/>
      </c>
      <c r="P85" s="67">
        <f>SUM(J85:O85)</f>
        <v/>
      </c>
      <c r="Q85" s="66">
        <f>SUMIFS(Accounts!$I:$I,Accounts!$E:$E,'AccountSummary (New)'!Q$1,Accounts!$G:$G,'AccountSummary (New)'!Q$2,Accounts!$F:$F,'AccountSummary (New)'!Q$3,Accounts!$W:$W,0,Accounts!$C:$C,"Lost")</f>
        <v/>
      </c>
      <c r="R85" s="66">
        <f>SUMIFS(Accounts!$I:$I,Accounts!$E:$E,'AccountSummary (New)'!R$1,Accounts!$G:$G,'AccountSummary (New)'!R$2,Accounts!$F:$F,'AccountSummary (New)'!R$3,Accounts!$W:$W,0,Accounts!$C:$C,"Lost")</f>
        <v/>
      </c>
      <c r="S85" s="66">
        <f>SUMIFS(Accounts!$I:$I,Accounts!$E:$E,'AccountSummary (New)'!S$1,Accounts!$G:$G,'AccountSummary (New)'!S$2,Accounts!$F:$F,'AccountSummary (New)'!S$3,Accounts!$W:$W,0,Accounts!$C:$C,"Lost")</f>
        <v/>
      </c>
      <c r="T85" s="66">
        <f>SUMIFS(Accounts!$I:$I,Accounts!$E:$E,'AccountSummary (New)'!T$1,Accounts!$G:$G,'AccountSummary (New)'!T$2,Accounts!$F:$F,'AccountSummary (New)'!T$3,Accounts!$W:$W,0,Accounts!$C:$C,"Lost")</f>
        <v/>
      </c>
      <c r="U85" s="66">
        <f>SUMIFS(Accounts!$I:$I,Accounts!$E:$E,'AccountSummary (New)'!U$1,Accounts!$G:$G,'AccountSummary (New)'!U$2,Accounts!$F:$F,'AccountSummary (New)'!U$3,Accounts!$W:$W,0,Accounts!$C:$C,"Lost")</f>
        <v/>
      </c>
      <c r="V85" s="66">
        <f>SUMIFS(Accounts!$I:$I,Accounts!$E:$E,'AccountSummary (New)'!V$1,Accounts!$G:$G,'AccountSummary (New)'!V$2,Accounts!$F:$F,'AccountSummary (New)'!V$3,Accounts!$W:$W,0,Accounts!$C:$C,"Lost")</f>
        <v/>
      </c>
      <c r="W85" s="67">
        <f>SUM(Q85:V85)</f>
        <v/>
      </c>
    </row>
    <row r="86">
      <c r="A86" s="1" t="n"/>
    </row>
    <row r="87">
      <c r="A87" s="1" t="inlineStr">
        <is>
          <t>SaaS from Trialers</t>
        </is>
      </c>
      <c r="B87" s="66">
        <f>I87+P87+W87</f>
        <v/>
      </c>
      <c r="C87" s="66">
        <f>C11</f>
        <v/>
      </c>
      <c r="D87" s="66">
        <f>D11</f>
        <v/>
      </c>
      <c r="E87" s="66">
        <f>E11</f>
        <v/>
      </c>
      <c r="F87" s="66">
        <f>F11</f>
        <v/>
      </c>
      <c r="G87" s="66">
        <f>G11</f>
        <v/>
      </c>
      <c r="H87" s="66">
        <f>H11</f>
        <v/>
      </c>
      <c r="I87" s="67">
        <f>SUM(C87:H87)</f>
        <v/>
      </c>
      <c r="J87" s="66">
        <f>J11</f>
        <v/>
      </c>
      <c r="K87" s="66">
        <f>K11</f>
        <v/>
      </c>
      <c r="L87" s="66">
        <f>L11</f>
        <v/>
      </c>
      <c r="M87" s="66">
        <f>M11</f>
        <v/>
      </c>
      <c r="N87" s="66">
        <f>N11</f>
        <v/>
      </c>
      <c r="O87" s="66">
        <f>O11</f>
        <v/>
      </c>
      <c r="P87" s="67">
        <f>SUM(J87:O87)</f>
        <v/>
      </c>
      <c r="Q87" s="66">
        <f>Q11</f>
        <v/>
      </c>
      <c r="R87" s="66">
        <f>R11</f>
        <v/>
      </c>
      <c r="S87" s="66">
        <f>S11</f>
        <v/>
      </c>
      <c r="T87" s="66">
        <f>T11</f>
        <v/>
      </c>
      <c r="U87" s="66">
        <f>U11</f>
        <v/>
      </c>
      <c r="V87" s="66">
        <f>V11</f>
        <v/>
      </c>
      <c r="W87" s="67">
        <f>SUM(Q87:V87)</f>
        <v/>
      </c>
    </row>
    <row r="88">
      <c r="A88" s="1" t="inlineStr">
        <is>
          <t>SaaS from Retained Customers</t>
        </is>
      </c>
      <c r="B88" s="66">
        <f>I88+P88+W88</f>
        <v/>
      </c>
      <c r="C88" s="66">
        <f>C68</f>
        <v/>
      </c>
      <c r="D88" s="66">
        <f>D68</f>
        <v/>
      </c>
      <c r="E88" s="66">
        <f>E68</f>
        <v/>
      </c>
      <c r="F88" s="66">
        <f>F68</f>
        <v/>
      </c>
      <c r="G88" s="66">
        <f>G68</f>
        <v/>
      </c>
      <c r="H88" s="66">
        <f>H68</f>
        <v/>
      </c>
      <c r="I88" s="67">
        <f>SUM(C88:H88)</f>
        <v/>
      </c>
      <c r="J88" s="66">
        <f>J68</f>
        <v/>
      </c>
      <c r="K88" s="66">
        <f>K68</f>
        <v/>
      </c>
      <c r="L88" s="66">
        <f>L68</f>
        <v/>
      </c>
      <c r="M88" s="66">
        <f>M68</f>
        <v/>
      </c>
      <c r="N88" s="66">
        <f>N68</f>
        <v/>
      </c>
      <c r="O88" s="66">
        <f>O68</f>
        <v/>
      </c>
      <c r="P88" s="67">
        <f>SUM(J88:O88)</f>
        <v/>
      </c>
      <c r="Q88" s="66">
        <f>Q68</f>
        <v/>
      </c>
      <c r="R88" s="66">
        <f>R68</f>
        <v/>
      </c>
      <c r="S88" s="66">
        <f>S68</f>
        <v/>
      </c>
      <c r="T88" s="66">
        <f>T68</f>
        <v/>
      </c>
      <c r="U88" s="66">
        <f>U68</f>
        <v/>
      </c>
      <c r="V88" s="66">
        <f>V68</f>
        <v/>
      </c>
      <c r="W88" s="67">
        <f>SUM(Q88:V88)</f>
        <v/>
      </c>
    </row>
    <row r="89">
      <c r="A89" s="1" t="inlineStr">
        <is>
          <t>SaaS from Lost Customers</t>
        </is>
      </c>
      <c r="B89" s="66">
        <f>I89+P89+W89</f>
        <v/>
      </c>
      <c r="C89" s="66">
        <f>C85</f>
        <v/>
      </c>
      <c r="D89" s="66">
        <f>D85</f>
        <v/>
      </c>
      <c r="E89" s="66">
        <f>E85</f>
        <v/>
      </c>
      <c r="F89" s="66">
        <f>F85</f>
        <v/>
      </c>
      <c r="G89" s="66">
        <f>G85</f>
        <v/>
      </c>
      <c r="H89" s="66">
        <f>H85</f>
        <v/>
      </c>
      <c r="I89" s="67">
        <f>SUM(C89:H89)</f>
        <v/>
      </c>
      <c r="J89" s="66">
        <f>J85</f>
        <v/>
      </c>
      <c r="K89" s="66">
        <f>K85</f>
        <v/>
      </c>
      <c r="L89" s="66">
        <f>L85</f>
        <v/>
      </c>
      <c r="M89" s="66">
        <f>M85</f>
        <v/>
      </c>
      <c r="N89" s="66">
        <f>N85</f>
        <v/>
      </c>
      <c r="O89" s="66">
        <f>O85</f>
        <v/>
      </c>
      <c r="P89" s="67">
        <f>SUM(J89:O89)</f>
        <v/>
      </c>
      <c r="Q89" s="66">
        <f>Q85</f>
        <v/>
      </c>
      <c r="R89" s="66">
        <f>R85</f>
        <v/>
      </c>
      <c r="S89" s="66">
        <f>S85</f>
        <v/>
      </c>
      <c r="T89" s="66">
        <f>T85</f>
        <v/>
      </c>
      <c r="U89" s="66">
        <f>U85</f>
        <v/>
      </c>
      <c r="V89" s="66">
        <f>V85</f>
        <v/>
      </c>
      <c r="W89" s="67">
        <f>SUM(Q89:V89)</f>
        <v/>
      </c>
    </row>
    <row r="90">
      <c r="A90" s="1" t="n"/>
    </row>
    <row r="91">
      <c r="A91" s="7" t="inlineStr">
        <is>
          <t>Total Saas (Gross)</t>
        </is>
      </c>
      <c r="B91" s="66">
        <f>I91+P91+W91</f>
        <v/>
      </c>
      <c r="C91" s="66">
        <f>C87+C88+C89</f>
        <v/>
      </c>
      <c r="D91" s="66">
        <f>D87+D88+D89</f>
        <v/>
      </c>
      <c r="E91" s="66">
        <f>E87+E88+E89</f>
        <v/>
      </c>
      <c r="F91" s="66">
        <f>F87+F88+F89</f>
        <v/>
      </c>
      <c r="G91" s="66">
        <f>G87+G88+G89</f>
        <v/>
      </c>
      <c r="H91" s="66">
        <f>H87+H88+H89</f>
        <v/>
      </c>
      <c r="I91" s="67">
        <f>SUM(C91:H91)</f>
        <v/>
      </c>
      <c r="J91" s="66">
        <f>J87+J88+J89</f>
        <v/>
      </c>
      <c r="K91" s="66">
        <f>K87+K88+K89</f>
        <v/>
      </c>
      <c r="L91" s="66">
        <f>L87+L88+L89</f>
        <v/>
      </c>
      <c r="M91" s="66">
        <f>M87+M88+M89</f>
        <v/>
      </c>
      <c r="N91" s="66">
        <f>N87+N88+N89</f>
        <v/>
      </c>
      <c r="O91" s="66">
        <f>O87+O88+O89</f>
        <v/>
      </c>
      <c r="P91" s="67">
        <f>SUM(J91:O91)</f>
        <v/>
      </c>
      <c r="Q91" s="66">
        <f>Q87+Q88+Q89</f>
        <v/>
      </c>
      <c r="R91" s="66">
        <f>R87+R88+R89</f>
        <v/>
      </c>
      <c r="S91" s="66">
        <f>S87+S88+S89</f>
        <v/>
      </c>
      <c r="T91" s="66">
        <f>T87+T88+T89</f>
        <v/>
      </c>
      <c r="U91" s="66">
        <f>U87+U88+U89</f>
        <v/>
      </c>
      <c r="V91" s="66">
        <f>V87+V88+V89</f>
        <v/>
      </c>
      <c r="W91" s="67">
        <f>SUM(Q91:V91)</f>
        <v/>
      </c>
    </row>
  </sheetData>
  <pageMargins left="0.7" right="0.7" top="0.75" bottom="0.75" header="0.3" footer="0.3"/>
  <pageSetup orientation="portrait" paperSize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3"/>
  <sheetViews>
    <sheetView tabSelected="1" workbookViewId="0">
      <pane xSplit="1" ySplit="3" topLeftCell="H4" activePane="bottomRight" state="frozen"/>
      <selection pane="topRight" activeCell="B1" sqref="B1"/>
      <selection pane="bottomLeft" activeCell="A4" sqref="A4"/>
      <selection pane="bottomRight" activeCell="V5" sqref="V5"/>
    </sheetView>
  </sheetViews>
  <sheetFormatPr baseColWidth="10" defaultColWidth="8.6640625" defaultRowHeight="15"/>
  <cols>
    <col width="37" customWidth="1" min="1" max="1"/>
    <col width="12.33203125" bestFit="1" customWidth="1" min="2" max="8"/>
    <col width="12.33203125" bestFit="1" customWidth="1" style="15" min="9" max="9"/>
    <col width="12.33203125" bestFit="1" customWidth="1" min="10" max="15"/>
    <col width="12.33203125" bestFit="1" customWidth="1" style="15" min="16" max="16"/>
    <col width="12.33203125" bestFit="1" customWidth="1" min="17" max="19"/>
    <col width="12.5" bestFit="1" customWidth="1" min="20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>
      <c r="A4" s="1" t="inlineStr">
        <is>
          <t>*Trialers*</t>
        </is>
      </c>
      <c r="D4" s="4" t="n"/>
    </row>
    <row r="5">
      <c r="A5" s="1" t="inlineStr">
        <is>
          <t>Trials started this month</t>
        </is>
      </c>
      <c r="B5">
        <f>I5+P5+W5</f>
        <v/>
      </c>
      <c r="C5">
        <f>COUNTIFS(Accounts!$E:$E,C$1,Accounts!$G:$G,C$2,Accounts!$F:$F,C$3,Accounts!$B:$B,"none",Accounts!$BF:$BF,FALSE)</f>
        <v/>
      </c>
      <c r="D5">
        <f>COUNTIFS(Accounts!$E:$E,D$1,Accounts!$G:$G,D$2,Accounts!$F:$F,D$3,Accounts!$B:$B,"none",Accounts!$BF:$BF,FALSE)</f>
        <v/>
      </c>
      <c r="E5">
        <f>COUNTIFS(Accounts!$E:$E,E$1,Accounts!$G:$G,E$2,Accounts!$F:$F,E$3,Accounts!$B:$B,"none",Accounts!$BF:$BF,FALSE)</f>
        <v/>
      </c>
      <c r="F5">
        <f>COUNTIFS(Accounts!$E:$E,F$1,Accounts!$G:$G,F$2,Accounts!$F:$F,F$3,Accounts!$B:$B,"none",Accounts!$BF:$BF,FALSE)</f>
        <v/>
      </c>
      <c r="G5">
        <f>COUNTIFS(Accounts!$E:$E,G$1,Accounts!$G:$G,G$2,Accounts!$F:$F,G$3,Accounts!$B:$B,"none",Accounts!$BF:$BF,FALSE)</f>
        <v/>
      </c>
      <c r="H5">
        <f>COUNTIFS(Accounts!$E:$E,H$1,Accounts!$G:$G,H$2,Accounts!$F:$F,H$3,Accounts!$B:$B,"none",Accounts!$BF:$BF,FALSE)+COUNTIFS(Accounts!$E:$E,"QuickBooks",Accounts!$G:$G,H$2,Accounts!$F:$F,H$3,Accounts!$B:$B,"none",Accounts!$BF:$BF,FALSE)</f>
        <v/>
      </c>
      <c r="I5" s="15">
        <f>SUM(C5:H5)</f>
        <v/>
      </c>
      <c r="J5">
        <f>COUNTIFS(Accounts!$E:$E,J$1,Accounts!$G:$G,J$2,Accounts!$F:$F,J$3,Accounts!$B:$B,"none",Accounts!$BF:$BF,FALSE)</f>
        <v/>
      </c>
      <c r="K5">
        <f>COUNTIFS(Accounts!$E:$E,K$1,Accounts!$G:$G,K$2,Accounts!$F:$F,K$3,Accounts!$B:$B,"none",Accounts!$BF:$BF,FALSE)</f>
        <v/>
      </c>
      <c r="L5">
        <f>COUNTIFS(Accounts!$E:$E,L$1,Accounts!$G:$G,L$2,Accounts!$F:$F,L$3,Accounts!$B:$B,"none",Accounts!$BF:$BF,FALSE)</f>
        <v/>
      </c>
      <c r="M5">
        <f>COUNTIFS(Accounts!$E:$E,M$1,Accounts!$G:$G,M$2,Accounts!$F:$F,M$3,Accounts!$B:$B,"none",Accounts!$BF:$BF,FALSE)</f>
        <v/>
      </c>
      <c r="N5">
        <f>COUNTIFS(Accounts!$E:$E,N$1,Accounts!$G:$G,N$2,Accounts!$F:$F,N$3,Accounts!$B:$B,"none",Accounts!$BF:$BF,FALSE)</f>
        <v/>
      </c>
      <c r="O5">
        <f>COUNTIFS(Accounts!$E:$E,O$1,Accounts!$G:$G,O$2,Accounts!$F:$F,O$3,Accounts!$B:$B,"none",Accounts!$BF:$BF,FALSE)+COUNTIFS(Accounts!$E:$E,"QuickBooks",Accounts!$G:$G,O$2,Accounts!$F:$F,O$3,Accounts!$B:$B,"none",Accounts!$BF:$BF,FALSE)</f>
        <v/>
      </c>
      <c r="P5" s="15">
        <f>SUM(J5:O5)</f>
        <v/>
      </c>
      <c r="Q5">
        <f>COUNTIFS(Accounts!$E:$E,Q$1,Accounts!$G:$G,Q$2,Accounts!$F:$F,Q$3,Accounts!$B:$B,"none",Accounts!$BF:$BF,FALSE)</f>
        <v/>
      </c>
      <c r="R5">
        <f>COUNTIFS(Accounts!$E:$E,R$1,Accounts!$G:$G,R$2,Accounts!$F:$F,R$3,Accounts!$B:$B,"none",Accounts!$BF:$BF,FALSE)</f>
        <v/>
      </c>
      <c r="S5">
        <f>COUNTIFS(Accounts!$E:$E,S$1,Accounts!$G:$G,S$2,Accounts!$F:$F,S$3,Accounts!$B:$B,"none",Accounts!$BF:$BF,FALSE)</f>
        <v/>
      </c>
      <c r="T5">
        <f>COUNTIFS(Accounts!$E:$E,T$1,Accounts!$G:$G,T$2,Accounts!$F:$F,T$3,Accounts!$B:$B,"none",Accounts!$BF:$BF,FALSE)</f>
        <v/>
      </c>
      <c r="U5">
        <f>COUNTIFS(Accounts!$E:$E,U$1,Accounts!$G:$G,U$2,Accounts!$F:$F,U$3,Accounts!$B:$B,"none",Accounts!$BF:$BF,FALSE)</f>
        <v/>
      </c>
      <c r="V5">
        <f>COUNTIFS(Accounts!$E:$E,V$1,Accounts!$G:$G,V$2,Accounts!$F:$F,V$3,Accounts!$B:$B,"none",Accounts!$BF:$BF,FALSE)+COUNTIFS(Accounts!$E:$E,"QuickBooks",Accounts!$G:$G,V$2,Accounts!$F:$F,V$3,Accounts!$B:$B,"none",Accounts!$BF:$BF,FALSE)</f>
        <v/>
      </c>
      <c r="W5" s="15">
        <f>SUM(Q5:V5)</f>
        <v/>
      </c>
    </row>
    <row r="6">
      <c r="A6" s="1" t="n"/>
    </row>
    <row r="7">
      <c r="A7" s="1" t="inlineStr">
        <is>
          <t>Made their first payment</t>
        </is>
      </c>
      <c r="B7" s="9">
        <f>I7+P7+W7</f>
        <v/>
      </c>
      <c r="C7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</f>
        <v/>
      </c>
      <c r="D7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</f>
        <v/>
      </c>
      <c r="E7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</f>
        <v/>
      </c>
      <c r="F7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</f>
        <v/>
      </c>
      <c r="G7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</f>
        <v/>
      </c>
      <c r="H7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</f>
        <v/>
      </c>
      <c r="I7" s="15">
        <f>SUM(C7:H7)</f>
        <v/>
      </c>
      <c r="J7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</f>
        <v/>
      </c>
      <c r="K7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</f>
        <v/>
      </c>
      <c r="L7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</f>
        <v/>
      </c>
      <c r="M7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</f>
        <v/>
      </c>
      <c r="N7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</f>
        <v/>
      </c>
      <c r="O7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</f>
        <v/>
      </c>
      <c r="P7" s="15">
        <f>SUM(J7:O7)</f>
        <v/>
      </c>
      <c r="Q7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</f>
        <v/>
      </c>
      <c r="R7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</f>
        <v/>
      </c>
      <c r="S7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</f>
        <v/>
      </c>
      <c r="T7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</f>
        <v/>
      </c>
      <c r="U7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</f>
        <v/>
      </c>
      <c r="V7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</f>
        <v/>
      </c>
      <c r="W7" s="15">
        <f>SUM(Q7:V7)</f>
        <v/>
      </c>
    </row>
    <row r="8">
      <c r="A8" s="2" t="inlineStr">
        <is>
          <t>Packs per Account</t>
        </is>
      </c>
      <c r="B8" s="13">
        <f>IF(B7=0,0,SUMIFS(INDIRECT("Accounts!$L$2:$L$" &amp; CountsForFormulas!$D$3 &amp; ""),INDIRECT("Accounts!$W$2:$W$" &amp; CountsForFormulas!$D$3 &amp; ""),1)/B7)</f>
        <v/>
      </c>
      <c r="C8" s="4">
        <f>IF(C7=0,0,SUMIFS(INDIRECT("Accounts!$L$2:$L$"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""),1)/C7)</f>
        <v/>
      </c>
      <c r="D8" s="4">
        <f>IF(D7=0,0,SUMIFS(INDIRECT("Accounts!$L$2:$L$"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""),1)/D7)</f>
        <v/>
      </c>
      <c r="E8" s="4">
        <f>IF(E7=0,0,SUMIFS(INDIRECT("Accounts!$L$2:$L$"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""),1)/E7)</f>
        <v/>
      </c>
      <c r="F8" s="4">
        <f>IF(F7=0,0,SUMIFS(INDIRECT("Accounts!$L$2:$L$"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""),1)/F7)</f>
        <v/>
      </c>
      <c r="G8" s="4">
        <f>IF(G7=0,0,SUMIFS(INDIRECT("Accounts!$L$2:$L$"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""),1)/G7)</f>
        <v/>
      </c>
      <c r="H8" s="4">
        <f>IF(H7=0,0,SUMIFS(INDIRECT("Accounts!$L$2:$L$"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""),1)/H7)</f>
        <v/>
      </c>
      <c r="I8" s="5">
        <f>IF(I7=0,0,SUMIFS(INDIRECT("Accounts!$L$2:$L$" &amp; CountsForFormulas!$D$3 &amp; ""),INDIRECT("Accounts!$F$2:$F$" &amp; CountsForFormulas!$D$3 &amp; ""),AccountSummary!I$3,INDIRECT("Accounts!$W$2:$W$" &amp; CountsForFormulas!$D$3 &amp; ""),1)/I7)</f>
        <v/>
      </c>
      <c r="J8" s="4">
        <f>IF(J7=0,0,SUMIFS(INDIRECT("Accounts!$L$2:$L$"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""),1)/J7)</f>
        <v/>
      </c>
      <c r="K8" s="4">
        <f>IF(K7=0,0,SUMIFS(INDIRECT("Accounts!$L$2:$L$"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""),1)/K7)</f>
        <v/>
      </c>
      <c r="L8" s="4">
        <f>IF(L7=0,0,SUMIFS(INDIRECT("Accounts!$L$2:$L$"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""),1)/L7)</f>
        <v/>
      </c>
      <c r="M8" s="4">
        <f>IF(M7=0,0,SUMIFS(INDIRECT("Accounts!$L$2:$L$"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""),1)/M7)</f>
        <v/>
      </c>
      <c r="N8" s="4">
        <f>IF(N7=0,0,SUMIFS(INDIRECT("Accounts!$L$2:$L$"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""),1)/N7)</f>
        <v/>
      </c>
      <c r="O8" s="4">
        <f>IF(O7=0,0,SUMIFS(INDIRECT("Accounts!$L$2:$L$"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""),1)/O7)</f>
        <v/>
      </c>
      <c r="P8" s="5">
        <f>IF(P7=0,0,SUMIFS(INDIRECT("Accounts!$L$2:$L$" &amp; CountsForFormulas!$D$3 &amp; ""),INDIRECT("Accounts!$F$2:$F$" &amp; CountsForFormulas!$D$3 &amp; ""),AccountSummary!P$3,INDIRECT("Accounts!$W$2:$W$" &amp; CountsForFormulas!$D$3 &amp; ""),1)/P7)</f>
        <v/>
      </c>
      <c r="Q8" s="4">
        <f>IF(Q7=0,0,SUMIFS(INDIRECT("Accounts!$L$2:$L$"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""),1)/Q7)</f>
        <v/>
      </c>
      <c r="R8" s="4">
        <f>IF(R7=0,0,SUMIFS(INDIRECT("Accounts!$L$2:$L$"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""),1)/R7)</f>
        <v/>
      </c>
      <c r="S8" s="4">
        <f>IF(S7=0,0,SUMIFS(INDIRECT("Accounts!$L$2:$L$"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""),1)/S7)</f>
        <v/>
      </c>
      <c r="T8" s="4">
        <f>IF(T7=0,0,SUMIFS(INDIRECT("Accounts!$L$2:$L$"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""),1)/T7)</f>
        <v/>
      </c>
      <c r="U8" s="4">
        <f>IF(U7=0,0,SUMIFS(INDIRECT("Accounts!$L$2:$L$"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""),1)/U7)</f>
        <v/>
      </c>
      <c r="V8" s="4">
        <f>IF(V7=0,0,SUMIFS(INDIRECT("Accounts!$L$2:$L$"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""),1)/V7)</f>
        <v/>
      </c>
      <c r="W8" s="5">
        <f>IF(W7=0,0,SUMIFS(INDIRECT("Accounts!$L$2:$L$" &amp; CountsForFormulas!$D$3 &amp; ""),INDIRECT("Accounts!$F$2:$F$" &amp; CountsForFormulas!$D$3 &amp; ""),AccountSummary!W$3,INDIRECT("Accounts!$W$2:$W$" &amp; CountsForFormulas!$D$3 &amp; ""),1)/W7)</f>
        <v/>
      </c>
    </row>
    <row r="9">
      <c r="A9" s="2" t="inlineStr">
        <is>
          <t>Users per Account</t>
        </is>
      </c>
      <c r="B9" s="13">
        <f>IF(B7=0,0,SUMIFS(INDIRECT("Accounts!$M$2:$M$" &amp; CountsForFormulas!$D$3 &amp; ""),INDIRECT("Accounts!$W$2:$W$" &amp; CountsForFormulas!$D$3 &amp; ""),1)/B7)</f>
        <v/>
      </c>
      <c r="C9" s="4">
        <f>IF(C7=0,0,SUMIFS(INDIRECT("Accounts!$M$2:$M$"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""),1)/C7)</f>
        <v/>
      </c>
      <c r="D9" s="4">
        <f>IF(D7=0,0,SUMIFS(INDIRECT("Accounts!$M$2:$M$"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""),1)/D7)</f>
        <v/>
      </c>
      <c r="E9" s="4">
        <f>IF(E7=0,0,SUMIFS(INDIRECT("Accounts!$M$2:$M$"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""),1)/E7)</f>
        <v/>
      </c>
      <c r="F9" s="4">
        <f>IF(F7=0,0,SUMIFS(INDIRECT("Accounts!$M$2:$M$"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""),1)/F7)</f>
        <v/>
      </c>
      <c r="G9" s="4">
        <f>IF(G7=0,0,SUMIFS(INDIRECT("Accounts!$M$2:$M$"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""),1)/G7)</f>
        <v/>
      </c>
      <c r="H9" s="4">
        <f>IF(H7=0,0,SUMIFS(INDIRECT("Accounts!$M$2:$M$"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""),1)/H7)</f>
        <v/>
      </c>
      <c r="I9" s="5">
        <f>IF(I7=0,0,SUMIFS(INDIRECT("Accounts!$M$2:$M$" &amp; CountsForFormulas!$D$3 &amp; ""),INDIRECT("Accounts!$F$2:$F$" &amp; CountsForFormulas!$D$3 &amp; ""),AccountSummary!I$3,INDIRECT("Accounts!$W$2:$W$" &amp; CountsForFormulas!$D$3 &amp; ""),1)/I7)</f>
        <v/>
      </c>
      <c r="J9" s="4">
        <f>IF(J7=0,0,SUMIFS(INDIRECT("Accounts!$M$2:$M$"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""),1)/J7)</f>
        <v/>
      </c>
      <c r="K9" s="4">
        <f>IF(K7=0,0,SUMIFS(INDIRECT("Accounts!$M$2:$M$"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""),1)/K7)</f>
        <v/>
      </c>
      <c r="L9" s="4">
        <f>IF(L7=0,0,SUMIFS(INDIRECT("Accounts!$M$2:$M$"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""),1)/L7)</f>
        <v/>
      </c>
      <c r="M9" s="4">
        <f>IF(M7=0,0,SUMIFS(INDIRECT("Accounts!$M$2:$M$"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""),1)/M7)</f>
        <v/>
      </c>
      <c r="N9" s="4">
        <f>IF(N7=0,0,SUMIFS(INDIRECT("Accounts!$M$2:$M$"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""),1)/N7)</f>
        <v/>
      </c>
      <c r="O9" s="4">
        <f>IF(O7=0,0,SUMIFS(INDIRECT("Accounts!$M$2:$M$"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""),1)/O7)</f>
        <v/>
      </c>
      <c r="P9" s="5">
        <f>IF(P7=0,0,SUMIFS(INDIRECT("Accounts!$M$2:$M$" &amp; CountsForFormulas!$D$3 &amp; ""),INDIRECT("Accounts!$F$2:$F$" &amp; CountsForFormulas!$D$3 &amp; ""),AccountSummary!P$3,INDIRECT("Accounts!$W$2:$W$" &amp; CountsForFormulas!$D$3 &amp; ""),1)/P7)</f>
        <v/>
      </c>
      <c r="Q9" s="4">
        <f>IF(Q7=0,0,SUMIFS(INDIRECT("Accounts!$M$2:$M$"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""),1)/Q7)</f>
        <v/>
      </c>
      <c r="R9" s="4">
        <f>IF(R7=0,0,SUMIFS(INDIRECT("Accounts!$M$2:$M$"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""),1)/R7)</f>
        <v/>
      </c>
      <c r="S9" s="4">
        <f>IF(S7=0,0,SUMIFS(INDIRECT("Accounts!$M$2:$M$"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""),1)/S7)</f>
        <v/>
      </c>
      <c r="T9" s="4">
        <f>IF(T7=0,0,SUMIFS(INDIRECT("Accounts!$M$2:$M$"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""),1)/T7)</f>
        <v/>
      </c>
      <c r="U9" s="4">
        <f>IF(U7=0,0,SUMIFS(INDIRECT("Accounts!$M$2:$M$"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""),1)/U7)</f>
        <v/>
      </c>
      <c r="V9" s="4">
        <f>IF(V7=0,0,SUMIFS(INDIRECT("Accounts!$M$2:$M$"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""),1)/V7)</f>
        <v/>
      </c>
      <c r="W9" s="5">
        <f>IF(W7=0,0,SUMIFS(INDIRECT("Accounts!$M$2:$M$" &amp; CountsForFormulas!$D$3 &amp; ""),INDIRECT("Accounts!$F$2:$F$" &amp; CountsForFormulas!$D$3 &amp; ""),AccountSummary!W$3,INDIRECT("Accounts!$W$2:$W$" &amp; CountsForFormulas!$D$3 &amp; ""),1)/W7)</f>
        <v/>
      </c>
    </row>
    <row r="10">
      <c r="A10" s="1" t="inlineStr">
        <is>
          <t>ARPC First Invoice</t>
        </is>
      </c>
      <c r="B10" s="65">
        <f>IF(B7=0,0,B11/B7)</f>
        <v/>
      </c>
      <c r="C10" s="66">
        <f>IF(C7=0,0,C11/C7)</f>
        <v/>
      </c>
      <c r="D10" s="66">
        <f>IF(D7=0,0,D11/D7)</f>
        <v/>
      </c>
      <c r="E10" s="66">
        <f>IF(E7=0,0,E11/E7)</f>
        <v/>
      </c>
      <c r="F10" s="66">
        <f>IF(F7=0,0,F11/F7)</f>
        <v/>
      </c>
      <c r="G10" s="66">
        <f>IF(G7=0,0,G11/G7)</f>
        <v/>
      </c>
      <c r="H10" s="66">
        <f>IF(H7=0,0,H11/H7)</f>
        <v/>
      </c>
      <c r="I10" s="67">
        <f>IF(I7=0,0,I11/I7)</f>
        <v/>
      </c>
      <c r="J10" s="66">
        <f>IF(J7=0,0,J11/J7)</f>
        <v/>
      </c>
      <c r="K10" s="66">
        <f>IF(K7=0,0,K11/K7)</f>
        <v/>
      </c>
      <c r="L10" s="66">
        <f>IF(L7=0,0,L11/L7)</f>
        <v/>
      </c>
      <c r="M10" s="66">
        <f>IF(M7=0,0,M11/M7)</f>
        <v/>
      </c>
      <c r="N10" s="66">
        <f>IF(N7=0,0,N11/N7)</f>
        <v/>
      </c>
      <c r="O10" s="66">
        <f>IF(O7=0,0,O11/O7)</f>
        <v/>
      </c>
      <c r="P10" s="67">
        <f>IF(P7=0,0,P11/P7)</f>
        <v/>
      </c>
      <c r="Q10" s="66">
        <f>IF(Q7=0,0,Q11/Q7)</f>
        <v/>
      </c>
      <c r="R10" s="66">
        <f>IF(R7=0,0,R11/R7)</f>
        <v/>
      </c>
      <c r="S10" s="66">
        <f>IF(S7=0,0,S11/S7)</f>
        <v/>
      </c>
      <c r="T10" s="66">
        <f>IF(T7=0,0,T11/T7)</f>
        <v/>
      </c>
      <c r="U10" s="66">
        <f>IF(U7=0,0,U11/U7)</f>
        <v/>
      </c>
      <c r="V10" s="66">
        <f>IF(V7=0,0,V11/V7)</f>
        <v/>
      </c>
      <c r="W10" s="67">
        <f>IF(W7=0,0,W11/W7)</f>
        <v/>
      </c>
    </row>
    <row r="11">
      <c r="A11" s="7" t="inlineStr">
        <is>
          <t>Total SaaS from Trialers</t>
        </is>
      </c>
      <c r="B11" s="65">
        <f>I11+P11+W11</f>
        <v/>
      </c>
      <c r="C11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</f>
        <v/>
      </c>
      <c r="D11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</f>
        <v/>
      </c>
      <c r="E11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</f>
        <v/>
      </c>
      <c r="F11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</f>
        <v/>
      </c>
      <c r="G11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</f>
        <v/>
      </c>
      <c r="H11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</f>
        <v/>
      </c>
      <c r="I11" s="67">
        <f>SUM(C11:H11)</f>
        <v/>
      </c>
      <c r="J11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</f>
        <v/>
      </c>
      <c r="K11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</f>
        <v/>
      </c>
      <c r="L11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</f>
        <v/>
      </c>
      <c r="M11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</f>
        <v/>
      </c>
      <c r="N11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</f>
        <v/>
      </c>
      <c r="O11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</f>
        <v/>
      </c>
      <c r="P11" s="67">
        <f>SUM(J11:O11)</f>
        <v/>
      </c>
      <c r="Q11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</f>
        <v/>
      </c>
      <c r="R11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</f>
        <v/>
      </c>
      <c r="S11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</f>
        <v/>
      </c>
      <c r="T11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</f>
        <v/>
      </c>
      <c r="U11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</f>
        <v/>
      </c>
      <c r="V11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</f>
        <v/>
      </c>
      <c r="W11" s="67">
        <f>SUM(Q11:V11)</f>
        <v/>
      </c>
    </row>
    <row r="12">
      <c r="A12" s="7" t="n"/>
      <c r="B12" s="9" t="n"/>
    </row>
    <row r="13">
      <c r="A13" s="1" t="inlineStr">
        <is>
          <t>Trialers Lost in month they paid</t>
        </is>
      </c>
      <c r="B13" s="9" t="n"/>
    </row>
    <row r="14">
      <c r="A14" s="1" t="inlineStr">
        <is>
          <t>% who cancel</t>
        </is>
      </c>
      <c r="B14" s="11">
        <f>IF(B7=0,0,B15/B7)</f>
        <v/>
      </c>
      <c r="C14" s="8">
        <f>IF(C7=0,0,C15/C7)</f>
        <v/>
      </c>
      <c r="D14" s="8">
        <f>IF(D7=0,0,D15/D7)</f>
        <v/>
      </c>
      <c r="E14" s="8">
        <f>IF(E7=0,0,E15/E7)</f>
        <v/>
      </c>
      <c r="F14" s="8">
        <f>IF(F7=0,0,F15/F7)</f>
        <v/>
      </c>
      <c r="G14" s="8">
        <f>IF(G7=0,0,G15/G7)</f>
        <v/>
      </c>
      <c r="H14" s="8">
        <f>IF(H7=0,0,H15/H7)</f>
        <v/>
      </c>
      <c r="I14" s="20">
        <f>IF(I7=0,0,I15/I7)</f>
        <v/>
      </c>
      <c r="J14" s="8">
        <f>IF(J7=0,0,J15/J7)</f>
        <v/>
      </c>
      <c r="K14" s="8">
        <f>IF(K7=0,0,K15/K7)</f>
        <v/>
      </c>
      <c r="L14" s="8">
        <f>IF(L7=0,0,L15/L7)</f>
        <v/>
      </c>
      <c r="M14" s="8">
        <f>IF(M7=0,0,M15/M7)</f>
        <v/>
      </c>
      <c r="N14" s="8">
        <f>IF(N7=0,0,N15/N7)</f>
        <v/>
      </c>
      <c r="O14" s="8">
        <f>IF(O7=0,0,O15/O7)</f>
        <v/>
      </c>
      <c r="P14" s="20">
        <f>IF(P7=0,0,P15/P7)</f>
        <v/>
      </c>
      <c r="Q14" s="8">
        <f>IF(Q7=0,0,Q15/Q7)</f>
        <v/>
      </c>
      <c r="R14" s="8">
        <f>IF(R7=0,0,R15/R7)</f>
        <v/>
      </c>
      <c r="S14" s="8">
        <f>IF(S7=0,0,S15/S7)</f>
        <v/>
      </c>
      <c r="T14" s="8">
        <f>IF(T7=0,0,T15/T7)</f>
        <v/>
      </c>
      <c r="U14" s="8">
        <f>IF(U7=0,0,U15/U7)</f>
        <v/>
      </c>
      <c r="V14" s="8">
        <f>IF(V7=0,0,V15/V7)</f>
        <v/>
      </c>
      <c r="W14" s="20">
        <f>IF(W7=0,0,W15/W7)</f>
        <v/>
      </c>
    </row>
    <row r="15">
      <c r="A15" s="1" t="inlineStr">
        <is>
          <t>Paid but cancelled before EOM</t>
        </is>
      </c>
      <c r="B15" s="9">
        <f>I15+P15+W15</f>
        <v/>
      </c>
      <c r="C1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""),1,INDIRECT("Accounts!$C$2:$C$" &amp; CountsForFormulas!$D$3 &amp; ""),"Lost")</f>
        <v/>
      </c>
      <c r="D1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""),1,INDIRECT("Accounts!$C$2:$C$" &amp; CountsForFormulas!$D$3 &amp; ""),"Lost")</f>
        <v/>
      </c>
      <c r="E1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""),1,INDIRECT("Accounts!$C$2:$C$" &amp; CountsForFormulas!$D$3 &amp; ""),"Lost")</f>
        <v/>
      </c>
      <c r="F1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""),1,INDIRECT("Accounts!$C$2:$C$" &amp; CountsForFormulas!$D$3 &amp; ""),"Lost")</f>
        <v/>
      </c>
      <c r="G1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""),1,INDIRECT("Accounts!$C$2:$C$" &amp; CountsForFormulas!$D$3 &amp; ""),"Lost")</f>
        <v/>
      </c>
      <c r="H1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""),1,INDIRECT("Accounts!$C$2:$C$" &amp; CountsForFormulas!$D$3 &amp; ""),"Lost")</f>
        <v/>
      </c>
      <c r="I15" s="15">
        <f>SUM(C15:H15)</f>
        <v/>
      </c>
      <c r="J1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""),1,INDIRECT("Accounts!$C$2:$C$" &amp; CountsForFormulas!$D$3 &amp; ""),"Lost")</f>
        <v/>
      </c>
      <c r="K1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""),1,INDIRECT("Accounts!$C$2:$C$" &amp; CountsForFormulas!$D$3 &amp; ""),"Lost")</f>
        <v/>
      </c>
      <c r="L1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""),1,INDIRECT("Accounts!$C$2:$C$" &amp; CountsForFormulas!$D$3 &amp; ""),"Lost")</f>
        <v/>
      </c>
      <c r="M1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""),1,INDIRECT("Accounts!$C$2:$C$" &amp; CountsForFormulas!$D$3 &amp; ""),"Lost")</f>
        <v/>
      </c>
      <c r="N1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""),1,INDIRECT("Accounts!$C$2:$C$" &amp; CountsForFormulas!$D$3 &amp; ""),"Lost")</f>
        <v/>
      </c>
      <c r="O1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""),1,INDIRECT("Accounts!$C$2:$C$" &amp; CountsForFormulas!$D$3 &amp; ""),"Lost")</f>
        <v/>
      </c>
      <c r="P15" s="15">
        <f>SUM(J15:O15)</f>
        <v/>
      </c>
      <c r="Q1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""),1,INDIRECT("Accounts!$C$2:$C$" &amp; CountsForFormulas!$D$3 &amp; ""),"Lost")</f>
        <v/>
      </c>
      <c r="R1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""),1,INDIRECT("Accounts!$C$2:$C$" &amp; CountsForFormulas!$D$3 &amp; ""),"Lost")</f>
        <v/>
      </c>
      <c r="S1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""),1,INDIRECT("Accounts!$C$2:$C$" &amp; CountsForFormulas!$D$3 &amp; ""),"Lost")</f>
        <v/>
      </c>
      <c r="T1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""),1,INDIRECT("Accounts!$C$2:$C$" &amp; CountsForFormulas!$D$3 &amp; ""),"Lost")</f>
        <v/>
      </c>
      <c r="U1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""),1,INDIRECT("Accounts!$C$2:$C$" &amp; CountsForFormulas!$D$3 &amp; ""),"Lost")</f>
        <v/>
      </c>
      <c r="V1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""),1,INDIRECT("Accounts!$C$2:$C$" &amp; CountsForFormulas!$D$3 &amp; ""),"Lost")</f>
        <v/>
      </c>
      <c r="W15" s="15">
        <f>SUM(Q15:V15)</f>
        <v/>
      </c>
    </row>
    <row r="16">
      <c r="A16" s="1" t="inlineStr">
        <is>
          <t>Net: Paid, retained EOM</t>
        </is>
      </c>
      <c r="B16" s="9">
        <f>I16+P16+W16</f>
        <v/>
      </c>
      <c r="C16">
        <f>C7-C15</f>
        <v/>
      </c>
      <c r="D16">
        <f>D7-D15</f>
        <v/>
      </c>
      <c r="E16">
        <f>E7-E15</f>
        <v/>
      </c>
      <c r="F16">
        <f>F7-F15</f>
        <v/>
      </c>
      <c r="G16">
        <f>G7-G15</f>
        <v/>
      </c>
      <c r="H16">
        <f>H7-H15</f>
        <v/>
      </c>
      <c r="I16" s="15">
        <f>SUM(C16:H16)</f>
        <v/>
      </c>
      <c r="J16">
        <f>J7-J15</f>
        <v/>
      </c>
      <c r="K16">
        <f>K7-K15</f>
        <v/>
      </c>
      <c r="L16">
        <f>L7-L15</f>
        <v/>
      </c>
      <c r="M16">
        <f>M7-M15</f>
        <v/>
      </c>
      <c r="N16">
        <f>N7-N15</f>
        <v/>
      </c>
      <c r="O16">
        <f>O7-O15</f>
        <v/>
      </c>
      <c r="P16" s="15">
        <f>SUM(J16:O16)</f>
        <v/>
      </c>
      <c r="Q16">
        <f>Q7-Q15</f>
        <v/>
      </c>
      <c r="R16">
        <f>R7-R15</f>
        <v/>
      </c>
      <c r="S16">
        <f>S7-S15</f>
        <v/>
      </c>
      <c r="T16">
        <f>T7-T15</f>
        <v/>
      </c>
      <c r="U16">
        <f>U7-U15</f>
        <v/>
      </c>
      <c r="V16">
        <f>V7-V15</f>
        <v/>
      </c>
      <c r="W16" s="15">
        <f>SUM(Q16:V16)</f>
        <v/>
      </c>
    </row>
    <row r="17">
      <c r="A17" s="1" t="n"/>
      <c r="B17" s="9" t="n"/>
    </row>
    <row r="18">
      <c r="A18" s="1" t="inlineStr">
        <is>
          <t>*Paying Customers*</t>
        </is>
      </c>
      <c r="B18" s="9" t="n"/>
    </row>
    <row r="19">
      <c r="A19" s="1" t="inlineStr">
        <is>
          <t>Paying customers at BOM</t>
        </is>
      </c>
      <c r="B19" s="9">
        <f>I19+P19+W19</f>
        <v/>
      </c>
      <c r="C19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""),"Customer")</f>
        <v/>
      </c>
      <c r="D19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""),"Customer")</f>
        <v/>
      </c>
      <c r="E19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""),"Customer")</f>
        <v/>
      </c>
      <c r="F19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""),"Customer")</f>
        <v/>
      </c>
      <c r="G19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""),"Customer")</f>
        <v/>
      </c>
      <c r="H19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""),"Customer")</f>
        <v/>
      </c>
      <c r="I19" s="15">
        <f>SUM(C19:H19)</f>
        <v/>
      </c>
      <c r="J19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""),"Customer")</f>
        <v/>
      </c>
      <c r="K19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""),"Customer")</f>
        <v/>
      </c>
      <c r="L19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""),"Customer")</f>
        <v/>
      </c>
      <c r="M19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""),"Customer")</f>
        <v/>
      </c>
      <c r="N19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""),"Customer")</f>
        <v/>
      </c>
      <c r="O19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""),"Customer")</f>
        <v/>
      </c>
      <c r="P19" s="15">
        <f>SUM(J19:O19)</f>
        <v/>
      </c>
      <c r="Q19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""),"Customer")</f>
        <v/>
      </c>
      <c r="R19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""),"Customer")</f>
        <v/>
      </c>
      <c r="S19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""),"Customer")</f>
        <v/>
      </c>
      <c r="T19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""),"Customer")</f>
        <v/>
      </c>
      <c r="U19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""),"Customer")</f>
        <v/>
      </c>
      <c r="V19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""),"Customer")</f>
        <v/>
      </c>
      <c r="W19" s="15">
        <f>SUM(Q19:V19)</f>
        <v/>
      </c>
    </row>
    <row r="20">
      <c r="A20" s="1" t="n"/>
      <c r="B20" s="9" t="n"/>
    </row>
    <row r="21">
      <c r="A21" s="1" t="inlineStr">
        <is>
          <t>Monthly % of Paying Customers</t>
        </is>
      </c>
      <c r="B21" s="11">
        <f>IF(B19=0,0,B22/B19)</f>
        <v/>
      </c>
      <c r="C21" s="8">
        <f>IF(C19=0,0,C22/C19)</f>
        <v/>
      </c>
      <c r="D21" s="8">
        <f>IF(D19=0,0,D22/D19)</f>
        <v/>
      </c>
      <c r="E21" s="8">
        <f>IF(E19=0,0,E22/E19)</f>
        <v/>
      </c>
      <c r="F21" s="8">
        <f>IF(F19=0,0,F22/F19)</f>
        <v/>
      </c>
      <c r="G21" s="8">
        <f>IF(G19=0,0,G22/G19)</f>
        <v/>
      </c>
      <c r="H21" s="8">
        <f>IF(H19=0,0,H22/H19)</f>
        <v/>
      </c>
      <c r="I21" s="20">
        <f>IF(I19=0,0,I22/I19)</f>
        <v/>
      </c>
      <c r="J21" s="8">
        <f>IF(J19=0,0,J22/J19)</f>
        <v/>
      </c>
      <c r="K21" s="8">
        <f>IF(K19=0,0,K22/K19)</f>
        <v/>
      </c>
      <c r="L21" s="8">
        <f>IF(L19=0,0,L22/L19)</f>
        <v/>
      </c>
      <c r="M21" s="8">
        <f>IF(M19=0,0,M22/M19)</f>
        <v/>
      </c>
      <c r="N21" s="8">
        <f>IF(N19=0,0,N22/N19)</f>
        <v/>
      </c>
      <c r="O21" s="8">
        <f>IF(O19=0,0,O22/O19)</f>
        <v/>
      </c>
      <c r="P21" s="20">
        <f>IF(P19=0,0,P22/P19)</f>
        <v/>
      </c>
      <c r="Q21" s="8">
        <f>IF(Q19=0,0,Q22/Q19)</f>
        <v/>
      </c>
      <c r="R21" s="8">
        <f>IF(R19=0,0,R22/R19)</f>
        <v/>
      </c>
      <c r="S21" s="8">
        <f>IF(S19=0,0,S22/S19)</f>
        <v/>
      </c>
      <c r="T21" s="8">
        <f>IF(T19=0,0,T22/T19)</f>
        <v/>
      </c>
      <c r="U21" s="8">
        <f>IF(U19=0,0,U22/U19)</f>
        <v/>
      </c>
      <c r="V21" s="8">
        <f>IF(V19=0,0,V22/V19)</f>
        <v/>
      </c>
      <c r="W21" s="20">
        <f>IF(W19=0,0,W22/W19)</f>
        <v/>
      </c>
    </row>
    <row r="22">
      <c r="A22" s="1" t="inlineStr">
        <is>
          <t>Monthly Starting Count BOM</t>
        </is>
      </c>
      <c r="B22" s="9">
        <f>I22+P22+W22</f>
        <v/>
      </c>
      <c r="C22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""),"Monthly")</f>
        <v/>
      </c>
      <c r="D22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""),"Monthly")</f>
        <v/>
      </c>
      <c r="E22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""),"Monthly")</f>
        <v/>
      </c>
      <c r="F22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""),"Monthly")</f>
        <v/>
      </c>
      <c r="G22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""),"Monthly")</f>
        <v/>
      </c>
      <c r="H22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""),"Monthly")</f>
        <v/>
      </c>
      <c r="I22" s="15">
        <f>SUM(C22:H22)</f>
        <v/>
      </c>
      <c r="J22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""),"Monthly")</f>
        <v/>
      </c>
      <c r="K22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""),"Monthly")</f>
        <v/>
      </c>
      <c r="L22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""),"Monthly")</f>
        <v/>
      </c>
      <c r="M22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""),"Monthly")</f>
        <v/>
      </c>
      <c r="N22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""),"Monthly")</f>
        <v/>
      </c>
      <c r="O22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""),"Monthly")</f>
        <v/>
      </c>
      <c r="P22" s="15">
        <f>SUM(J22:O22)</f>
        <v/>
      </c>
      <c r="Q22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""),"Monthly")</f>
        <v/>
      </c>
      <c r="R22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""),"Monthly")</f>
        <v/>
      </c>
      <c r="S22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""),"Monthly")</f>
        <v/>
      </c>
      <c r="T22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""),"Monthly")</f>
        <v/>
      </c>
      <c r="U22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""),"Monthly")</f>
        <v/>
      </c>
      <c r="V22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""),"Monthly")</f>
        <v/>
      </c>
      <c r="W22" s="15">
        <f>SUM(Q22:V22)</f>
        <v/>
      </c>
    </row>
    <row r="23">
      <c r="A23" s="1" t="inlineStr">
        <is>
          <t>0-30 day cohort as of BOM</t>
        </is>
      </c>
      <c r="B23" s="9" t="n"/>
    </row>
    <row r="24">
      <c r="A24" s="1" t="inlineStr">
        <is>
          <t xml:space="preserve">   Total % of Monthly</t>
        </is>
      </c>
      <c r="B24" s="11">
        <f>IF(B22=0,0,(B26+B27)/B22)</f>
        <v/>
      </c>
      <c r="C24" s="8">
        <f>IF(C22=0,0,(C26+C27)/C22)</f>
        <v/>
      </c>
      <c r="D24" s="8">
        <f>IF(D22=0,0,(D26+D27)/D22)</f>
        <v/>
      </c>
      <c r="E24" s="8">
        <f>IF(E22=0,0,(E26+E27)/E22)</f>
        <v/>
      </c>
      <c r="F24" s="8">
        <f>IF(F22=0,0,(F26+F27)/F22)</f>
        <v/>
      </c>
      <c r="G24" s="8">
        <f>IF(G22=0,0,(G26+G27)/G22)</f>
        <v/>
      </c>
      <c r="H24" s="8">
        <f>IF(H22=0,0,(H26+H27)/H22)</f>
        <v/>
      </c>
      <c r="I24" s="20">
        <f>IF(I22=0,0,(I26+I27)/I22)</f>
        <v/>
      </c>
      <c r="J24" s="8">
        <f>IF(J22=0,0,(J26+J27)/J22)</f>
        <v/>
      </c>
      <c r="K24" s="8">
        <f>IF(K22=0,0,(K26+K27)/K22)</f>
        <v/>
      </c>
      <c r="L24" s="8">
        <f>IF(L22=0,0,(L26+L27)/L22)</f>
        <v/>
      </c>
      <c r="M24" s="8">
        <f>IF(M22=0,0,(M26+M27)/M22)</f>
        <v/>
      </c>
      <c r="N24" s="8">
        <f>IF(N22=0,0,(N26+N27)/N22)</f>
        <v/>
      </c>
      <c r="O24" s="8">
        <f>IF(O22=0,0,(O26+O27)/O22)</f>
        <v/>
      </c>
      <c r="P24" s="20">
        <f>IF(P22=0,0,(P26+P27)/P22)</f>
        <v/>
      </c>
      <c r="Q24" s="8">
        <f>IF(Q22=0,0,(Q26+Q27)/Q22)</f>
        <v/>
      </c>
      <c r="R24" s="8">
        <f>IF(R22=0,0,(R26+R27)/R22)</f>
        <v/>
      </c>
      <c r="S24" s="8">
        <f>IF(S22=0,0,(S26+S27)/S22)</f>
        <v/>
      </c>
      <c r="T24" s="8">
        <f>IF(T22=0,0,(T26+T27)/T22)</f>
        <v/>
      </c>
      <c r="U24" s="8">
        <f>IF(U22=0,0,(U26+U27)/U22)</f>
        <v/>
      </c>
      <c r="V24" s="8">
        <f>IF(V22=0,0,(V26+V27)/V22)</f>
        <v/>
      </c>
      <c r="W24" s="20">
        <f>IF(W22=0,0,(W26+W27)/W22)</f>
        <v/>
      </c>
    </row>
    <row r="25">
      <c r="A25" s="1" t="inlineStr">
        <is>
          <t xml:space="preserve">   Loss %</t>
        </is>
      </c>
      <c r="B25" s="11">
        <f>IF((B26+B27)=0,0,B26/(B26+B27))</f>
        <v/>
      </c>
      <c r="C25" s="8">
        <f>IF((C26+C27)=0,0,C26/(C26+C27))</f>
        <v/>
      </c>
      <c r="D25" s="8">
        <f>IF((D26+D27)=0,0,D26/(D26+D27))</f>
        <v/>
      </c>
      <c r="E25" s="8">
        <f>IF((E26+E27)=0,0,E26/(E26+E27))</f>
        <v/>
      </c>
      <c r="F25" s="8">
        <f>IF((F26+F27)=0,0,F26/(F26+F27))</f>
        <v/>
      </c>
      <c r="G25" s="8">
        <f>IF((G26+G27)=0,0,G26/(G26+G27))</f>
        <v/>
      </c>
      <c r="H25" s="8">
        <f>IF((H26+H27)=0,0,H26/(H26+H27))</f>
        <v/>
      </c>
      <c r="I25" s="20">
        <f>IF((I26+I27)=0,0,I26/(I26+I27))</f>
        <v/>
      </c>
      <c r="J25" s="8">
        <f>IF((J26+J27)=0,0,J26/(J26+J27))</f>
        <v/>
      </c>
      <c r="K25" s="8">
        <f>IF((K26+K27)=0,0,K26/(K26+K27))</f>
        <v/>
      </c>
      <c r="L25" s="8">
        <f>IF((L26+L27)=0,0,L26/(L26+L27))</f>
        <v/>
      </c>
      <c r="M25" s="8">
        <f>IF((M26+M27)=0,0,M26/(M26+M27))</f>
        <v/>
      </c>
      <c r="N25" s="8">
        <f>IF((N26+N27)=0,0,N26/(N26+N27))</f>
        <v/>
      </c>
      <c r="O25" s="8">
        <f>IF((O26+O27)=0,0,O26/(O26+O27))</f>
        <v/>
      </c>
      <c r="P25" s="20">
        <f>IF((P26+P27)=0,0,P26/(P26+P27))</f>
        <v/>
      </c>
      <c r="Q25" s="8">
        <f>IF((Q26+Q27)=0,0,Q26/(Q26+Q27))</f>
        <v/>
      </c>
      <c r="R25" s="8">
        <f>IF((R26+R27)=0,0,R26/(R26+R27))</f>
        <v/>
      </c>
      <c r="S25" s="8">
        <f>IF((S26+S27)=0,0,S26/(S26+S27))</f>
        <v/>
      </c>
      <c r="T25" s="8">
        <f>IF((T26+T27)=0,0,T26/(T26+T27))</f>
        <v/>
      </c>
      <c r="U25" s="8">
        <f>IF((U26+U27)=0,0,U26/(U26+U27))</f>
        <v/>
      </c>
      <c r="V25" s="8">
        <f>IF((V26+V27)=0,0,V26/(V26+V27))</f>
        <v/>
      </c>
      <c r="W25" s="20">
        <f>IF((W26+W27)=0,0,W26/(W26+W27))</f>
        <v/>
      </c>
    </row>
    <row r="26">
      <c r="A26" s="1" t="inlineStr">
        <is>
          <t xml:space="preserve">   Lost Count</t>
        </is>
      </c>
      <c r="B26" s="9">
        <f>I26+P26+W26</f>
        <v/>
      </c>
      <c r="C26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D26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E26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F26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G26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H26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I26" s="15">
        <f>SUM(C26:H26)</f>
        <v/>
      </c>
      <c r="J26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K26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L26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M26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N26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O26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P26" s="15">
        <f>SUM(J26:O26)</f>
        <v/>
      </c>
      <c r="Q26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R26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S26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T26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U26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V26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W26" s="15">
        <f>SUM(Q26:V26)</f>
        <v/>
      </c>
    </row>
    <row r="27">
      <c r="A27" s="1" t="inlineStr">
        <is>
          <t xml:space="preserve">   Retained Count</t>
        </is>
      </c>
      <c r="B27" s="9">
        <f>I27+P27+W27</f>
        <v/>
      </c>
      <c r="C27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D27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E27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F27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G27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H27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I27" s="15">
        <f>SUM(C27:H27)</f>
        <v/>
      </c>
      <c r="J27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K27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L27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M27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N27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O27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P27" s="15">
        <f>SUM(J27:O27)</f>
        <v/>
      </c>
      <c r="Q27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R27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S27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T27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U27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V27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W27" s="15">
        <f>SUM(Q27:V27)</f>
        <v/>
      </c>
    </row>
    <row r="28">
      <c r="A28" s="2" t="inlineStr">
        <is>
          <t xml:space="preserve">   Packs per Account</t>
        </is>
      </c>
      <c r="B28" s="12">
        <f>IF(B27=0,0,SUMIFS(INDIRECT("Accounts!$L$2:$L$"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""),"&lt;="&amp;30)/B27)</f>
        <v/>
      </c>
      <c r="C28">
        <f>IF(C27=0,0,SUMIFS(INDIRECT("Accounts!$L$2:$L$"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""),"&lt;="&amp;30)/C27)</f>
        <v/>
      </c>
      <c r="D28">
        <f>IF(D27=0,0,SUMIFS(INDIRECT("Accounts!$L$2:$L$"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""),"&lt;="&amp;30)/D27)</f>
        <v/>
      </c>
      <c r="E28">
        <f>IF(E27=0,0,SUMIFS(INDIRECT("Accounts!$L$2:$L$"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""),"&lt;="&amp;30)/E27)</f>
        <v/>
      </c>
      <c r="F28">
        <f>IF(F27=0,0,SUMIFS(INDIRECT("Accounts!$L$2:$L$"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""),"&lt;="&amp;30)/F27)</f>
        <v/>
      </c>
      <c r="G28">
        <f>IF(G27=0,0,SUMIFS(INDIRECT("Accounts!$L$2:$L$"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""),"&lt;="&amp;30)/G27)</f>
        <v/>
      </c>
      <c r="H28">
        <f>IF(H27=0,0,SUMIFS(INDIRECT("Accounts!$L$2:$L$"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""),"&lt;="&amp;30)/H27)</f>
        <v/>
      </c>
      <c r="I28" s="15">
        <f>IF(I27=0,0,SUMIFS(INDIRECT("Accounts!$L$2:$L$"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""),"&lt;="&amp;30)/I27)</f>
        <v/>
      </c>
      <c r="J28">
        <f>IF(J27=0,0,SUMIFS(INDIRECT("Accounts!$L$2:$L$"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""),"&lt;="&amp;30)/J27)</f>
        <v/>
      </c>
      <c r="K28">
        <f>IF(K27=0,0,SUMIFS(INDIRECT("Accounts!$L$2:$L$"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""),"&lt;="&amp;30)/K27)</f>
        <v/>
      </c>
      <c r="L28">
        <f>IF(L27=0,0,SUMIFS(INDIRECT("Accounts!$L$2:$L$"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""),"&lt;="&amp;30)/L27)</f>
        <v/>
      </c>
      <c r="M28">
        <f>IF(M27=0,0,SUMIFS(INDIRECT("Accounts!$L$2:$L$"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""),"&lt;="&amp;30)/M27)</f>
        <v/>
      </c>
      <c r="N28">
        <f>IF(N27=0,0,SUMIFS(INDIRECT("Accounts!$L$2:$L$"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""),"&lt;="&amp;30)/N27)</f>
        <v/>
      </c>
      <c r="O28">
        <f>IF(O27=0,0,SUMIFS(INDIRECT("Accounts!$L$2:$L$"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""),"&lt;="&amp;30)/O27)</f>
        <v/>
      </c>
      <c r="P28" s="15">
        <f>IF(P27=0,0,SUMIFS(INDIRECT("Accounts!$L$2:$L$"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""),"&lt;="&amp;30)/P27)</f>
        <v/>
      </c>
      <c r="Q28">
        <f>IF(Q27=0,0,SUMIFS(INDIRECT("Accounts!$L$2:$L$"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""),"&lt;="&amp;30)/Q27)</f>
        <v/>
      </c>
      <c r="R28">
        <f>IF(R27=0,0,SUMIFS(INDIRECT("Accounts!$L$2:$L$"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""),"&lt;="&amp;30)/R27)</f>
        <v/>
      </c>
      <c r="S28">
        <f>IF(S27=0,0,SUMIFS(INDIRECT("Accounts!$L$2:$L$"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""),"&lt;="&amp;30)/S27)</f>
        <v/>
      </c>
      <c r="T28">
        <f>IF(T27=0,0,SUMIFS(INDIRECT("Accounts!$L$2:$L$"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""),"&lt;="&amp;30)/T27)</f>
        <v/>
      </c>
      <c r="U28">
        <f>IF(U27=0,0,SUMIFS(INDIRECT("Accounts!$L$2:$L$"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""),"&lt;="&amp;30)/U27)</f>
        <v/>
      </c>
      <c r="V28">
        <f>IF(V27=0,0,SUMIFS(INDIRECT("Accounts!$L$2:$L$"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""),"&lt;="&amp;30)/V27)</f>
        <v/>
      </c>
      <c r="W28" s="15">
        <f>IF(W27=0,0,SUMIFS(INDIRECT("Accounts!$L$2:$L$"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""),"&lt;="&amp;30)/W27)</f>
        <v/>
      </c>
    </row>
    <row r="29">
      <c r="A29" s="2" t="inlineStr">
        <is>
          <t xml:space="preserve">   Users per Account</t>
        </is>
      </c>
      <c r="B29" s="12">
        <f>IF(B27=0,0,SUMIFS(INDIRECT("Accounts!$M$2:$M$"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""),"&lt;="&amp;30)/B27)</f>
        <v/>
      </c>
      <c r="C29">
        <f>IF(C27=0,0,SUMIFS(INDIRECT("Accounts!$M$2:$M$"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""),"&lt;="&amp;30)/C27)</f>
        <v/>
      </c>
      <c r="D29">
        <f>IF(D27=0,0,SUMIFS(INDIRECT("Accounts!$M$2:$M$"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""),"&lt;="&amp;30)/D27)</f>
        <v/>
      </c>
      <c r="E29">
        <f>IF(E27=0,0,SUMIFS(INDIRECT("Accounts!$M$2:$M$"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""),"&lt;="&amp;30)/E27)</f>
        <v/>
      </c>
      <c r="F29">
        <f>IF(F27=0,0,SUMIFS(INDIRECT("Accounts!$M$2:$M$"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""),"&lt;="&amp;30)/F27)</f>
        <v/>
      </c>
      <c r="G29">
        <f>IF(G27=0,0,SUMIFS(INDIRECT("Accounts!$M$2:$M$"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""),"&lt;="&amp;30)/G27)</f>
        <v/>
      </c>
      <c r="H29">
        <f>IF(H27=0,0,SUMIFS(INDIRECT("Accounts!$M$2:$M$"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""),"&lt;="&amp;30)/H27)</f>
        <v/>
      </c>
      <c r="I29" s="15">
        <f>IF(I27=0,0,SUMIFS(INDIRECT("Accounts!$M$2:$M$"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""),"&lt;="&amp;30)/I27)</f>
        <v/>
      </c>
      <c r="J29">
        <f>IF(J27=0,0,SUMIFS(INDIRECT("Accounts!$M$2:$M$"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""),"&lt;="&amp;30)/J27)</f>
        <v/>
      </c>
      <c r="K29">
        <f>IF(K27=0,0,SUMIFS(INDIRECT("Accounts!$M$2:$M$"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""),"&lt;="&amp;30)/K27)</f>
        <v/>
      </c>
      <c r="L29">
        <f>IF(L27=0,0,SUMIFS(INDIRECT("Accounts!$M$2:$M$"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""),"&lt;="&amp;30)/L27)</f>
        <v/>
      </c>
      <c r="M29">
        <f>IF(M27=0,0,SUMIFS(INDIRECT("Accounts!$M$2:$M$"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""),"&lt;="&amp;30)/M27)</f>
        <v/>
      </c>
      <c r="N29">
        <f>IF(N27=0,0,SUMIFS(INDIRECT("Accounts!$M$2:$M$"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""),"&lt;="&amp;30)/N27)</f>
        <v/>
      </c>
      <c r="O29">
        <f>IF(O27=0,0,SUMIFS(INDIRECT("Accounts!$M$2:$M$"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""),"&lt;="&amp;30)/O27)</f>
        <v/>
      </c>
      <c r="P29" s="15">
        <f>IF(P27=0,0,SUMIFS(INDIRECT("Accounts!$M$2:$M$"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""),"&lt;="&amp;30)/P27)</f>
        <v/>
      </c>
      <c r="Q29">
        <f>IF(Q27=0,0,SUMIFS(INDIRECT("Accounts!$M$2:$M$"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""),"&lt;="&amp;30)/Q27)</f>
        <v/>
      </c>
      <c r="R29">
        <f>IF(R27=0,0,SUMIFS(INDIRECT("Accounts!$M$2:$M$"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""),"&lt;="&amp;30)/R27)</f>
        <v/>
      </c>
      <c r="S29">
        <f>IF(S27=0,0,SUMIFS(INDIRECT("Accounts!$M$2:$M$"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""),"&lt;="&amp;30)/S27)</f>
        <v/>
      </c>
      <c r="T29">
        <f>IF(T27=0,0,SUMIFS(INDIRECT("Accounts!$M$2:$M$"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""),"&lt;="&amp;30)/T27)</f>
        <v/>
      </c>
      <c r="U29">
        <f>IF(U27=0,0,SUMIFS(INDIRECT("Accounts!$M$2:$M$"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""),"&lt;="&amp;30)/U27)</f>
        <v/>
      </c>
      <c r="V29">
        <f>IF(V27=0,0,SUMIFS(INDIRECT("Accounts!$M$2:$M$"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""),"&lt;="&amp;30)/V27)</f>
        <v/>
      </c>
      <c r="W29" s="15">
        <f>IF(W27=0,0,SUMIFS(INDIRECT("Accounts!$M$2:$M$"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""),"&lt;="&amp;30)/W27)</f>
        <v/>
      </c>
    </row>
    <row r="30">
      <c r="A30" s="1" t="inlineStr">
        <is>
          <t xml:space="preserve">   ARPC</t>
        </is>
      </c>
      <c r="B30" s="65">
        <f>IF(B27=0,0,B31/B27)</f>
        <v/>
      </c>
      <c r="C30" s="66">
        <f>IF(C27=0,0,C31/C27)</f>
        <v/>
      </c>
      <c r="D30" s="66">
        <f>IF(D27=0,0,D31/D27)</f>
        <v/>
      </c>
      <c r="E30" s="66">
        <f>IF(E27=0,0,E31/E27)</f>
        <v/>
      </c>
      <c r="F30" s="66">
        <f>IF(F27=0,0,F31/F27)</f>
        <v/>
      </c>
      <c r="G30" s="66">
        <f>IF(G27=0,0,G31/G27)</f>
        <v/>
      </c>
      <c r="H30" s="66">
        <f>IF(H27=0,0,H31/H27)</f>
        <v/>
      </c>
      <c r="I30" s="67">
        <f>IF(I27=0,0,I31/I27)</f>
        <v/>
      </c>
      <c r="J30" s="66">
        <f>IF(J27=0,0,J31/J27)</f>
        <v/>
      </c>
      <c r="K30" s="66">
        <f>IF(K27=0,0,K31/K27)</f>
        <v/>
      </c>
      <c r="L30" s="66">
        <f>IF(L27=0,0,L31/L27)</f>
        <v/>
      </c>
      <c r="M30" s="66">
        <f>IF(M27=0,0,M31/M27)</f>
        <v/>
      </c>
      <c r="N30" s="66">
        <f>IF(N27=0,0,N31/N27)</f>
        <v/>
      </c>
      <c r="O30" s="66">
        <f>IF(O27=0,0,O31/O27)</f>
        <v/>
      </c>
      <c r="P30" s="67">
        <f>IF(P27=0,0,P31/P27)</f>
        <v/>
      </c>
      <c r="Q30" s="66">
        <f>IF(Q27=0,0,Q31/Q27)</f>
        <v/>
      </c>
      <c r="R30" s="66">
        <f>IF(R27=0,0,R31/R27)</f>
        <v/>
      </c>
      <c r="S30" s="66">
        <f>IF(S27=0,0,S31/S27)</f>
        <v/>
      </c>
      <c r="T30" s="66">
        <f>IF(T27=0,0,T31/T27)</f>
        <v/>
      </c>
      <c r="U30" s="66">
        <f>IF(U27=0,0,U31/U27)</f>
        <v/>
      </c>
      <c r="V30" s="66">
        <f>IF(V27=0,0,V31/V27)</f>
        <v/>
      </c>
      <c r="W30" s="67">
        <f>IF(W27=0,0,W31/W27)</f>
        <v/>
      </c>
    </row>
    <row r="31">
      <c r="A31" s="1" t="inlineStr">
        <is>
          <t xml:space="preserve">   SaaS</t>
        </is>
      </c>
      <c r="B31" s="65">
        <f>I31+P31+W31</f>
        <v/>
      </c>
      <c r="C31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D31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E31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F31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G31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H31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I31" s="67">
        <f>SUM(C31:H31)</f>
        <v/>
      </c>
      <c r="J31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K31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L31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M31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N31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O31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P31" s="67">
        <f>SUM(J31:O31)</f>
        <v/>
      </c>
      <c r="Q31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R31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S31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T31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U31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V31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W31" s="67">
        <f>SUM(Q31:V31)</f>
        <v/>
      </c>
    </row>
    <row r="32">
      <c r="A32" s="1" t="inlineStr">
        <is>
          <t>31-60 day cohort as of BOM</t>
        </is>
      </c>
      <c r="B32" s="65" t="n"/>
      <c r="C32" s="66" t="n"/>
      <c r="D32" s="66" t="n"/>
      <c r="E32" s="66" t="n"/>
      <c r="F32" s="66" t="n"/>
      <c r="G32" s="66" t="n"/>
      <c r="H32" s="66" t="n"/>
      <c r="I32" s="67" t="n"/>
      <c r="J32" s="66" t="n"/>
      <c r="K32" s="66" t="n"/>
      <c r="L32" s="66" t="n"/>
      <c r="M32" s="66" t="n"/>
      <c r="N32" s="66" t="n"/>
      <c r="O32" s="66" t="n"/>
      <c r="P32" s="67" t="n"/>
      <c r="Q32" s="66" t="n"/>
      <c r="R32" s="66" t="n"/>
      <c r="S32" s="66" t="n"/>
      <c r="T32" s="66" t="n"/>
      <c r="U32" s="66" t="n"/>
      <c r="V32" s="66" t="n"/>
      <c r="W32" s="67" t="n"/>
    </row>
    <row r="33">
      <c r="A33" s="1" t="inlineStr">
        <is>
          <t xml:space="preserve">   Total % of Monthly</t>
        </is>
      </c>
      <c r="B33" s="11">
        <f>IF(B22=0,0,(B35+B36)/B22)</f>
        <v/>
      </c>
      <c r="C33" s="8">
        <f>IF(C22=0,0,(C35+C36)/C22)</f>
        <v/>
      </c>
      <c r="D33" s="8">
        <f>IF(D22=0,0,(D35+D36)/D22)</f>
        <v/>
      </c>
      <c r="E33" s="8">
        <f>IF(E22=0,0,(E35+E36)/E22)</f>
        <v/>
      </c>
      <c r="F33" s="8">
        <f>IF(F22=0,0,(F35+F36)/F22)</f>
        <v/>
      </c>
      <c r="G33" s="8">
        <f>IF(G22=0,0,(G35+G36)/G22)</f>
        <v/>
      </c>
      <c r="H33" s="8">
        <f>IF(H22=0,0,(H35+H36)/H22)</f>
        <v/>
      </c>
      <c r="I33" s="20">
        <f>IF(I22=0,0,(I35+I36)/I22)</f>
        <v/>
      </c>
      <c r="J33" s="8">
        <f>IF(J22=0,0,(J35+J36)/J22)</f>
        <v/>
      </c>
      <c r="K33" s="8">
        <f>IF(K22=0,0,(K35+K36)/K22)</f>
        <v/>
      </c>
      <c r="L33" s="8">
        <f>IF(L22=0,0,(L35+L36)/L22)</f>
        <v/>
      </c>
      <c r="M33" s="8">
        <f>IF(M22=0,0,(M35+M36)/M22)</f>
        <v/>
      </c>
      <c r="N33" s="8">
        <f>IF(N22=0,0,(N35+N36)/N22)</f>
        <v/>
      </c>
      <c r="O33" s="8">
        <f>IF(O22=0,0,(O35+O36)/O22)</f>
        <v/>
      </c>
      <c r="P33" s="20">
        <f>IF(P22=0,0,(P35+P36)/P22)</f>
        <v/>
      </c>
      <c r="Q33" s="8">
        <f>IF(Q22=0,0,(Q35+Q36)/Q22)</f>
        <v/>
      </c>
      <c r="R33" s="8">
        <f>IF(R22=0,0,(R35+R36)/R22)</f>
        <v/>
      </c>
      <c r="S33" s="8">
        <f>IF(S22=0,0,(S35+S36)/S22)</f>
        <v/>
      </c>
      <c r="T33" s="8">
        <f>IF(T22=0,0,(T35+T36)/T22)</f>
        <v/>
      </c>
      <c r="U33" s="8">
        <f>IF(U22=0,0,(U35+U36)/U22)</f>
        <v/>
      </c>
      <c r="V33" s="8">
        <f>IF(V22=0,0,(V35+V36)/V22)</f>
        <v/>
      </c>
      <c r="W33" s="20">
        <f>IF(W22=0,0,(W35+W36)/W22)</f>
        <v/>
      </c>
    </row>
    <row r="34">
      <c r="A34" s="1" t="inlineStr">
        <is>
          <t xml:space="preserve">   Loss %</t>
        </is>
      </c>
      <c r="B34" s="11">
        <f>IF((B35+B36)=0,0,B35/(B35+B36))</f>
        <v/>
      </c>
      <c r="C34" s="8">
        <f>IF((C35+C36)=0,0,C35/(C35+C36))</f>
        <v/>
      </c>
      <c r="D34" s="8">
        <f>IF((D35+D36)=0,0,D35/(D35+D36))</f>
        <v/>
      </c>
      <c r="E34" s="8">
        <f>IF((E35+E36)=0,0,E35/(E35+E36))</f>
        <v/>
      </c>
      <c r="F34" s="8">
        <f>IF((F35+F36)=0,0,F35/(F35+F36))</f>
        <v/>
      </c>
      <c r="G34" s="8">
        <f>IF((G35+G36)=0,0,G35/(G35+G36))</f>
        <v/>
      </c>
      <c r="H34" s="8">
        <f>IF((H35+H36)=0,0,H35/(H35+H36))</f>
        <v/>
      </c>
      <c r="I34" s="20">
        <f>IF((I35+I36)=0,0,I35/(I35+I36))</f>
        <v/>
      </c>
      <c r="J34" s="8">
        <f>IF((J35+J36)=0,0,J35/(J35+J36))</f>
        <v/>
      </c>
      <c r="K34" s="8">
        <f>IF((K35+K36)=0,0,K35/(K35+K36))</f>
        <v/>
      </c>
      <c r="L34" s="8">
        <f>IF((L35+L36)=0,0,L35/(L35+L36))</f>
        <v/>
      </c>
      <c r="M34" s="8">
        <f>IF((M35+M36)=0,0,M35/(M35+M36))</f>
        <v/>
      </c>
      <c r="N34" s="8">
        <f>IF((N35+N36)=0,0,N35/(N35+N36))</f>
        <v/>
      </c>
      <c r="O34" s="8">
        <f>IF((O35+O36)=0,0,O35/(O35+O36))</f>
        <v/>
      </c>
      <c r="P34" s="20">
        <f>IF((P35+P36)=0,0,P35/(P35+P36))</f>
        <v/>
      </c>
      <c r="Q34" s="8">
        <f>IF((Q35+Q36)=0,0,Q35/(Q35+Q36))</f>
        <v/>
      </c>
      <c r="R34" s="8">
        <f>IF((R35+R36)=0,0,R35/(R35+R36))</f>
        <v/>
      </c>
      <c r="S34" s="8">
        <f>IF((S35+S36)=0,0,S35/(S35+S36))</f>
        <v/>
      </c>
      <c r="T34" s="8">
        <f>IF((T35+T36)=0,0,T35/(T35+T36))</f>
        <v/>
      </c>
      <c r="U34" s="8">
        <f>IF((U35+U36)=0,0,U35/(U35+U36))</f>
        <v/>
      </c>
      <c r="V34" s="8">
        <f>IF((V35+V36)=0,0,V35/(V35+V36))</f>
        <v/>
      </c>
      <c r="W34" s="20">
        <f>IF((W35+W36)=0,0,W35/(W35+W36))</f>
        <v/>
      </c>
    </row>
    <row r="35">
      <c r="A35" s="1" t="inlineStr">
        <is>
          <t xml:space="preserve">   Lost Count</t>
        </is>
      </c>
      <c r="B35" s="9">
        <f>I35+P35+W35</f>
        <v/>
      </c>
      <c r="C3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D3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E3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F3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G3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H3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I35" s="15">
        <f>SUM(C35:H35)</f>
        <v/>
      </c>
      <c r="J3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K3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L3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M3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N3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O3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P35" s="15">
        <f>SUM(J35:O35)</f>
        <v/>
      </c>
      <c r="Q3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R3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S3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T3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U3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V3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W35" s="15">
        <f>SUM(Q35:V35)</f>
        <v/>
      </c>
    </row>
    <row r="36">
      <c r="A36" s="1" t="inlineStr">
        <is>
          <t xml:space="preserve">   Retained Count</t>
        </is>
      </c>
      <c r="B36" s="9">
        <f>I36+P36+W36</f>
        <v/>
      </c>
      <c r="C36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D36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E36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F36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G36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H36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I36" s="15">
        <f>SUM(C36:H36)</f>
        <v/>
      </c>
      <c r="J36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K36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L36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M36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N36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O36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P36" s="15">
        <f>SUM(J36:O36)</f>
        <v/>
      </c>
      <c r="Q36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R36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S36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T36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U36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V36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W36" s="15">
        <f>SUM(Q36:V36)</f>
        <v/>
      </c>
    </row>
    <row r="37">
      <c r="A37" s="2" t="inlineStr">
        <is>
          <t xml:space="preserve">   Packs per Account</t>
        </is>
      </c>
      <c r="B37" s="13">
        <f>IF(B36=0,0,SUMIFS(INDIRECT("Accounts!$L$2:$L$"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""),"&lt;="&amp;60)/B36)</f>
        <v/>
      </c>
      <c r="C37" s="4">
        <f>IF(C36=0,0,SUMIFS(INDIRECT("Accounts!$L$2:$L$"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""),"&lt;="&amp;60)/C36)</f>
        <v/>
      </c>
      <c r="D37" s="4">
        <f>IF(D36=0,0,SUMIFS(INDIRECT("Accounts!$L$2:$L$"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""),"&lt;="&amp;60)/D36)</f>
        <v/>
      </c>
      <c r="E37" s="4">
        <f>IF(E36=0,0,SUMIFS(INDIRECT("Accounts!$L$2:$L$"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""),"&lt;="&amp;60)/E36)</f>
        <v/>
      </c>
      <c r="F37" s="4">
        <f>IF(F36=0,0,SUMIFS(INDIRECT("Accounts!$L$2:$L$"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""),"&lt;="&amp;60)/F36)</f>
        <v/>
      </c>
      <c r="G37" s="4">
        <f>IF(G36=0,0,SUMIFS(INDIRECT("Accounts!$L$2:$L$"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""),"&lt;="&amp;60)/G36)</f>
        <v/>
      </c>
      <c r="H37" s="4">
        <f>IF(H36=0,0,SUMIFS(INDIRECT("Accounts!$L$2:$L$"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""),"&lt;="&amp;60)/H36)</f>
        <v/>
      </c>
      <c r="I37" s="5">
        <f>IF(I36=0,0,SUMIFS(INDIRECT("Accounts!$L$2:$L$"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""),"&lt;="&amp;60)/I36)</f>
        <v/>
      </c>
      <c r="J37" s="4">
        <f>IF(J36=0,0,SUMIFS(INDIRECT("Accounts!$L$2:$L$"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""),"&lt;="&amp;60)/J36)</f>
        <v/>
      </c>
      <c r="K37" s="4">
        <f>IF(K36=0,0,SUMIFS(INDIRECT("Accounts!$L$2:$L$"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""),"&lt;="&amp;60)/K36)</f>
        <v/>
      </c>
      <c r="L37" s="4">
        <f>IF(L36=0,0,SUMIFS(INDIRECT("Accounts!$L$2:$L$"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""),"&lt;="&amp;60)/L36)</f>
        <v/>
      </c>
      <c r="M37" s="4">
        <f>IF(M36=0,0,SUMIFS(INDIRECT("Accounts!$L$2:$L$"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""),"&lt;="&amp;60)/M36)</f>
        <v/>
      </c>
      <c r="N37" s="4">
        <f>IF(N36=0,0,SUMIFS(INDIRECT("Accounts!$L$2:$L$"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""),"&lt;="&amp;60)/N36)</f>
        <v/>
      </c>
      <c r="O37" s="4">
        <f>IF(O36=0,0,SUMIFS(INDIRECT("Accounts!$L$2:$L$"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""),"&lt;="&amp;60)/O36)</f>
        <v/>
      </c>
      <c r="P37" s="5">
        <f>IF(P36=0,0,SUMIFS(INDIRECT("Accounts!$L$2:$L$"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""),"&lt;="&amp;60)/P36)</f>
        <v/>
      </c>
      <c r="Q37" s="4">
        <f>IF(Q36=0,0,SUMIFS(INDIRECT("Accounts!$L$2:$L$"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""),"&lt;="&amp;60)/Q36)</f>
        <v/>
      </c>
      <c r="R37" s="4">
        <f>IF(R36=0,0,SUMIFS(INDIRECT("Accounts!$L$2:$L$"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""),"&lt;="&amp;60)/R36)</f>
        <v/>
      </c>
      <c r="S37" s="4">
        <f>IF(S36=0,0,SUMIFS(INDIRECT("Accounts!$L$2:$L$"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""),"&lt;="&amp;60)/S36)</f>
        <v/>
      </c>
      <c r="T37" s="4">
        <f>IF(T36=0,0,SUMIFS(INDIRECT("Accounts!$L$2:$L$"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""),"&lt;="&amp;60)/T36)</f>
        <v/>
      </c>
      <c r="U37" s="4">
        <f>IF(U36=0,0,SUMIFS(INDIRECT("Accounts!$L$2:$L$"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""),"&lt;="&amp;60)/U36)</f>
        <v/>
      </c>
      <c r="V37" s="4">
        <f>IF(V36=0,0,SUMIFS(INDIRECT("Accounts!$L$2:$L$"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""),"&lt;="&amp;60)/V36)</f>
        <v/>
      </c>
      <c r="W37" s="5">
        <f>IF(W36=0,0,SUMIFS(INDIRECT("Accounts!$L$2:$L$"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""),"&lt;="&amp;60)/W36)</f>
        <v/>
      </c>
    </row>
    <row r="38">
      <c r="A38" s="2" t="inlineStr">
        <is>
          <t xml:space="preserve">   Users per Account</t>
        </is>
      </c>
      <c r="B38" s="13">
        <f>IF(B36=0,0,SUMIFS(INDIRECT("Accounts!$M$2:$M$"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""),"&lt;="&amp;60)/B36)</f>
        <v/>
      </c>
      <c r="C38" s="4">
        <f>IF(C36=0,0,SUMIFS(INDIRECT("Accounts!$M$2:$M$"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""),"&lt;="&amp;60)/C36)</f>
        <v/>
      </c>
      <c r="D38" s="4">
        <f>IF(D36=0,0,SUMIFS(INDIRECT("Accounts!$M$2:$M$"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""),"&lt;="&amp;60)/D36)</f>
        <v/>
      </c>
      <c r="E38" s="4">
        <f>IF(E36=0,0,SUMIFS(INDIRECT("Accounts!$M$2:$M$"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""),"&lt;="&amp;60)/E36)</f>
        <v/>
      </c>
      <c r="F38" s="4">
        <f>IF(F36=0,0,SUMIFS(INDIRECT("Accounts!$M$2:$M$"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""),"&lt;="&amp;60)/F36)</f>
        <v/>
      </c>
      <c r="G38" s="4">
        <f>IF(G36=0,0,SUMIFS(INDIRECT("Accounts!$M$2:$M$"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""),"&lt;="&amp;60)/G36)</f>
        <v/>
      </c>
      <c r="H38" s="4">
        <f>IF(H36=0,0,SUMIFS(INDIRECT("Accounts!$M$2:$M$"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""),"&lt;="&amp;60)/H36)</f>
        <v/>
      </c>
      <c r="I38" s="5">
        <f>IF(I36=0,0,SUMIFS(INDIRECT("Accounts!$M$2:$M$"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""),"&lt;="&amp;60)/I36)</f>
        <v/>
      </c>
      <c r="J38" s="4">
        <f>IF(J36=0,0,SUMIFS(INDIRECT("Accounts!$M$2:$M$"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""),"&lt;="&amp;60)/J36)</f>
        <v/>
      </c>
      <c r="K38" s="4">
        <f>IF(K36=0,0,SUMIFS(INDIRECT("Accounts!$M$2:$M$"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""),"&lt;="&amp;60)/K36)</f>
        <v/>
      </c>
      <c r="L38" s="4">
        <f>IF(L36=0,0,SUMIFS(INDIRECT("Accounts!$M$2:$M$"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""),"&lt;="&amp;60)/L36)</f>
        <v/>
      </c>
      <c r="M38" s="4">
        <f>IF(M36=0,0,SUMIFS(INDIRECT("Accounts!$M$2:$M$"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""),"&lt;="&amp;60)/M36)</f>
        <v/>
      </c>
      <c r="N38" s="4">
        <f>IF(N36=0,0,SUMIFS(INDIRECT("Accounts!$M$2:$M$"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""),"&lt;="&amp;60)/N36)</f>
        <v/>
      </c>
      <c r="O38" s="4">
        <f>IF(O36=0,0,SUMIFS(INDIRECT("Accounts!$M$2:$M$"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""),"&lt;="&amp;60)/O36)</f>
        <v/>
      </c>
      <c r="P38" s="5">
        <f>IF(P36=0,0,SUMIFS(INDIRECT("Accounts!$M$2:$M$"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""),"&lt;="&amp;60)/P36)</f>
        <v/>
      </c>
      <c r="Q38" s="4">
        <f>IF(Q36=0,0,SUMIFS(INDIRECT("Accounts!$M$2:$M$"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""),"&lt;="&amp;60)/Q36)</f>
        <v/>
      </c>
      <c r="R38" s="4">
        <f>IF(R36=0,0,SUMIFS(INDIRECT("Accounts!$M$2:$M$"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""),"&lt;="&amp;60)/R36)</f>
        <v/>
      </c>
      <c r="S38" s="4">
        <f>IF(S36=0,0,SUMIFS(INDIRECT("Accounts!$M$2:$M$"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""),"&lt;="&amp;60)/S36)</f>
        <v/>
      </c>
      <c r="T38" s="4">
        <f>IF(T36=0,0,SUMIFS(INDIRECT("Accounts!$M$2:$M$"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""),"&lt;="&amp;60)/T36)</f>
        <v/>
      </c>
      <c r="U38" s="4">
        <f>IF(U36=0,0,SUMIFS(INDIRECT("Accounts!$M$2:$M$"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""),"&lt;="&amp;60)/U36)</f>
        <v/>
      </c>
      <c r="V38" s="4">
        <f>IF(V36=0,0,SUMIFS(INDIRECT("Accounts!$M$2:$M$"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""),"&lt;="&amp;60)/V36)</f>
        <v/>
      </c>
      <c r="W38" s="5">
        <f>IF(W36=0,0,SUMIFS(INDIRECT("Accounts!$M$2:$M$"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""),"&lt;="&amp;60)/W36)</f>
        <v/>
      </c>
    </row>
    <row r="39">
      <c r="A39" s="1" t="inlineStr">
        <is>
          <t xml:space="preserve">   ARPC</t>
        </is>
      </c>
      <c r="B39" s="65">
        <f>IF(B36=0,0,B40/B36)</f>
        <v/>
      </c>
      <c r="C39" s="66">
        <f>IF(C36=0,0,C40/C36)</f>
        <v/>
      </c>
      <c r="D39" s="66">
        <f>IF(D36=0,0,D40/D36)</f>
        <v/>
      </c>
      <c r="E39" s="66">
        <f>IF(E36=0,0,E40/E36)</f>
        <v/>
      </c>
      <c r="F39" s="66">
        <f>IF(F36=0,0,F40/F36)</f>
        <v/>
      </c>
      <c r="G39" s="66">
        <f>IF(G36=0,0,G40/G36)</f>
        <v/>
      </c>
      <c r="H39" s="66">
        <f>IF(H36=0,0,H40/H36)</f>
        <v/>
      </c>
      <c r="I39" s="67">
        <f>IF(I36=0,0,I40/I36)</f>
        <v/>
      </c>
      <c r="J39" s="66">
        <f>IF(J36=0,0,J40/J36)</f>
        <v/>
      </c>
      <c r="K39" s="66">
        <f>IF(K36=0,0,K40/K36)</f>
        <v/>
      </c>
      <c r="L39" s="66">
        <f>IF(L36=0,0,L40/L36)</f>
        <v/>
      </c>
      <c r="M39" s="66">
        <f>IF(M36=0,0,M40/M36)</f>
        <v/>
      </c>
      <c r="N39" s="66">
        <f>IF(N36=0,0,N40/N36)</f>
        <v/>
      </c>
      <c r="O39" s="66">
        <f>IF(O36=0,0,O40/O36)</f>
        <v/>
      </c>
      <c r="P39" s="67">
        <f>IF(P36=0,0,P40/P36)</f>
        <v/>
      </c>
      <c r="Q39" s="66">
        <f>IF(Q36=0,0,Q40/Q36)</f>
        <v/>
      </c>
      <c r="R39" s="66">
        <f>IF(R36=0,0,R40/R36)</f>
        <v/>
      </c>
      <c r="S39" s="66">
        <f>IF(S36=0,0,S40/S36)</f>
        <v/>
      </c>
      <c r="T39" s="66">
        <f>IF(T36=0,0,T40/T36)</f>
        <v/>
      </c>
      <c r="U39" s="66">
        <f>IF(U36=0,0,U40/U36)</f>
        <v/>
      </c>
      <c r="V39" s="66">
        <f>IF(V36=0,0,V40/V36)</f>
        <v/>
      </c>
      <c r="W39" s="67">
        <f>IF(W36=0,0,W40/W36)</f>
        <v/>
      </c>
    </row>
    <row r="40">
      <c r="A40" s="1" t="inlineStr">
        <is>
          <t xml:space="preserve">   SaaS</t>
        </is>
      </c>
      <c r="B40" s="65">
        <f>I40+P40+W40</f>
        <v/>
      </c>
      <c r="C40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D40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E40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F40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G40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H40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I40" s="67">
        <f>SUM(C40:H40)</f>
        <v/>
      </c>
      <c r="J40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K40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L40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M40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N40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O40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P40" s="67">
        <f>SUM(J40:O40)</f>
        <v/>
      </c>
      <c r="Q40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R40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S40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T40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U40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V40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W40" s="67">
        <f>SUM(Q40:V40)</f>
        <v/>
      </c>
    </row>
    <row r="41">
      <c r="A41" s="1" t="inlineStr">
        <is>
          <t>61-180 day cohort as of BOM</t>
        </is>
      </c>
      <c r="B41" s="65" t="n"/>
      <c r="C41" s="66" t="n"/>
      <c r="D41" s="66" t="n"/>
      <c r="E41" s="66" t="n"/>
      <c r="F41" s="66" t="n"/>
      <c r="G41" s="66" t="n"/>
      <c r="H41" s="66" t="n"/>
      <c r="I41" s="67" t="n"/>
      <c r="J41" s="66" t="n"/>
      <c r="K41" s="66" t="n"/>
      <c r="L41" s="66" t="n"/>
      <c r="M41" s="66" t="n"/>
      <c r="N41" s="66" t="n"/>
      <c r="O41" s="66" t="n"/>
      <c r="P41" s="67" t="n"/>
      <c r="Q41" s="66" t="n"/>
      <c r="R41" s="66" t="n"/>
      <c r="S41" s="66" t="n"/>
      <c r="T41" s="66" t="n"/>
      <c r="U41" s="66" t="n"/>
      <c r="V41" s="66" t="n"/>
      <c r="W41" s="67" t="n"/>
    </row>
    <row r="42">
      <c r="A42" s="1" t="inlineStr">
        <is>
          <t xml:space="preserve">   Total % of Monthly</t>
        </is>
      </c>
      <c r="B42" s="11">
        <f>IF(B22=0,0,(B44+B45)/B22)</f>
        <v/>
      </c>
      <c r="C42" s="8">
        <f>IF(C22=0,0,(C44+C45)/C22)</f>
        <v/>
      </c>
      <c r="D42" s="8">
        <f>IF(D22=0,0,(D44+D45)/D22)</f>
        <v/>
      </c>
      <c r="E42" s="8">
        <f>IF(E22=0,0,(E44+E45)/E22)</f>
        <v/>
      </c>
      <c r="F42" s="8">
        <f>IF(F22=0,0,(F44+F45)/F22)</f>
        <v/>
      </c>
      <c r="G42" s="8">
        <f>IF(G22=0,0,(G44+G45)/G22)</f>
        <v/>
      </c>
      <c r="H42" s="8">
        <f>IF(H22=0,0,(H44+H45)/H22)</f>
        <v/>
      </c>
      <c r="I42" s="20">
        <f>IF(I22=0,0,(I44+I45)/I22)</f>
        <v/>
      </c>
      <c r="J42" s="8">
        <f>IF(J22=0,0,(J44+J45)/J22)</f>
        <v/>
      </c>
      <c r="K42" s="8">
        <f>IF(K22=0,0,(K44+K45)/K22)</f>
        <v/>
      </c>
      <c r="L42" s="8">
        <f>IF(L22=0,0,(L44+L45)/L22)</f>
        <v/>
      </c>
      <c r="M42" s="8">
        <f>IF(M22=0,0,(M44+M45)/M22)</f>
        <v/>
      </c>
      <c r="N42" s="8">
        <f>IF(N22=0,0,(N44+N45)/N22)</f>
        <v/>
      </c>
      <c r="O42" s="8">
        <f>IF(O22=0,0,(O44+O45)/O22)</f>
        <v/>
      </c>
      <c r="P42" s="20">
        <f>IF(P22=0,0,(P44+P45)/P22)</f>
        <v/>
      </c>
      <c r="Q42" s="8">
        <f>IF(Q22=0,0,(Q44+Q45)/Q22)</f>
        <v/>
      </c>
      <c r="R42" s="8">
        <f>IF(R22=0,0,(R44+R45)/R22)</f>
        <v/>
      </c>
      <c r="S42" s="8">
        <f>IF(S22=0,0,(S44+S45)/S22)</f>
        <v/>
      </c>
      <c r="T42" s="8">
        <f>IF(T22=0,0,(T44+T45)/T22)</f>
        <v/>
      </c>
      <c r="U42" s="8">
        <f>IF(U22=0,0,(U44+U45)/U22)</f>
        <v/>
      </c>
      <c r="V42" s="8">
        <f>IF(V22=0,0,(V44+V45)/V22)</f>
        <v/>
      </c>
      <c r="W42" s="20">
        <f>IF(W22=0,0,(W44+W45)/W22)</f>
        <v/>
      </c>
    </row>
    <row r="43">
      <c r="A43" s="1" t="inlineStr">
        <is>
          <t xml:space="preserve">   Loss %</t>
        </is>
      </c>
      <c r="B43" s="11">
        <f>IF((B44+B45)=0,0,B44/(B44+B45))</f>
        <v/>
      </c>
      <c r="C43" s="8">
        <f>IF((C44+C45)=0,0,C44/(C44+C45))</f>
        <v/>
      </c>
      <c r="D43" s="8">
        <f>IF((D44+D45)=0,0,D44/(D44+D45))</f>
        <v/>
      </c>
      <c r="E43" s="8">
        <f>IF((E44+E45)=0,0,E44/(E44+E45))</f>
        <v/>
      </c>
      <c r="F43" s="8">
        <f>IF((F44+F45)=0,0,F44/(F44+F45))</f>
        <v/>
      </c>
      <c r="G43" s="8">
        <f>IF((G44+G45)=0,0,G44/(G44+G45))</f>
        <v/>
      </c>
      <c r="H43" s="8">
        <f>IF((H44+H45)=0,0,H44/(H44+H45))</f>
        <v/>
      </c>
      <c r="I43" s="20">
        <f>IF((I44+I45)=0,0,I44/(I44+I45))</f>
        <v/>
      </c>
      <c r="J43" s="8">
        <f>IF((J44+J45)=0,0,J44/(J44+J45))</f>
        <v/>
      </c>
      <c r="K43" s="8">
        <f>IF((K44+K45)=0,0,K44/(K44+K45))</f>
        <v/>
      </c>
      <c r="L43" s="8">
        <f>IF((L44+L45)=0,0,L44/(L44+L45))</f>
        <v/>
      </c>
      <c r="M43" s="8">
        <f>IF((M44+M45)=0,0,M44/(M44+M45))</f>
        <v/>
      </c>
      <c r="N43" s="8">
        <f>IF((N44+N45)=0,0,N44/(N44+N45))</f>
        <v/>
      </c>
      <c r="O43" s="8">
        <f>IF((O44+O45)=0,0,O44/(O44+O45))</f>
        <v/>
      </c>
      <c r="P43" s="20">
        <f>IF((P44+P45)=0,0,P44/(P44+P45))</f>
        <v/>
      </c>
      <c r="Q43" s="8">
        <f>IF((Q44+Q45)=0,0,Q44/(Q44+Q45))</f>
        <v/>
      </c>
      <c r="R43" s="8">
        <f>IF((R44+R45)=0,0,R44/(R44+R45))</f>
        <v/>
      </c>
      <c r="S43" s="8">
        <f>IF((S44+S45)=0,0,S44/(S44+S45))</f>
        <v/>
      </c>
      <c r="T43" s="8">
        <f>IF((T44+T45)=0,0,T44/(T44+T45))</f>
        <v/>
      </c>
      <c r="U43" s="8">
        <f>IF((U44+U45)=0,0,U44/(U44+U45))</f>
        <v/>
      </c>
      <c r="V43" s="8">
        <f>IF((V44+V45)=0,0,V44/(V44+V45))</f>
        <v/>
      </c>
      <c r="W43" s="20">
        <f>IF((W44+W45)=0,0,W44/(W44+W45))</f>
        <v/>
      </c>
    </row>
    <row r="44">
      <c r="A44" s="1" t="inlineStr">
        <is>
          <t xml:space="preserve">   Lost Count</t>
        </is>
      </c>
      <c r="B44" s="9">
        <f>I44+P44+W44</f>
        <v/>
      </c>
      <c r="C44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D44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E44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F44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G44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H44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I44" s="15">
        <f>SUM(C44:H44)</f>
        <v/>
      </c>
      <c r="J44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K44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L44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M44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N44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O44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P44" s="15">
        <f>SUM(J44:O44)</f>
        <v/>
      </c>
      <c r="Q44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R44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S44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T44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U44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V44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W44" s="15">
        <f>SUM(Q44:V44)</f>
        <v/>
      </c>
    </row>
    <row r="45">
      <c r="A45" s="1" t="inlineStr">
        <is>
          <t xml:space="preserve">   Retained Count</t>
        </is>
      </c>
      <c r="B45" s="9">
        <f>I45+P45+W45</f>
        <v/>
      </c>
      <c r="C4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D4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E4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F4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G4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H4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I45" s="15">
        <f>SUM(C45:H45)</f>
        <v/>
      </c>
      <c r="J4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K4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L4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M4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N4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O4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P45" s="15">
        <f>SUM(J45:O45)</f>
        <v/>
      </c>
      <c r="Q4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R4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S4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T4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U4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V4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W45" s="15">
        <f>SUM(Q45:V45)</f>
        <v/>
      </c>
    </row>
    <row r="46">
      <c r="A46" s="2" t="inlineStr">
        <is>
          <t xml:space="preserve">   Packs per Account</t>
        </is>
      </c>
      <c r="B46" s="13">
        <f>IF(B45=0,0,SUMIFS(INDIRECT("Accounts!$L$2:$L$"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""),"&lt;="&amp;180)/B45)</f>
        <v/>
      </c>
      <c r="C46" s="4">
        <f>IF(C45=0,0,SUMIFS(INDIRECT("Accounts!$L$2:$L$"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""),"&lt;="&amp;180)/C45)</f>
        <v/>
      </c>
      <c r="D46" s="4">
        <f>IF(D45=0,0,SUMIFS(INDIRECT("Accounts!$L$2:$L$"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""),"&lt;="&amp;180)/D45)</f>
        <v/>
      </c>
      <c r="E46" s="4">
        <f>IF(E45=0,0,SUMIFS(INDIRECT("Accounts!$L$2:$L$"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""),"&lt;="&amp;180)/E45)</f>
        <v/>
      </c>
      <c r="F46" s="4">
        <f>IF(F45=0,0,SUMIFS(INDIRECT("Accounts!$L$2:$L$"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""),"&lt;="&amp;180)/F45)</f>
        <v/>
      </c>
      <c r="G46" s="4">
        <f>IF(G45=0,0,SUMIFS(INDIRECT("Accounts!$L$2:$L$"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""),"&lt;="&amp;180)/G45)</f>
        <v/>
      </c>
      <c r="H46" s="4">
        <f>IF(H45=0,0,SUMIFS(INDIRECT("Accounts!$L$2:$L$"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""),"&lt;="&amp;180)/H45)</f>
        <v/>
      </c>
      <c r="I46" s="5">
        <f>IF(I45=0,0,SUMIFS(INDIRECT("Accounts!$L$2:$L$"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""),"&lt;="&amp;180)/I45)</f>
        <v/>
      </c>
      <c r="J46" s="4">
        <f>IF(J45=0,0,SUMIFS(INDIRECT("Accounts!$L$2:$L$"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""),"&lt;="&amp;180)/J45)</f>
        <v/>
      </c>
      <c r="K46" s="4">
        <f>IF(K45=0,0,SUMIFS(INDIRECT("Accounts!$L$2:$L$"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""),"&lt;="&amp;180)/K45)</f>
        <v/>
      </c>
      <c r="L46" s="4">
        <f>IF(L45=0,0,SUMIFS(INDIRECT("Accounts!$L$2:$L$"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""),"&lt;="&amp;180)/L45)</f>
        <v/>
      </c>
      <c r="M46" s="4">
        <f>IF(M45=0,0,SUMIFS(INDIRECT("Accounts!$L$2:$L$"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""),"&lt;="&amp;180)/M45)</f>
        <v/>
      </c>
      <c r="N46" s="4">
        <f>IF(N45=0,0,SUMIFS(INDIRECT("Accounts!$L$2:$L$"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""),"&lt;="&amp;180)/N45)</f>
        <v/>
      </c>
      <c r="O46" s="4">
        <f>IF(O45=0,0,SUMIFS(INDIRECT("Accounts!$L$2:$L$"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""),"&lt;="&amp;180)/O45)</f>
        <v/>
      </c>
      <c r="P46" s="5">
        <f>IF(P45=0,0,SUMIFS(INDIRECT("Accounts!$L$2:$L$"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""),"&lt;="&amp;180)/P45)</f>
        <v/>
      </c>
      <c r="Q46" s="4">
        <f>IF(Q45=0,0,SUMIFS(INDIRECT("Accounts!$L$2:$L$"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""),"&lt;="&amp;180)/Q45)</f>
        <v/>
      </c>
      <c r="R46" s="4">
        <f>IF(R45=0,0,SUMIFS(INDIRECT("Accounts!$L$2:$L$"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""),"&lt;="&amp;180)/R45)</f>
        <v/>
      </c>
      <c r="S46" s="4">
        <f>IF(S45=0,0,SUMIFS(INDIRECT("Accounts!$L$2:$L$"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""),"&lt;="&amp;180)/S45)</f>
        <v/>
      </c>
      <c r="T46" s="4">
        <f>IF(T45=0,0,SUMIFS(INDIRECT("Accounts!$L$2:$L$"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""),"&lt;="&amp;180)/T45)</f>
        <v/>
      </c>
      <c r="U46" s="4">
        <f>IF(U45=0,0,SUMIFS(INDIRECT("Accounts!$L$2:$L$"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""),"&lt;="&amp;180)/U45)</f>
        <v/>
      </c>
      <c r="V46" s="4">
        <f>IF(V45=0,0,SUMIFS(INDIRECT("Accounts!$L$2:$L$"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""),"&lt;="&amp;180)/V45)</f>
        <v/>
      </c>
      <c r="W46" s="5">
        <f>IF(W45=0,0,SUMIFS(INDIRECT("Accounts!$L$2:$L$"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""),"&lt;="&amp;180)/W45)</f>
        <v/>
      </c>
    </row>
    <row r="47">
      <c r="A47" s="2" t="inlineStr">
        <is>
          <t xml:space="preserve">   Users per Account</t>
        </is>
      </c>
      <c r="B47" s="13">
        <f>IF(B45=0,0,SUMIFS(INDIRECT("Accounts!$M$2:$M$"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""),"&lt;="&amp;180)/B45)</f>
        <v/>
      </c>
      <c r="C47" s="4">
        <f>IF(C45=0,0,SUMIFS(INDIRECT("Accounts!$M$2:$M$"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""),"&lt;="&amp;180)/C45)</f>
        <v/>
      </c>
      <c r="D47" s="4">
        <f>IF(D45=0,0,SUMIFS(INDIRECT("Accounts!$M$2:$M$"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""),"&lt;="&amp;180)/D45)</f>
        <v/>
      </c>
      <c r="E47" s="4">
        <f>IF(E45=0,0,SUMIFS(INDIRECT("Accounts!$M$2:$M$"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""),"&lt;="&amp;180)/E45)</f>
        <v/>
      </c>
      <c r="F47" s="4">
        <f>IF(F45=0,0,SUMIFS(INDIRECT("Accounts!$M$2:$M$"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""),"&lt;="&amp;180)/F45)</f>
        <v/>
      </c>
      <c r="G47" s="4">
        <f>IF(G45=0,0,SUMIFS(INDIRECT("Accounts!$M$2:$M$"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""),"&lt;="&amp;180)/G45)</f>
        <v/>
      </c>
      <c r="H47" s="4">
        <f>IF(H45=0,0,SUMIFS(INDIRECT("Accounts!$M$2:$M$"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""),"&lt;="&amp;180)/H45)</f>
        <v/>
      </c>
      <c r="I47" s="5">
        <f>IF(I45=0,0,SUMIFS(INDIRECT("Accounts!$M$2:$M$"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""),"&lt;="&amp;180)/I45)</f>
        <v/>
      </c>
      <c r="J47" s="4">
        <f>IF(J45=0,0,SUMIFS(INDIRECT("Accounts!$M$2:$M$"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""),"&lt;="&amp;180)/J45)</f>
        <v/>
      </c>
      <c r="K47" s="4">
        <f>IF(K45=0,0,SUMIFS(INDIRECT("Accounts!$M$2:$M$"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""),"&lt;="&amp;180)/K45)</f>
        <v/>
      </c>
      <c r="L47" s="4">
        <f>IF(L45=0,0,SUMIFS(INDIRECT("Accounts!$M$2:$M$"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""),"&lt;="&amp;180)/L45)</f>
        <v/>
      </c>
      <c r="M47" s="4">
        <f>IF(M45=0,0,SUMIFS(INDIRECT("Accounts!$M$2:$M$"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""),"&lt;="&amp;180)/M45)</f>
        <v/>
      </c>
      <c r="N47" s="4">
        <f>IF(N45=0,0,SUMIFS(INDIRECT("Accounts!$M$2:$M$"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""),"&lt;="&amp;180)/N45)</f>
        <v/>
      </c>
      <c r="O47" s="4">
        <f>IF(O45=0,0,SUMIFS(INDIRECT("Accounts!$M$2:$M$"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""),"&lt;="&amp;180)/O45)</f>
        <v/>
      </c>
      <c r="P47" s="5">
        <f>IF(P45=0,0,SUMIFS(INDIRECT("Accounts!$M$2:$M$"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""),"&lt;="&amp;180)/P45)</f>
        <v/>
      </c>
      <c r="Q47" s="4">
        <f>IF(Q45=0,0,SUMIFS(INDIRECT("Accounts!$M$2:$M$"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""),"&lt;="&amp;180)/Q45)</f>
        <v/>
      </c>
      <c r="R47" s="4">
        <f>IF(R45=0,0,SUMIFS(INDIRECT("Accounts!$M$2:$M$"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""),"&lt;="&amp;180)/R45)</f>
        <v/>
      </c>
      <c r="S47" s="4">
        <f>IF(S45=0,0,SUMIFS(INDIRECT("Accounts!$M$2:$M$"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""),"&lt;="&amp;180)/S45)</f>
        <v/>
      </c>
      <c r="T47" s="4">
        <f>IF(T45=0,0,SUMIFS(INDIRECT("Accounts!$M$2:$M$"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""),"&lt;="&amp;180)/T45)</f>
        <v/>
      </c>
      <c r="U47" s="4">
        <f>IF(U45=0,0,SUMIFS(INDIRECT("Accounts!$M$2:$M$"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""),"&lt;="&amp;180)/U45)</f>
        <v/>
      </c>
      <c r="V47" s="4">
        <f>IF(V45=0,0,SUMIFS(INDIRECT("Accounts!$M$2:$M$"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""),"&lt;="&amp;180)/V45)</f>
        <v/>
      </c>
      <c r="W47" s="5">
        <f>IF(W45=0,0,SUMIFS(INDIRECT("Accounts!$M$2:$M$"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""),"&lt;="&amp;180)/W45)</f>
        <v/>
      </c>
    </row>
    <row r="48">
      <c r="A48" s="1" t="inlineStr">
        <is>
          <t xml:space="preserve">   ARPC</t>
        </is>
      </c>
      <c r="B48" s="65">
        <f>IF(B45=0,0,B49/B45)</f>
        <v/>
      </c>
      <c r="C48" s="66">
        <f>IF(C45=0,0,C49/C45)</f>
        <v/>
      </c>
      <c r="D48" s="66">
        <f>IF(D45=0,0,D49/D45)</f>
        <v/>
      </c>
      <c r="E48" s="66">
        <f>IF(E45=0,0,E49/E45)</f>
        <v/>
      </c>
      <c r="F48" s="66">
        <f>IF(F45=0,0,F49/F45)</f>
        <v/>
      </c>
      <c r="G48" s="66">
        <f>IF(G45=0,0,G49/G45)</f>
        <v/>
      </c>
      <c r="H48" s="66">
        <f>IF(H45=0,0,H49/H45)</f>
        <v/>
      </c>
      <c r="I48" s="67">
        <f>IF(I45=0,0,I49/I45)</f>
        <v/>
      </c>
      <c r="J48" s="66">
        <f>IF(J45=0,0,J49/J45)</f>
        <v/>
      </c>
      <c r="K48" s="66">
        <f>IF(K45=0,0,K49/K45)</f>
        <v/>
      </c>
      <c r="L48" s="66">
        <f>IF(L45=0,0,L49/L45)</f>
        <v/>
      </c>
      <c r="M48" s="66">
        <f>IF(M45=0,0,M49/M45)</f>
        <v/>
      </c>
      <c r="N48" s="66">
        <f>IF(N45=0,0,N49/N45)</f>
        <v/>
      </c>
      <c r="O48" s="66">
        <f>IF(O45=0,0,O49/O45)</f>
        <v/>
      </c>
      <c r="P48" s="67">
        <f>IF(P45=0,0,P49/P45)</f>
        <v/>
      </c>
      <c r="Q48" s="66">
        <f>IF(Q45=0,0,Q49/Q45)</f>
        <v/>
      </c>
      <c r="R48" s="66">
        <f>IF(R45=0,0,R49/R45)</f>
        <v/>
      </c>
      <c r="S48" s="66">
        <f>IF(S45=0,0,S49/S45)</f>
        <v/>
      </c>
      <c r="T48" s="66">
        <f>IF(T45=0,0,T49/T45)</f>
        <v/>
      </c>
      <c r="U48" s="66">
        <f>IF(U45=0,0,U49/U45)</f>
        <v/>
      </c>
      <c r="V48" s="66">
        <f>IF(V45=0,0,V49/V45)</f>
        <v/>
      </c>
      <c r="W48" s="67">
        <f>IF(W45=0,0,W49/W45)</f>
        <v/>
      </c>
    </row>
    <row r="49">
      <c r="A49" s="1" t="inlineStr">
        <is>
          <t xml:space="preserve">   SaaS</t>
        </is>
      </c>
      <c r="B49" s="65">
        <f>I49+P49+W49</f>
        <v/>
      </c>
      <c r="C49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D49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E49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F49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G49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H49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I49" s="67">
        <f>SUM(C49:H49)</f>
        <v/>
      </c>
      <c r="J49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K49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L49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M49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N49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O49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P49" s="67">
        <f>SUM(J49:O49)</f>
        <v/>
      </c>
      <c r="Q49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R49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S49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T49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U49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V49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W49" s="67">
        <f>SUM(Q49:V49)</f>
        <v/>
      </c>
    </row>
    <row r="50">
      <c r="A50" s="1" t="inlineStr">
        <is>
          <t>180+ day cohort as of BOM</t>
        </is>
      </c>
      <c r="B50" s="65" t="n"/>
      <c r="C50" s="66" t="n"/>
      <c r="D50" s="66" t="n"/>
      <c r="E50" s="66" t="n"/>
      <c r="F50" s="66" t="n"/>
      <c r="G50" s="66" t="n"/>
      <c r="H50" s="66" t="n"/>
      <c r="I50" s="67" t="n"/>
      <c r="J50" s="66" t="n"/>
      <c r="K50" s="66" t="n"/>
      <c r="L50" s="66" t="n"/>
      <c r="M50" s="66" t="n"/>
      <c r="N50" s="66" t="n"/>
      <c r="O50" s="66" t="n"/>
      <c r="P50" s="67" t="n"/>
      <c r="Q50" s="66" t="n"/>
      <c r="R50" s="66" t="n"/>
      <c r="S50" s="66" t="n"/>
      <c r="T50" s="66" t="n"/>
      <c r="U50" s="66" t="n"/>
      <c r="V50" s="66" t="n"/>
      <c r="W50" s="67" t="n"/>
    </row>
    <row r="51">
      <c r="A51" s="1" t="inlineStr">
        <is>
          <t xml:space="preserve">   Total % of Monthly</t>
        </is>
      </c>
      <c r="B51" s="11">
        <f>IF(B22=0,0,(B53+B54)/B22)</f>
        <v/>
      </c>
      <c r="C51" s="8">
        <f>IF(C22=0,0,(C53+C54)/C22)</f>
        <v/>
      </c>
      <c r="D51" s="8">
        <f>IF(D22=0,0,(D53+D54)/D22)</f>
        <v/>
      </c>
      <c r="E51" s="8">
        <f>IF(E22=0,0,(E53+E54)/E22)</f>
        <v/>
      </c>
      <c r="F51" s="8">
        <f>IF(F22=0,0,(F53+F54)/F22)</f>
        <v/>
      </c>
      <c r="G51" s="8">
        <f>IF(G22=0,0,(G53+G54)/G22)</f>
        <v/>
      </c>
      <c r="H51" s="8">
        <f>IF(H22=0,0,(H53+H54)/H22)</f>
        <v/>
      </c>
      <c r="I51" s="20">
        <f>IF(I22=0,0,(I53+I54)/I22)</f>
        <v/>
      </c>
      <c r="J51" s="8">
        <f>IF(J22=0,0,(J53+J54)/J22)</f>
        <v/>
      </c>
      <c r="K51" s="8">
        <f>IF(K22=0,0,(K53+K54)/K22)</f>
        <v/>
      </c>
      <c r="L51" s="8">
        <f>IF(L22=0,0,(L53+L54)/L22)</f>
        <v/>
      </c>
      <c r="M51" s="8">
        <f>IF(M22=0,0,(M53+M54)/M22)</f>
        <v/>
      </c>
      <c r="N51" s="8">
        <f>IF(N22=0,0,(N53+N54)/N22)</f>
        <v/>
      </c>
      <c r="O51" s="8">
        <f>IF(O22=0,0,(O53+O54)/O22)</f>
        <v/>
      </c>
      <c r="P51" s="20">
        <f>IF(P22=0,0,(P53+P54)/P22)</f>
        <v/>
      </c>
      <c r="Q51" s="8">
        <f>IF(Q22=0,0,(Q53+Q54)/Q22)</f>
        <v/>
      </c>
      <c r="R51" s="8">
        <f>IF(R22=0,0,(R53+R54)/R22)</f>
        <v/>
      </c>
      <c r="S51" s="8">
        <f>IF(S22=0,0,(S53+S54)/S22)</f>
        <v/>
      </c>
      <c r="T51" s="8">
        <f>IF(T22=0,0,(T53+T54)/T22)</f>
        <v/>
      </c>
      <c r="U51" s="8">
        <f>IF(U22=0,0,(U53+U54)/U22)</f>
        <v/>
      </c>
      <c r="V51" s="8">
        <f>IF(V22=0,0,(V53+V54)/V22)</f>
        <v/>
      </c>
      <c r="W51" s="20">
        <f>IF(W22=0,0,(W53+W54)/W22)</f>
        <v/>
      </c>
    </row>
    <row r="52">
      <c r="A52" s="1" t="inlineStr">
        <is>
          <t xml:space="preserve">   Loss %</t>
        </is>
      </c>
      <c r="B52" s="11">
        <f>IF((B53+B54)=0,0,B53/(B53+B54))</f>
        <v/>
      </c>
      <c r="C52" s="8">
        <f>IF((C53+C54)=0,0,C53/(C53+C54))</f>
        <v/>
      </c>
      <c r="D52" s="8">
        <f>IF((D53+D54)=0,0,D53/(D53+D54))</f>
        <v/>
      </c>
      <c r="E52" s="8">
        <f>IF((E53+E54)=0,0,E53/(E53+E54))</f>
        <v/>
      </c>
      <c r="F52" s="8">
        <f>IF((F53+F54)=0,0,F53/(F53+F54))</f>
        <v/>
      </c>
      <c r="G52" s="8">
        <f>IF((G53+G54)=0,0,G53/(G53+G54))</f>
        <v/>
      </c>
      <c r="H52" s="8">
        <f>IF((H53+H54)=0,0,H53/(H53+H54))</f>
        <v/>
      </c>
      <c r="I52" s="20">
        <f>IF((I53+I54)=0,0,I53/(I53+I54))</f>
        <v/>
      </c>
      <c r="J52" s="8">
        <f>IF((J53+J54)=0,0,J53/(J53+J54))</f>
        <v/>
      </c>
      <c r="K52" s="8">
        <f>IF((K53+K54)=0,0,K53/(K53+K54))</f>
        <v/>
      </c>
      <c r="L52" s="8">
        <f>IF((L53+L54)=0,0,L53/(L53+L54))</f>
        <v/>
      </c>
      <c r="M52" s="8">
        <f>IF((M53+M54)=0,0,M53/(M53+M54))</f>
        <v/>
      </c>
      <c r="N52" s="8">
        <f>IF((N53+N54)=0,0,N53/(N53+N54))</f>
        <v/>
      </c>
      <c r="O52" s="8">
        <f>IF((O53+O54)=0,0,O53/(O53+O54))</f>
        <v/>
      </c>
      <c r="P52" s="20">
        <f>IF((P53+P54)=0,0,P53/(P53+P54))</f>
        <v/>
      </c>
      <c r="Q52" s="8">
        <f>IF((Q53+Q54)=0,0,Q53/(Q53+Q54))</f>
        <v/>
      </c>
      <c r="R52" s="8">
        <f>IF((R53+R54)=0,0,R53/(R53+R54))</f>
        <v/>
      </c>
      <c r="S52" s="8">
        <f>IF((S53+S54)=0,0,S53/(S53+S54))</f>
        <v/>
      </c>
      <c r="T52" s="8">
        <f>IF((T53+T54)=0,0,T53/(T53+T54))</f>
        <v/>
      </c>
      <c r="U52" s="8">
        <f>IF((U53+U54)=0,0,U53/(U53+U54))</f>
        <v/>
      </c>
      <c r="V52" s="8">
        <f>IF((V53+V54)=0,0,V53/(V53+V54))</f>
        <v/>
      </c>
      <c r="W52" s="20">
        <f>IF((W53+W54)=0,0,W53/(W53+W54))</f>
        <v/>
      </c>
    </row>
    <row r="53">
      <c r="A53" s="1" t="inlineStr">
        <is>
          <t xml:space="preserve">   Lost Count</t>
        </is>
      </c>
      <c r="B53" s="9">
        <f>I53+P53+W53</f>
        <v/>
      </c>
      <c r="C53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D53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E53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F53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G53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H53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I53" s="15">
        <f>SUM(C53:H53)</f>
        <v/>
      </c>
      <c r="J53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K53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L53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M53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N53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O53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P53" s="15">
        <f>SUM(J53:O53)</f>
        <v/>
      </c>
      <c r="Q53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R53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S53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T53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U53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V53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W53" s="15">
        <f>SUM(Q53:V53)</f>
        <v/>
      </c>
    </row>
    <row r="54">
      <c r="A54" s="1" t="inlineStr">
        <is>
          <t xml:space="preserve">   Retained Count</t>
        </is>
      </c>
      <c r="B54" s="9">
        <f>I54+P54+W54</f>
        <v/>
      </c>
      <c r="C54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D54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E54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F54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G54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H54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I54" s="15">
        <f>SUM(C54:H54)</f>
        <v/>
      </c>
      <c r="J54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K54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L54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M54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N54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O54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P54" s="15">
        <f>SUM(J54:O54)</f>
        <v/>
      </c>
      <c r="Q54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R54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S54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T54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U54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V54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W54" s="15">
        <f>SUM(Q54:V54)</f>
        <v/>
      </c>
    </row>
    <row r="55">
      <c r="A55" s="2" t="inlineStr">
        <is>
          <t xml:space="preserve">   Packs per Account</t>
        </is>
      </c>
      <c r="B55" s="13">
        <f>IF(B54=0,0,SUMIFS(INDIRECT("Accounts!$L$2:$L$"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""),"&gt;"&amp;180)/B54)</f>
        <v/>
      </c>
      <c r="C55" s="4">
        <f>IF(C54=0,0,SUMIFS(INDIRECT("Accounts!$L$2:$L$"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""),"&gt;"&amp;180)/C54)</f>
        <v/>
      </c>
      <c r="D55" s="4">
        <f>IF(D54=0,0,SUMIFS(INDIRECT("Accounts!$L$2:$L$"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""),"&gt;"&amp;180)/D54)</f>
        <v/>
      </c>
      <c r="E55" s="4">
        <f>IF(E54=0,0,SUMIFS(INDIRECT("Accounts!$L$2:$L$"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""),"&gt;"&amp;180)/E54)</f>
        <v/>
      </c>
      <c r="F55" s="4">
        <f>IF(F54=0,0,SUMIFS(INDIRECT("Accounts!$L$2:$L$"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""),"&gt;"&amp;180)/F54)</f>
        <v/>
      </c>
      <c r="G55" s="4">
        <f>IF(G54=0,0,SUMIFS(INDIRECT("Accounts!$L$2:$L$"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""),"&gt;"&amp;180)/G54)</f>
        <v/>
      </c>
      <c r="H55" s="4">
        <f>IF(H54=0,0,SUMIFS(INDIRECT("Accounts!$L$2:$L$"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""),"&gt;"&amp;180)/H54)</f>
        <v/>
      </c>
      <c r="I55" s="5">
        <f>IF(I54=0,0,SUMIFS(INDIRECT("Accounts!$L$2:$L$"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""),"&lt;="&amp;180)/I54)</f>
        <v/>
      </c>
      <c r="J55" s="4">
        <f>IF(J54=0,0,SUMIFS(INDIRECT("Accounts!$L$2:$L$"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""),"&gt;"&amp;180)/J54)</f>
        <v/>
      </c>
      <c r="K55" s="4">
        <f>IF(K54=0,0,SUMIFS(INDIRECT("Accounts!$L$2:$L$"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""),"&gt;"&amp;180)/K54)</f>
        <v/>
      </c>
      <c r="L55" s="4">
        <f>IF(L54=0,0,SUMIFS(INDIRECT("Accounts!$L$2:$L$"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""),"&gt;"&amp;180)/L54)</f>
        <v/>
      </c>
      <c r="M55" s="4">
        <f>IF(M54=0,0,SUMIFS(INDIRECT("Accounts!$L$2:$L$"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""),"&gt;"&amp;180)/M54)</f>
        <v/>
      </c>
      <c r="N55" s="4">
        <f>IF(N54=0,0,SUMIFS(INDIRECT("Accounts!$L$2:$L$"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""),"&gt;"&amp;180)/N54)</f>
        <v/>
      </c>
      <c r="O55" s="4">
        <f>IF(O54=0,0,SUMIFS(INDIRECT("Accounts!$L$2:$L$"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""),"&gt;"&amp;180)/O54)</f>
        <v/>
      </c>
      <c r="P55" s="5">
        <f>IF(P54=0,0,SUMIFS(INDIRECT("Accounts!$L$2:$L$"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""),"&lt;="&amp;180)/P54)</f>
        <v/>
      </c>
      <c r="Q55" s="4">
        <f>IF(Q54=0,0,SUMIFS(INDIRECT("Accounts!$L$2:$L$"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""),"&gt;"&amp;180)/Q54)</f>
        <v/>
      </c>
      <c r="R55" s="4">
        <f>IF(R54=0,0,SUMIFS(INDIRECT("Accounts!$L$2:$L$"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""),"&gt;"&amp;180)/R54)</f>
        <v/>
      </c>
      <c r="S55" s="4">
        <f>IF(S54=0,0,SUMIFS(INDIRECT("Accounts!$L$2:$L$"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""),"&gt;"&amp;180)/S54)</f>
        <v/>
      </c>
      <c r="T55" s="4">
        <f>IF(T54=0,0,SUMIFS(INDIRECT("Accounts!$L$2:$L$"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""),"&gt;"&amp;180)/T54)</f>
        <v/>
      </c>
      <c r="U55" s="4">
        <f>IF(U54=0,0,SUMIFS(INDIRECT("Accounts!$L$2:$L$"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""),"&gt;"&amp;180)/U54)</f>
        <v/>
      </c>
      <c r="V55" s="4">
        <f>IF(V54=0,0,SUMIFS(INDIRECT("Accounts!$L$2:$L$"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""),"&gt;"&amp;180)/V54)</f>
        <v/>
      </c>
      <c r="W55" s="5">
        <f>IF(W54=0,0,SUMIFS(INDIRECT("Accounts!$L$2:$L$"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""),"&gt;"&amp;180)/W54)</f>
        <v/>
      </c>
    </row>
    <row r="56">
      <c r="A56" s="2" t="inlineStr">
        <is>
          <t xml:space="preserve">   Users per Account</t>
        </is>
      </c>
      <c r="B56" s="13">
        <f>IF(B54=0,0,SUMIFS(INDIRECT("Accounts!$M$2:$M$"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""),"&gt;"&amp;180)/B54)</f>
        <v/>
      </c>
      <c r="C56" s="4">
        <f>IF(C54=0,0,SUMIFS(INDIRECT("Accounts!$M$2:$M$"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""),"&gt;"&amp;180)/C54)</f>
        <v/>
      </c>
      <c r="D56" s="4">
        <f>IF(D54=0,0,SUMIFS(INDIRECT("Accounts!$M$2:$M$"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""),"&gt;"&amp;180)/D54)</f>
        <v/>
      </c>
      <c r="E56" s="4">
        <f>IF(E54=0,0,SUMIFS(INDIRECT("Accounts!$M$2:$M$"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""),"&gt;"&amp;180)/E54)</f>
        <v/>
      </c>
      <c r="F56" s="4">
        <f>IF(F54=0,0,SUMIFS(INDIRECT("Accounts!$M$2:$M$"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""),"&gt;"&amp;180)/F54)</f>
        <v/>
      </c>
      <c r="G56" s="4">
        <f>IF(G54=0,0,SUMIFS(INDIRECT("Accounts!$M$2:$M$"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""),"&gt;"&amp;180)/G54)</f>
        <v/>
      </c>
      <c r="H56" s="4">
        <f>IF(H54=0,0,SUMIFS(INDIRECT("Accounts!$M$2:$M$"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""),"&gt;"&amp;180)/H54)</f>
        <v/>
      </c>
      <c r="I56" s="5">
        <f>IF(I54=0,0,SUMIFS(INDIRECT("Accounts!$M$2:$M$"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""),"&lt;="&amp;180)/I54)</f>
        <v/>
      </c>
      <c r="J56" s="4">
        <f>IF(J54=0,0,SUMIFS(INDIRECT("Accounts!$M$2:$M$"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""),"&gt;"&amp;180)/J54)</f>
        <v/>
      </c>
      <c r="K56" s="4">
        <f>IF(K54=0,0,SUMIFS(INDIRECT("Accounts!$M$2:$M$"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""),"&gt;"&amp;180)/K54)</f>
        <v/>
      </c>
      <c r="L56" s="4">
        <f>IF(L54=0,0,SUMIFS(INDIRECT("Accounts!$M$2:$M$"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""),"&gt;"&amp;180)/L54)</f>
        <v/>
      </c>
      <c r="M56" s="4">
        <f>IF(M54=0,0,SUMIFS(INDIRECT("Accounts!$M$2:$M$"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""),"&gt;"&amp;180)/M54)</f>
        <v/>
      </c>
      <c r="N56" s="4">
        <f>IF(N54=0,0,SUMIFS(INDIRECT("Accounts!$M$2:$M$"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""),"&gt;"&amp;180)/N54)</f>
        <v/>
      </c>
      <c r="O56" s="4">
        <f>IF(O54=0,0,SUMIFS(INDIRECT("Accounts!$M$2:$M$"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""),"&gt;"&amp;180)/O54)</f>
        <v/>
      </c>
      <c r="P56" s="5">
        <f>IF(P54=0,0,SUMIFS(INDIRECT("Accounts!$M$2:$M$"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""),"&lt;="&amp;180)/P54)</f>
        <v/>
      </c>
      <c r="Q56" s="4">
        <f>IF(Q54=0,0,SUMIFS(INDIRECT("Accounts!$M$2:$M$"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""),"&gt;"&amp;180)/Q54)</f>
        <v/>
      </c>
      <c r="R56" s="4">
        <f>IF(R54=0,0,SUMIFS(INDIRECT("Accounts!$M$2:$M$"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""),"&gt;"&amp;180)/R54)</f>
        <v/>
      </c>
      <c r="S56" s="4">
        <f>IF(S54=0,0,SUMIFS(INDIRECT("Accounts!$M$2:$M$"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""),"&gt;"&amp;180)/S54)</f>
        <v/>
      </c>
      <c r="T56" s="4">
        <f>IF(T54=0,0,SUMIFS(INDIRECT("Accounts!$M$2:$M$"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""),"&gt;"&amp;180)/T54)</f>
        <v/>
      </c>
      <c r="U56" s="4">
        <f>IF(U54=0,0,SUMIFS(INDIRECT("Accounts!$M$2:$M$"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""),"&gt;"&amp;180)/U54)</f>
        <v/>
      </c>
      <c r="V56" s="4">
        <f>IF(V54=0,0,SUMIFS(INDIRECT("Accounts!$M$2:$M$"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""),"&gt;"&amp;180)/V54)</f>
        <v/>
      </c>
      <c r="W56" s="5">
        <f>IF(W54=0,0,SUMIFS(INDIRECT("Accounts!$M$2:$M$"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""),"&gt;"&amp;180)/W54)</f>
        <v/>
      </c>
    </row>
    <row r="57">
      <c r="A57" s="1" t="inlineStr">
        <is>
          <t xml:space="preserve">   ARPC</t>
        </is>
      </c>
      <c r="B57" s="65">
        <f>IF(B54=0,0,B58/B54)</f>
        <v/>
      </c>
      <c r="C57" s="66">
        <f>IF(C54=0,0,C58/C54)</f>
        <v/>
      </c>
      <c r="D57" s="66">
        <f>IF(D54=0,0,D58/D54)</f>
        <v/>
      </c>
      <c r="E57" s="66">
        <f>IF(E54=0,0,E58/E54)</f>
        <v/>
      </c>
      <c r="F57" s="66">
        <f>IF(F54=0,0,F58/F54)</f>
        <v/>
      </c>
      <c r="G57" s="66">
        <f>IF(G54=0,0,G58/G54)</f>
        <v/>
      </c>
      <c r="H57" s="66">
        <f>IF(H54=0,0,H58/H54)</f>
        <v/>
      </c>
      <c r="I57" s="67">
        <f>IF(I54=0,0,I58/I54)</f>
        <v/>
      </c>
      <c r="J57" s="66">
        <f>IF(J54=0,0,J58/J54)</f>
        <v/>
      </c>
      <c r="K57" s="66">
        <f>IF(K54=0,0,K58/K54)</f>
        <v/>
      </c>
      <c r="L57" s="66">
        <f>IF(L54=0,0,L58/L54)</f>
        <v/>
      </c>
      <c r="M57" s="66">
        <f>IF(M54=0,0,M58/M54)</f>
        <v/>
      </c>
      <c r="N57" s="66">
        <f>IF(N54=0,0,N58/N54)</f>
        <v/>
      </c>
      <c r="O57" s="66">
        <f>IF(O54=0,0,O58/O54)</f>
        <v/>
      </c>
      <c r="P57" s="67">
        <f>IF(P54=0,0,P58/P54)</f>
        <v/>
      </c>
      <c r="Q57" s="66">
        <f>IF(Q54=0,0,Q58/Q54)</f>
        <v/>
      </c>
      <c r="R57" s="66">
        <f>IF(R54=0,0,R58/R54)</f>
        <v/>
      </c>
      <c r="S57" s="66">
        <f>IF(S54=0,0,S58/S54)</f>
        <v/>
      </c>
      <c r="T57" s="66">
        <f>IF(T54=0,0,T58/T54)</f>
        <v/>
      </c>
      <c r="U57" s="66">
        <f>IF(U54=0,0,U58/U54)</f>
        <v/>
      </c>
      <c r="V57" s="66">
        <f>IF(V54=0,0,V58/V54)</f>
        <v/>
      </c>
      <c r="W57" s="67">
        <f>IF(W54=0,0,W58/W54)</f>
        <v/>
      </c>
    </row>
    <row r="58">
      <c r="A58" s="1" t="inlineStr">
        <is>
          <t xml:space="preserve">   SaaS</t>
        </is>
      </c>
      <c r="B58" s="65">
        <f>I58+P58+W58</f>
        <v/>
      </c>
      <c r="C58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D58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E58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F58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G58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H58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I58" s="67">
        <f>SUM(C58:H58)</f>
        <v/>
      </c>
      <c r="J58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K58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L58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M58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N58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O58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P58" s="67">
        <f>SUM(J58:O58)</f>
        <v/>
      </c>
      <c r="Q58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R58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S58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T58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U58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V58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W58" s="67">
        <f>SUM(Q58:V58)</f>
        <v/>
      </c>
    </row>
    <row r="59">
      <c r="A59" s="1" t="inlineStr">
        <is>
          <t>Monthly Total Lost Count</t>
        </is>
      </c>
      <c r="B59" s="9">
        <f>I59+P59+W59</f>
        <v/>
      </c>
      <c r="C59">
        <f>C26+C35+C44+C53</f>
        <v/>
      </c>
      <c r="D59">
        <f>D26+D35+D44+D53</f>
        <v/>
      </c>
      <c r="E59">
        <f>E26+E35+E44+E53</f>
        <v/>
      </c>
      <c r="F59">
        <f>F26+F35+F44+F53</f>
        <v/>
      </c>
      <c r="G59">
        <f>G26+G35+G44+G53</f>
        <v/>
      </c>
      <c r="H59">
        <f>H26+H35+H44+H53</f>
        <v/>
      </c>
      <c r="I59" s="15">
        <f>SUM(C59:H59)</f>
        <v/>
      </c>
      <c r="J59">
        <f>J26+J35+J44+J53</f>
        <v/>
      </c>
      <c r="K59">
        <f>K26+K35+K44+K53</f>
        <v/>
      </c>
      <c r="L59">
        <f>L26+L35+L44+L53</f>
        <v/>
      </c>
      <c r="M59">
        <f>M26+M35+M44+M53</f>
        <v/>
      </c>
      <c r="N59">
        <f>N26+N35+N44+N53</f>
        <v/>
      </c>
      <c r="O59">
        <f>O26+O35+O44+O53</f>
        <v/>
      </c>
      <c r="P59" s="15">
        <f>SUM(J59:O59)</f>
        <v/>
      </c>
      <c r="Q59">
        <f>Q26+Q35+Q44+Q53</f>
        <v/>
      </c>
      <c r="R59">
        <f>R26+R35+R44+R53</f>
        <v/>
      </c>
      <c r="S59">
        <f>S26+S35+S44+S53</f>
        <v/>
      </c>
      <c r="T59">
        <f>T26+T35+T44+T53</f>
        <v/>
      </c>
      <c r="U59">
        <f>U26+U35+U44+U53</f>
        <v/>
      </c>
      <c r="V59">
        <f>V26+V35+V44+V53</f>
        <v/>
      </c>
      <c r="W59" s="15">
        <f>SUM(Q59:V59)</f>
        <v/>
      </c>
    </row>
    <row r="60">
      <c r="A60" s="1" t="inlineStr">
        <is>
          <t>Monthly Total Retained Count</t>
        </is>
      </c>
      <c r="B60" s="9">
        <f>I60+P60+W60</f>
        <v/>
      </c>
      <c r="C60">
        <f>C27+C36+C45+C54</f>
        <v/>
      </c>
      <c r="D60">
        <f>D27+D36+D45+D54</f>
        <v/>
      </c>
      <c r="E60">
        <f>E27+E36+E45+E54</f>
        <v/>
      </c>
      <c r="F60">
        <f>F27+F36+F45+F54</f>
        <v/>
      </c>
      <c r="G60">
        <f>G27+G36+G45+G54</f>
        <v/>
      </c>
      <c r="H60">
        <f>H27+H36+H45+H54</f>
        <v/>
      </c>
      <c r="I60" s="15">
        <f>SUM(C60:H60)</f>
        <v/>
      </c>
      <c r="J60">
        <f>J27+J36+J45+J54</f>
        <v/>
      </c>
      <c r="K60">
        <f>K27+K36+K45+K54</f>
        <v/>
      </c>
      <c r="L60">
        <f>L27+L36+L45+L54</f>
        <v/>
      </c>
      <c r="M60">
        <f>M27+M36+M45+M54</f>
        <v/>
      </c>
      <c r="N60">
        <f>N27+N36+N45+N54</f>
        <v/>
      </c>
      <c r="O60">
        <f>O27+O36+O45+O54</f>
        <v/>
      </c>
      <c r="P60" s="15">
        <f>SUM(J60:O60)</f>
        <v/>
      </c>
      <c r="Q60">
        <f>Q27+Q36+Q45+Q54</f>
        <v/>
      </c>
      <c r="R60">
        <f>R27+R36+R45+R54</f>
        <v/>
      </c>
      <c r="S60">
        <f>S27+S36+S45+S54</f>
        <v/>
      </c>
      <c r="T60">
        <f>T27+T36+T45+T54</f>
        <v/>
      </c>
      <c r="U60">
        <f>U27+U36+U45+U54</f>
        <v/>
      </c>
      <c r="V60">
        <f>V27+V36+V45+V54</f>
        <v/>
      </c>
      <c r="W60" s="15">
        <f>SUM(Q60:V60)</f>
        <v/>
      </c>
    </row>
    <row r="61">
      <c r="A61" s="7" t="inlineStr">
        <is>
          <t>SaaS from Retained Monthly Customers</t>
        </is>
      </c>
      <c r="B61" s="65">
        <f>I61+P61+W61</f>
        <v/>
      </c>
      <c r="C61" s="66">
        <f>C31+C40+C49+C58</f>
        <v/>
      </c>
      <c r="D61" s="66">
        <f>D31+D40+D49+D58</f>
        <v/>
      </c>
      <c r="E61" s="66">
        <f>E31+E40+E49+E58</f>
        <v/>
      </c>
      <c r="F61" s="66">
        <f>F31+F40+F49+F58</f>
        <v/>
      </c>
      <c r="G61" s="66">
        <f>G31+G40+G49+G58</f>
        <v/>
      </c>
      <c r="H61" s="66">
        <f>H31+H40+H49+H58</f>
        <v/>
      </c>
      <c r="I61" s="67">
        <f>SUM(C61:H61)</f>
        <v/>
      </c>
      <c r="J61" s="66">
        <f>J31+J40+J49+J58</f>
        <v/>
      </c>
      <c r="K61" s="66">
        <f>K31+K40+K49+K58</f>
        <v/>
      </c>
      <c r="L61" s="66">
        <f>L31+L40+L49+L58</f>
        <v/>
      </c>
      <c r="M61" s="66">
        <f>M31+M40+M49+M58</f>
        <v/>
      </c>
      <c r="N61" s="66">
        <f>N31+N40+N49+N58</f>
        <v/>
      </c>
      <c r="O61" s="66">
        <f>O31+O40+O49+O58</f>
        <v/>
      </c>
      <c r="P61" s="67">
        <f>SUM(J61:O61)</f>
        <v/>
      </c>
      <c r="Q61" s="66">
        <f>Q31+Q40+Q49+Q58</f>
        <v/>
      </c>
      <c r="R61" s="66">
        <f>R31+R40+R49+R58</f>
        <v/>
      </c>
      <c r="S61" s="66">
        <f>S31+S40+S49+S58</f>
        <v/>
      </c>
      <c r="T61" s="66">
        <f>T31+T40+T49+T58</f>
        <v/>
      </c>
      <c r="U61" s="66">
        <f>U31+U40+U49+U58</f>
        <v/>
      </c>
      <c r="V61" s="66">
        <f>V31+V40+V49+V58</f>
        <v/>
      </c>
      <c r="W61" s="67">
        <f>SUM(Q61:V61)</f>
        <v/>
      </c>
    </row>
    <row r="62">
      <c r="B62" s="9" t="n"/>
    </row>
    <row r="63">
      <c r="A63" s="1" t="inlineStr">
        <is>
          <t>Prepay % of Paying Customers</t>
        </is>
      </c>
      <c r="B63" s="11">
        <f>IF(B19=0,0,B64/B19)</f>
        <v/>
      </c>
      <c r="C63" s="8">
        <f>IF(C19=0,0,C64/C19)</f>
        <v/>
      </c>
      <c r="D63" s="8">
        <f>IF(D19=0,0,D64/D19)</f>
        <v/>
      </c>
      <c r="E63" s="8">
        <f>IF(E19=0,0,E64/E19)</f>
        <v/>
      </c>
      <c r="F63" s="8">
        <f>IF(F19=0,0,F64/F19)</f>
        <v/>
      </c>
      <c r="G63" s="8">
        <f>IF(G19=0,0,G64/G19)</f>
        <v/>
      </c>
      <c r="H63" s="8">
        <f>IF(H19=0,0,H64/H19)</f>
        <v/>
      </c>
      <c r="I63" s="20">
        <f>IF(I19=0,0,I64/I19)</f>
        <v/>
      </c>
      <c r="J63" s="8">
        <f>IF(J19=0,0,J64/J19)</f>
        <v/>
      </c>
      <c r="K63" s="8">
        <f>IF(K19=0,0,K64/K19)</f>
        <v/>
      </c>
      <c r="L63" s="8">
        <f>IF(L19=0,0,L64/L19)</f>
        <v/>
      </c>
      <c r="M63" s="8">
        <f>IF(M19=0,0,M64/M19)</f>
        <v/>
      </c>
      <c r="N63" s="8">
        <f>IF(N19=0,0,N64/N19)</f>
        <v/>
      </c>
      <c r="O63" s="8">
        <f>IF(O19=0,0,O64/O19)</f>
        <v/>
      </c>
      <c r="P63" s="20">
        <f>IF(P19=0,0,P64/P19)</f>
        <v/>
      </c>
      <c r="Q63" s="19">
        <f>IF(Q19=0,0,Q64/Q19)</f>
        <v/>
      </c>
      <c r="R63" s="19">
        <f>IF(R19=0,0,R64/R19)</f>
        <v/>
      </c>
      <c r="S63" s="19">
        <f>IF(S19=0,0,S64/S19)</f>
        <v/>
      </c>
      <c r="T63" s="19">
        <f>IF(T19=0,0,T64/T19)</f>
        <v/>
      </c>
      <c r="U63" s="19">
        <f>IF(U19=0,0,U64/U19)</f>
        <v/>
      </c>
      <c r="V63" s="19">
        <f>IF(V19=0,0,V64/V19)</f>
        <v/>
      </c>
      <c r="W63" s="20">
        <f>IF(W19=0,0,W64/W19)</f>
        <v/>
      </c>
    </row>
    <row r="64">
      <c r="A64" s="1" t="inlineStr">
        <is>
          <t>Prepay Starting Count BOM</t>
        </is>
      </c>
      <c r="B64" s="9">
        <f>I64+P64+W64</f>
        <v/>
      </c>
      <c r="C64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""),"Prepay")</f>
        <v/>
      </c>
      <c r="D64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""),"Prepay")</f>
        <v/>
      </c>
      <c r="E64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""),"Prepay")</f>
        <v/>
      </c>
      <c r="F64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""),"Prepay")</f>
        <v/>
      </c>
      <c r="G64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""),"Prepay")</f>
        <v/>
      </c>
      <c r="H64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""),"Prepay")</f>
        <v/>
      </c>
      <c r="I64" s="15">
        <f>SUM(C64:H64)</f>
        <v/>
      </c>
      <c r="J64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""),"Prepay")</f>
        <v/>
      </c>
      <c r="K64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""),"Prepay")</f>
        <v/>
      </c>
      <c r="L64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""),"Prepay")</f>
        <v/>
      </c>
      <c r="M64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""),"Prepay")</f>
        <v/>
      </c>
      <c r="N64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""),"Prepay")</f>
        <v/>
      </c>
      <c r="O64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""),"Prepay")</f>
        <v/>
      </c>
      <c r="P64" s="15">
        <f>SUM(J64:O64)</f>
        <v/>
      </c>
      <c r="Q64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""),"Prepay")</f>
        <v/>
      </c>
      <c r="R64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""),"Prepay")</f>
        <v/>
      </c>
      <c r="S64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""),"Prepay")</f>
        <v/>
      </c>
      <c r="T64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""),"Prepay")</f>
        <v/>
      </c>
      <c r="U64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""),"Prepay")</f>
        <v/>
      </c>
      <c r="V64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""),"Prepay")</f>
        <v/>
      </c>
      <c r="W64" s="15">
        <f>SUM(Q64:V64)</f>
        <v/>
      </c>
    </row>
    <row r="65">
      <c r="A65" s="1" t="inlineStr">
        <is>
          <t>Prepay Loss %</t>
        </is>
      </c>
      <c r="B65" s="11">
        <f>IF(B64=0,0,B66/B64)</f>
        <v/>
      </c>
      <c r="C65" s="8">
        <f>IF(C64=0,0,C66/C64)</f>
        <v/>
      </c>
      <c r="D65" s="8">
        <f>IF(D64=0,0,D66/D64)</f>
        <v/>
      </c>
      <c r="E65" s="8">
        <f>IF(E64=0,0,E66/E64)</f>
        <v/>
      </c>
      <c r="F65" s="8">
        <f>IF(F64=0,0,F66/F64)</f>
        <v/>
      </c>
      <c r="G65" s="8">
        <f>IF(G64=0,0,G66/G64)</f>
        <v/>
      </c>
      <c r="H65" s="8">
        <f>IF(H64=0,0,H66/H64)</f>
        <v/>
      </c>
      <c r="I65" s="20">
        <f>IF(I64=0,0,I66/I64)</f>
        <v/>
      </c>
      <c r="J65" s="8">
        <f>IF(J64=0,0,J66/J64)</f>
        <v/>
      </c>
      <c r="K65" s="8">
        <f>IF(K64=0,0,K66/K64)</f>
        <v/>
      </c>
      <c r="L65" s="8">
        <f>IF(L64=0,0,L66/L64)</f>
        <v/>
      </c>
      <c r="M65" s="8">
        <f>IF(M64=0,0,M66/M64)</f>
        <v/>
      </c>
      <c r="N65" s="8">
        <f>IF(N64=0,0,N66/N64)</f>
        <v/>
      </c>
      <c r="O65" s="8">
        <f>IF(O64=0,0,O66/O64)</f>
        <v/>
      </c>
      <c r="P65" s="20">
        <f>IF(P64=0,0,P66/P64)</f>
        <v/>
      </c>
      <c r="Q65" s="8">
        <f>IF(Q64=0,0,Q66/Q64)</f>
        <v/>
      </c>
      <c r="R65" s="8">
        <f>IF(R64=0,0,R66/R64)</f>
        <v/>
      </c>
      <c r="S65" s="8">
        <f>IF(S64=0,0,S66/S64)</f>
        <v/>
      </c>
      <c r="T65" s="8">
        <f>IF(T64=0,0,T66/T64)</f>
        <v/>
      </c>
      <c r="U65" s="8">
        <f>IF(U64=0,0,U66/U64)</f>
        <v/>
      </c>
      <c r="V65" s="8">
        <f>IF(V64=0,0,V66/V64)</f>
        <v/>
      </c>
      <c r="W65" s="20">
        <f>IF(W64=0,0,W66/W64)</f>
        <v/>
      </c>
    </row>
    <row r="66">
      <c r="A66" s="1" t="inlineStr">
        <is>
          <t>Prepay Total Lost</t>
        </is>
      </c>
      <c r="B66" s="9">
        <f>I66+P66+W66</f>
        <v/>
      </c>
      <c r="C66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""),"Prepay",INDIRECT("Accounts!$C$2:$C$" &amp; CountsForFormulas!$D$3 &amp; ""),"Lost")</f>
        <v/>
      </c>
      <c r="D66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""),"Prepay",INDIRECT("Accounts!$C$2:$C$" &amp; CountsForFormulas!$D$3 &amp; ""),"Lost")</f>
        <v/>
      </c>
      <c r="E66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""),"Prepay",INDIRECT("Accounts!$C$2:$C$" &amp; CountsForFormulas!$D$3 &amp; ""),"Lost")</f>
        <v/>
      </c>
      <c r="F66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""),"Prepay",INDIRECT("Accounts!$C$2:$C$" &amp; CountsForFormulas!$D$3 &amp; ""),"Lost")</f>
        <v/>
      </c>
      <c r="G66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""),"Prepay",INDIRECT("Accounts!$C$2:$C$" &amp; CountsForFormulas!$D$3 &amp; ""),"Lost")</f>
        <v/>
      </c>
      <c r="H66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""),"Prepay",INDIRECT("Accounts!$C$2:$C$" &amp; CountsForFormulas!$D$3 &amp; ""),"Lost")</f>
        <v/>
      </c>
      <c r="I66" s="15">
        <f>SUM(C66:H66)</f>
        <v/>
      </c>
      <c r="J66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""),"Prepay",INDIRECT("Accounts!$C$2:$C$" &amp; CountsForFormulas!$D$3 &amp; ""),"Lost")</f>
        <v/>
      </c>
      <c r="K66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""),"Prepay",INDIRECT("Accounts!$C$2:$C$" &amp; CountsForFormulas!$D$3 &amp; ""),"Lost")</f>
        <v/>
      </c>
      <c r="L66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""),"Prepay",INDIRECT("Accounts!$C$2:$C$" &amp; CountsForFormulas!$D$3 &amp; ""),"Lost")</f>
        <v/>
      </c>
      <c r="M66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""),"Prepay",INDIRECT("Accounts!$C$2:$C$" &amp; CountsForFormulas!$D$3 &amp; ""),"Lost")</f>
        <v/>
      </c>
      <c r="N66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""),"Prepay",INDIRECT("Accounts!$C$2:$C$" &amp; CountsForFormulas!$D$3 &amp; ""),"Lost")</f>
        <v/>
      </c>
      <c r="O66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""),"Prepay",INDIRECT("Accounts!$C$2:$C$" &amp; CountsForFormulas!$D$3 &amp; ""),"Lost")</f>
        <v/>
      </c>
      <c r="P66" s="15">
        <f>SUM(J66:O66)</f>
        <v/>
      </c>
      <c r="Q66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""),"Prepay",INDIRECT("Accounts!$C$2:$C$" &amp; CountsForFormulas!$D$3 &amp; ""),"Lost")</f>
        <v/>
      </c>
      <c r="R66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""),"Prepay",INDIRECT("Accounts!$C$2:$C$" &amp; CountsForFormulas!$D$3 &amp; ""),"Lost")</f>
        <v/>
      </c>
      <c r="S66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""),"Prepay",INDIRECT("Accounts!$C$2:$C$" &amp; CountsForFormulas!$D$3 &amp; ""),"Lost")</f>
        <v/>
      </c>
      <c r="T66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""),"Prepay",INDIRECT("Accounts!$C$2:$C$" &amp; CountsForFormulas!$D$3 &amp; ""),"Lost")</f>
        <v/>
      </c>
      <c r="U66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""),"Prepay",INDIRECT("Accounts!$C$2:$C$" &amp; CountsForFormulas!$D$3 &amp; ""),"Lost")</f>
        <v/>
      </c>
      <c r="V66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""),"Prepay",INDIRECT("Accounts!$C$2:$C$" &amp; CountsForFormulas!$D$3 &amp; ""),"Lost")</f>
        <v/>
      </c>
      <c r="W66" s="15">
        <f>SUM(Q66:V66)</f>
        <v/>
      </c>
    </row>
    <row r="67">
      <c r="A67" s="1" t="inlineStr">
        <is>
          <t>Prepay Retained</t>
        </is>
      </c>
      <c r="B67" s="9">
        <f>I67+P67+W67</f>
        <v/>
      </c>
      <c r="C67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""),"Prepay",INDIRECT("Accounts!$C$2:$C$" &amp; CountsForFormulas!$D$3 &amp; ""),"Customer")</f>
        <v/>
      </c>
      <c r="D67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""),"Prepay",INDIRECT("Accounts!$C$2:$C$" &amp; CountsForFormulas!$D$3 &amp; ""),"Customer")</f>
        <v/>
      </c>
      <c r="E67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""),"Prepay",INDIRECT("Accounts!$C$2:$C$" &amp; CountsForFormulas!$D$3 &amp; ""),"Customer")</f>
        <v/>
      </c>
      <c r="F67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""),"Prepay",INDIRECT("Accounts!$C$2:$C$" &amp; CountsForFormulas!$D$3 &amp; ""),"Customer")</f>
        <v/>
      </c>
      <c r="G67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""),"Prepay",INDIRECT("Accounts!$C$2:$C$" &amp; CountsForFormulas!$D$3 &amp; ""),"Customer")</f>
        <v/>
      </c>
      <c r="H67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""),"Prepay",INDIRECT("Accounts!$C$2:$C$" &amp; CountsForFormulas!$D$3 &amp; ""),"Customer")</f>
        <v/>
      </c>
      <c r="I67" s="15">
        <f>SUM(C67:H67)</f>
        <v/>
      </c>
      <c r="J67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""),"Prepay",INDIRECT("Accounts!$C$2:$C$" &amp; CountsForFormulas!$D$3 &amp; ""),"Customer")</f>
        <v/>
      </c>
      <c r="K67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""),"Prepay",INDIRECT("Accounts!$C$2:$C$" &amp; CountsForFormulas!$D$3 &amp; ""),"Customer")</f>
        <v/>
      </c>
      <c r="L67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""),"Prepay",INDIRECT("Accounts!$C$2:$C$" &amp; CountsForFormulas!$D$3 &amp; ""),"Customer")</f>
        <v/>
      </c>
      <c r="M67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""),"Prepay",INDIRECT("Accounts!$C$2:$C$" &amp; CountsForFormulas!$D$3 &amp; ""),"Customer")</f>
        <v/>
      </c>
      <c r="N67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""),"Prepay",INDIRECT("Accounts!$C$2:$C$" &amp; CountsForFormulas!$D$3 &amp; ""),"Customer")</f>
        <v/>
      </c>
      <c r="O67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""),"Prepay",INDIRECT("Accounts!$C$2:$C$" &amp; CountsForFormulas!$D$3 &amp; ""),"Customer")</f>
        <v/>
      </c>
      <c r="P67" s="15">
        <f>SUM(J67:O67)</f>
        <v/>
      </c>
      <c r="Q67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""),"Prepay",INDIRECT("Accounts!$C$2:$C$" &amp; CountsForFormulas!$D$3 &amp; ""),"Customer")</f>
        <v/>
      </c>
      <c r="R67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""),"Prepay",INDIRECT("Accounts!$C$2:$C$" &amp; CountsForFormulas!$D$3 &amp; ""),"Customer")</f>
        <v/>
      </c>
      <c r="S67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""),"Prepay",INDIRECT("Accounts!$C$2:$C$" &amp; CountsForFormulas!$D$3 &amp; ""),"Customer")</f>
        <v/>
      </c>
      <c r="T67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""),"Prepay",INDIRECT("Accounts!$C$2:$C$" &amp; CountsForFormulas!$D$3 &amp; ""),"Customer")</f>
        <v/>
      </c>
      <c r="U67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""),"Prepay",INDIRECT("Accounts!$C$2:$C$" &amp; CountsForFormulas!$D$3 &amp; ""),"Customer")</f>
        <v/>
      </c>
      <c r="V67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""),"Prepay",INDIRECT("Accounts!$C$2:$C$" &amp; CountsForFormulas!$D$3 &amp; ""),"Customer")</f>
        <v/>
      </c>
      <c r="W67" s="15">
        <f>SUM(Q67:V67)</f>
        <v/>
      </c>
    </row>
    <row r="68">
      <c r="A68" s="2" t="inlineStr">
        <is>
          <t>Packs per Account</t>
        </is>
      </c>
      <c r="B68" s="13">
        <f>IF(B67=0,0,SUMIFS(INDIRECT("Accounts!$L$2:$L$"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""),"Prepay")/B67)</f>
        <v/>
      </c>
      <c r="C68" s="4">
        <f>IF(C67=0,0,SUMIFS(INDIRECT("Accounts!$L$2:$L$"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""),"Prepay")/C67)</f>
        <v/>
      </c>
      <c r="D68" s="4">
        <f>IF(D67=0,0,SUMIFS(INDIRECT("Accounts!$L$2:$L$"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""),"Prepay")/D67)</f>
        <v/>
      </c>
      <c r="E68" s="4">
        <f>IF(E67=0,0,SUMIFS(INDIRECT("Accounts!$L$2:$L$"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""),"Prepay")/E67)</f>
        <v/>
      </c>
      <c r="F68" s="4">
        <f>IF(F67=0,0,SUMIFS(INDIRECT("Accounts!$L$2:$L$"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""),"Prepay")/F67)</f>
        <v/>
      </c>
      <c r="G68" s="4">
        <f>IF(G67=0,0,SUMIFS(INDIRECT("Accounts!$L$2:$L$"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""),"Prepay")/G67)</f>
        <v/>
      </c>
      <c r="H68" s="4">
        <f>IF(H67=0,0,SUMIFS(INDIRECT("Accounts!$L$2:$L$"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""),"Prepay")/H67)</f>
        <v/>
      </c>
      <c r="I68" s="5">
        <f>IF(I67=0,0,SUMIFS(INDIRECT("Accounts!$L$2:$L$"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""),"Prepay")/I67)</f>
        <v/>
      </c>
      <c r="J68" s="4">
        <f>IF(J67=0,0,SUMIFS(INDIRECT("Accounts!$L$2:$L$"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""),"Prepay")/J67)</f>
        <v/>
      </c>
      <c r="K68" s="4">
        <f>IF(K67=0,0,SUMIFS(INDIRECT("Accounts!$L$2:$L$"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""),"Prepay")/K67)</f>
        <v/>
      </c>
      <c r="L68" s="4">
        <f>IF(L67=0,0,SUMIFS(INDIRECT("Accounts!$L$2:$L$"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""),"Prepay")/L67)</f>
        <v/>
      </c>
      <c r="M68" s="4">
        <f>IF(M67=0,0,SUMIFS(INDIRECT("Accounts!$L$2:$L$"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""),"Prepay")/M67)</f>
        <v/>
      </c>
      <c r="N68" s="4">
        <f>IF(N67=0,0,SUMIFS(INDIRECT("Accounts!$L$2:$L$"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""),"Prepay")/N67)</f>
        <v/>
      </c>
      <c r="O68" s="4">
        <f>IF(O67=0,0,SUMIFS(INDIRECT("Accounts!$L$2:$L$"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""),"Prepay")/O67)</f>
        <v/>
      </c>
      <c r="P68" s="5">
        <f>IF(P67=0,0,SUMIFS(INDIRECT("Accounts!$L$2:$L$"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""),"Prepay")/P67)</f>
        <v/>
      </c>
      <c r="Q68" s="4">
        <f>IF(Q67=0,0,SUMIFS(INDIRECT("Accounts!$L$2:$L$"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""),"Prepay")/Q67)</f>
        <v/>
      </c>
      <c r="R68" s="4">
        <f>IF(R67=0,0,SUMIFS(INDIRECT("Accounts!$L$2:$L$"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""),"Prepay")/R67)</f>
        <v/>
      </c>
      <c r="S68" s="4">
        <f>IF(S67=0,0,SUMIFS(INDIRECT("Accounts!$L$2:$L$"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""),"Prepay")/S67)</f>
        <v/>
      </c>
      <c r="T68" s="4">
        <f>IF(T67=0,0,SUMIFS(INDIRECT("Accounts!$L$2:$L$"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""),"Prepay")/T67)</f>
        <v/>
      </c>
      <c r="U68" s="4">
        <f>IF(U67=0,0,SUMIFS(INDIRECT("Accounts!$L$2:$L$"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""),"Prepay")/U67)</f>
        <v/>
      </c>
      <c r="V68" s="4">
        <f>IF(V67=0,0,SUMIFS(INDIRECT("Accounts!$L$2:$L$"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""),"Prepay")/V67)</f>
        <v/>
      </c>
      <c r="W68" s="5">
        <f>IF(W67=0,0,SUMIFS(INDIRECT("Accounts!$L$2:$L$"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""),"Prepay")/W67)</f>
        <v/>
      </c>
    </row>
    <row r="69">
      <c r="A69" s="2" t="inlineStr">
        <is>
          <t>Users per Account</t>
        </is>
      </c>
      <c r="B69" s="13">
        <f>IF(B67=0,0,SUMIFS(INDIRECT("Accounts!$M$2:$M$"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""),"Prepay")/B67)</f>
        <v/>
      </c>
      <c r="C69" s="4">
        <f>IF(C67=0,0,SUMIFS(INDIRECT("Accounts!$M$2:$M$"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""),"Prepay")/C67)</f>
        <v/>
      </c>
      <c r="D69" s="4">
        <f>IF(D67=0,0,SUMIFS(INDIRECT("Accounts!$M$2:$M$"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""),"Prepay")/D67)</f>
        <v/>
      </c>
      <c r="E69" s="4">
        <f>IF(E67=0,0,SUMIFS(INDIRECT("Accounts!$M$2:$M$"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""),"Prepay")/E67)</f>
        <v/>
      </c>
      <c r="F69" s="4">
        <f>IF(F67=0,0,SUMIFS(INDIRECT("Accounts!$M$2:$M$"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""),"Prepay")/F67)</f>
        <v/>
      </c>
      <c r="G69" s="4">
        <f>IF(G67=0,0,SUMIFS(INDIRECT("Accounts!$M$2:$M$"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""),"Prepay")/G67)</f>
        <v/>
      </c>
      <c r="H69" s="4">
        <f>IF(H67=0,0,SUMIFS(INDIRECT("Accounts!$M$2:$M$"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""),"Prepay")/H67)</f>
        <v/>
      </c>
      <c r="I69" s="5">
        <f>IF(I67=0,0,SUMIFS(INDIRECT("Accounts!$M$2:$M$"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""),"Prepay")/I67)</f>
        <v/>
      </c>
      <c r="J69" s="4">
        <f>IF(J67=0,0,SUMIFS(INDIRECT("Accounts!$M$2:$M$"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""),"Prepay")/J67)</f>
        <v/>
      </c>
      <c r="K69" s="4">
        <f>IF(K67=0,0,SUMIFS(INDIRECT("Accounts!$M$2:$M$"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""),"Prepay")/K67)</f>
        <v/>
      </c>
      <c r="L69" s="4">
        <f>IF(L67=0,0,SUMIFS(INDIRECT("Accounts!$M$2:$M$"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""),"Prepay")/L67)</f>
        <v/>
      </c>
      <c r="M69" s="4">
        <f>IF(M67=0,0,SUMIFS(INDIRECT("Accounts!$M$2:$M$"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""),"Prepay")/M67)</f>
        <v/>
      </c>
      <c r="N69" s="4">
        <f>IF(N67=0,0,SUMIFS(INDIRECT("Accounts!$M$2:$M$"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""),"Prepay")/N67)</f>
        <v/>
      </c>
      <c r="O69" s="4">
        <f>IF(O67=0,0,SUMIFS(INDIRECT("Accounts!$M$2:$M$"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""),"Prepay")/O67)</f>
        <v/>
      </c>
      <c r="P69" s="5">
        <f>IF(P67=0,0,SUMIFS(INDIRECT("Accounts!$M$2:$M$"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""),"Prepay")/P67)</f>
        <v/>
      </c>
      <c r="Q69" s="4">
        <f>IF(Q67=0,0,SUMIFS(INDIRECT("Accounts!$M$2:$M$"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""),"Prepay")/Q67)</f>
        <v/>
      </c>
      <c r="R69" s="4">
        <f>IF(R67=0,0,SUMIFS(INDIRECT("Accounts!$M$2:$M$"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""),"Prepay")/R67)</f>
        <v/>
      </c>
      <c r="S69" s="4">
        <f>IF(S67=0,0,SUMIFS(INDIRECT("Accounts!$M$2:$M$"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""),"Prepay")/S67)</f>
        <v/>
      </c>
      <c r="T69" s="4">
        <f>IF(T67=0,0,SUMIFS(INDIRECT("Accounts!$M$2:$M$"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""),"Prepay")/T67)</f>
        <v/>
      </c>
      <c r="U69" s="4">
        <f>IF(U67=0,0,SUMIFS(INDIRECT("Accounts!$M$2:$M$"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""),"Prepay")/U67)</f>
        <v/>
      </c>
      <c r="V69" s="4">
        <f>IF(V67=0,0,SUMIFS(INDIRECT("Accounts!$M$2:$M$"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""),"Prepay")/V67)</f>
        <v/>
      </c>
      <c r="W69" s="5">
        <f>IF(W67=0,0,SUMIFS(INDIRECT("Accounts!$M$2:$M$"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""),"Prepay")/W67)</f>
        <v/>
      </c>
    </row>
    <row r="70">
      <c r="A70" s="1" t="inlineStr">
        <is>
          <t>ARPC Prepay</t>
        </is>
      </c>
      <c r="B70" s="65">
        <f>IF(B67=0,0,B71/B67)</f>
        <v/>
      </c>
      <c r="C70" s="66">
        <f>IF(C67=0,0,C71/C67)</f>
        <v/>
      </c>
      <c r="D70" s="66">
        <f>IF(D67=0,0,D71/D67)</f>
        <v/>
      </c>
      <c r="E70" s="66">
        <f>IF(E67=0,0,E71/E67)</f>
        <v/>
      </c>
      <c r="F70" s="66">
        <f>IF(F67=0,0,F71/F67)</f>
        <v/>
      </c>
      <c r="G70" s="66">
        <f>IF(G67=0,0,G71/G67)</f>
        <v/>
      </c>
      <c r="H70" s="66">
        <f>IF(H67=0,0,H71/H67)</f>
        <v/>
      </c>
      <c r="I70" s="67">
        <f>IF(I67=0,0,I71/I67)</f>
        <v/>
      </c>
      <c r="J70" s="66">
        <f>IF(J67=0,0,J71/J67)</f>
        <v/>
      </c>
      <c r="K70" s="66">
        <f>IF(K67=0,0,K71/K67)</f>
        <v/>
      </c>
      <c r="L70" s="66">
        <f>IF(L67=0,0,L71/L67)</f>
        <v/>
      </c>
      <c r="M70" s="66">
        <f>IF(M67=0,0,M71/M67)</f>
        <v/>
      </c>
      <c r="N70" s="66">
        <f>IF(N67=0,0,N71/N67)</f>
        <v/>
      </c>
      <c r="O70" s="66">
        <f>IF(O67=0,0,O71/O67)</f>
        <v/>
      </c>
      <c r="P70" s="67">
        <f>IF(P67=0,0,P71/P67)</f>
        <v/>
      </c>
      <c r="Q70" s="66">
        <f>IF(Q67=0,0,Q71/Q67)</f>
        <v/>
      </c>
      <c r="R70" s="66">
        <f>IF(R67=0,0,R71/R67)</f>
        <v/>
      </c>
      <c r="S70" s="66">
        <f>IF(S67=0,0,S71/S67)</f>
        <v/>
      </c>
      <c r="T70" s="66">
        <f>IF(T67=0,0,T71/T67)</f>
        <v/>
      </c>
      <c r="U70" s="66">
        <f>IF(U67=0,0,U71/U67)</f>
        <v/>
      </c>
      <c r="V70" s="66">
        <f>IF(V67=0,0,V71/V67)</f>
        <v/>
      </c>
      <c r="W70" s="67">
        <f>IF(W67=0,0,W71/W67)</f>
        <v/>
      </c>
    </row>
    <row r="71">
      <c r="A71" s="7" t="inlineStr">
        <is>
          <t>SaaS from Retained Prepay Customers</t>
        </is>
      </c>
      <c r="B71" s="65">
        <f>I71+P71+W71</f>
        <v/>
      </c>
      <c r="C71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""),"Prepay")</f>
        <v/>
      </c>
      <c r="D71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""),"Prepay")</f>
        <v/>
      </c>
      <c r="E71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""),"Prepay")</f>
        <v/>
      </c>
      <c r="F71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""),"Prepay")</f>
        <v/>
      </c>
      <c r="G71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""),"Prepay")</f>
        <v/>
      </c>
      <c r="H71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""),"Prepay")</f>
        <v/>
      </c>
      <c r="I71" s="67">
        <f>SUM(C71:H71)</f>
        <v/>
      </c>
      <c r="J71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""),"Prepay")</f>
        <v/>
      </c>
      <c r="K71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""),"Prepay")</f>
        <v/>
      </c>
      <c r="L71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""),"Prepay")</f>
        <v/>
      </c>
      <c r="M71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""),"Prepay")</f>
        <v/>
      </c>
      <c r="N71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""),"Prepay")</f>
        <v/>
      </c>
      <c r="O71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""),"Prepay")</f>
        <v/>
      </c>
      <c r="P71" s="67">
        <f>SUM(J71:O71)</f>
        <v/>
      </c>
      <c r="Q71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""),"Prepay")</f>
        <v/>
      </c>
      <c r="R71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""),"Prepay")</f>
        <v/>
      </c>
      <c r="S71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""),"Prepay")</f>
        <v/>
      </c>
      <c r="T71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""),"Prepay")</f>
        <v/>
      </c>
      <c r="U71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""),"Prepay")</f>
        <v/>
      </c>
      <c r="V71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""),"Prepay")</f>
        <v/>
      </c>
      <c r="W71" s="67">
        <f>SUM(Q71:V71)</f>
        <v/>
      </c>
    </row>
    <row r="72">
      <c r="A72" s="1" t="n"/>
      <c r="B72" s="9" t="n"/>
    </row>
    <row r="73">
      <c r="A73" s="1" t="inlineStr">
        <is>
          <t>Total Paying Customers Lost</t>
        </is>
      </c>
      <c r="B73" s="9">
        <f>I73+P73+W73</f>
        <v/>
      </c>
      <c r="C73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""),"Customer",INDIRECT("Accounts!$C$2:$C$" &amp; CountsForFormulas!$D$3 &amp; ""),"Lost")</f>
        <v/>
      </c>
      <c r="D73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""),"Customer",INDIRECT("Accounts!$C$2:$C$" &amp; CountsForFormulas!$D$3 &amp; ""),"Lost")</f>
        <v/>
      </c>
      <c r="E73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""),"Customer",INDIRECT("Accounts!$C$2:$C$" &amp; CountsForFormulas!$D$3 &amp; ""),"Lost")</f>
        <v/>
      </c>
      <c r="F73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""),"Customer",INDIRECT("Accounts!$C$2:$C$" &amp; CountsForFormulas!$D$3 &amp; ""),"Lost")</f>
        <v/>
      </c>
      <c r="G73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""),"Customer",INDIRECT("Accounts!$C$2:$C$" &amp; CountsForFormulas!$D$3 &amp; ""),"Lost")</f>
        <v/>
      </c>
      <c r="H73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""),"Customer",INDIRECT("Accounts!$C$2:$C$" &amp; CountsForFormulas!$D$3 &amp; ""),"Lost")</f>
        <v/>
      </c>
      <c r="I73" s="15">
        <f>SUM(C73:H73)</f>
        <v/>
      </c>
      <c r="J73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""),"Customer",INDIRECT("Accounts!$C$2:$C$" &amp; CountsForFormulas!$D$3 &amp; ""),"Lost")</f>
        <v/>
      </c>
      <c r="K73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""),"Customer",INDIRECT("Accounts!$C$2:$C$" &amp; CountsForFormulas!$D$3 &amp; ""),"Lost")</f>
        <v/>
      </c>
      <c r="L73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""),"Customer",INDIRECT("Accounts!$C$2:$C$" &amp; CountsForFormulas!$D$3 &amp; ""),"Lost")</f>
        <v/>
      </c>
      <c r="M73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""),"Customer",INDIRECT("Accounts!$C$2:$C$" &amp; CountsForFormulas!$D$3 &amp; ""),"Lost")</f>
        <v/>
      </c>
      <c r="N73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""),"Customer",INDIRECT("Accounts!$C$2:$C$" &amp; CountsForFormulas!$D$3 &amp; ""),"Lost")</f>
        <v/>
      </c>
      <c r="O73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""),"Customer",INDIRECT("Accounts!$C$2:$C$" &amp; CountsForFormulas!$D$3 &amp; ""),"Lost")</f>
        <v/>
      </c>
      <c r="P73" s="15">
        <f>SUM(J73:O73)</f>
        <v/>
      </c>
      <c r="Q73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""),"Customer",INDIRECT("Accounts!$C$2:$C$" &amp; CountsForFormulas!$D$3 &amp; ""),"Lost")</f>
        <v/>
      </c>
      <c r="R73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""),"Customer",INDIRECT("Accounts!$C$2:$C$" &amp; CountsForFormulas!$D$3 &amp; ""),"Lost")</f>
        <v/>
      </c>
      <c r="S73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""),"Customer",INDIRECT("Accounts!$C$2:$C$" &amp; CountsForFormulas!$D$3 &amp; ""),"Lost")</f>
        <v/>
      </c>
      <c r="T73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""),"Customer",INDIRECT("Accounts!$C$2:$C$" &amp; CountsForFormulas!$D$3 &amp; ""),"Lost")</f>
        <v/>
      </c>
      <c r="U73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""),"Customer",INDIRECT("Accounts!$C$2:$C$" &amp; CountsForFormulas!$D$3 &amp; ""),"Lost")</f>
        <v/>
      </c>
      <c r="V73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""),"Customer",INDIRECT("Accounts!$C$2:$C$" &amp; CountsForFormulas!$D$3 &amp; ""),"Lost")</f>
        <v/>
      </c>
      <c r="W73" s="15">
        <f>SUM(Q73:V73)</f>
        <v/>
      </c>
    </row>
    <row r="74">
      <c r="A74" s="1" t="inlineStr">
        <is>
          <t>Lost who paid %</t>
        </is>
      </c>
      <c r="B74" s="11">
        <f>IF(B73=0,0,B75/B73)</f>
        <v/>
      </c>
      <c r="C74" s="8">
        <f>IF(C73=0,0,C75/C73)</f>
        <v/>
      </c>
      <c r="D74" s="8">
        <f>IF(D73=0,0,D75/D73)</f>
        <v/>
      </c>
      <c r="E74" s="8">
        <f>IF(E73=0,0,E75/E73)</f>
        <v/>
      </c>
      <c r="F74" s="8">
        <f>IF(F73=0,0,F75/F73)</f>
        <v/>
      </c>
      <c r="G74" s="8">
        <f>IF(G73=0,0,G75/G73)</f>
        <v/>
      </c>
      <c r="H74" s="8">
        <f>IF(H73=0,0,H75/H73)</f>
        <v/>
      </c>
      <c r="I74" s="20">
        <f>IF(I73=0,0,I75/I73)</f>
        <v/>
      </c>
      <c r="J74" s="8">
        <f>IF(J73=0,0,J75/J73)</f>
        <v/>
      </c>
      <c r="K74" s="8">
        <f>IF(K73=0,0,K75/K73)</f>
        <v/>
      </c>
      <c r="L74" s="8">
        <f>IF(L73=0,0,L75/L73)</f>
        <v/>
      </c>
      <c r="M74" s="8">
        <f>IF(M73=0,0,M75/M73)</f>
        <v/>
      </c>
      <c r="N74" s="8">
        <f>IF(N73=0,0,N75/N73)</f>
        <v/>
      </c>
      <c r="O74" s="8">
        <f>IF(O73=0,0,O75/O73)</f>
        <v/>
      </c>
      <c r="P74" s="20">
        <f>IF(P73=0,0,P75/P73)</f>
        <v/>
      </c>
      <c r="Q74" s="8">
        <f>IF(Q73=0,0,Q75/Q73)</f>
        <v/>
      </c>
      <c r="R74" s="8">
        <f>IF(R73=0,0,R75/R73)</f>
        <v/>
      </c>
      <c r="S74" s="8">
        <f>IF(S73=0,0,S75/S73)</f>
        <v/>
      </c>
      <c r="T74" s="8">
        <f>IF(T73=0,0,T75/T73)</f>
        <v/>
      </c>
      <c r="U74" s="8">
        <f>IF(U73=0,0,U75/U73)</f>
        <v/>
      </c>
      <c r="V74" s="8">
        <f>IF(V73=0,0,V75/V73)</f>
        <v/>
      </c>
      <c r="W74" s="20">
        <f>IF(W73=0,0,W75/W73)</f>
        <v/>
      </c>
    </row>
    <row r="75">
      <c r="A75" s="1" t="inlineStr">
        <is>
          <t>Lost who paid Count</t>
        </is>
      </c>
      <c r="B75" s="9">
        <f>I75+P75+W75</f>
        <v/>
      </c>
      <c r="C7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""),"Customer",INDIRECT("Accounts!$C$2:$C$" &amp; CountsForFormulas!$D$3 &amp; ""),"Lost",INDIRECT("Accounts!$I$2:$I$" &amp; CountsForFormulas!$D$3 &amp; ""),"&gt;"&amp;0)</f>
        <v/>
      </c>
      <c r="D7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""),"Customer",INDIRECT("Accounts!$C$2:$C$" &amp; CountsForFormulas!$D$3 &amp; ""),"Lost",INDIRECT("Accounts!$I$2:$I$" &amp; CountsForFormulas!$D$3 &amp; ""),"&gt;"&amp;0)</f>
        <v/>
      </c>
      <c r="E7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""),"Customer",INDIRECT("Accounts!$C$2:$C$" &amp; CountsForFormulas!$D$3 &amp; ""),"Lost",INDIRECT("Accounts!$I$2:$I$" &amp; CountsForFormulas!$D$3 &amp; ""),"&gt;"&amp;0)</f>
        <v/>
      </c>
      <c r="F7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""),"Customer",INDIRECT("Accounts!$C$2:$C$" &amp; CountsForFormulas!$D$3 &amp; ""),"Lost",INDIRECT("Accounts!$I$2:$I$" &amp; CountsForFormulas!$D$3 &amp; ""),"&gt;"&amp;0)</f>
        <v/>
      </c>
      <c r="G7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""),"Customer",INDIRECT("Accounts!$C$2:$C$" &amp; CountsForFormulas!$D$3 &amp; ""),"Lost",INDIRECT("Accounts!$I$2:$I$" &amp; CountsForFormulas!$D$3 &amp; ""),"&gt;"&amp;0)</f>
        <v/>
      </c>
      <c r="H7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""),"Customer",INDIRECT("Accounts!$C$2:$C$" &amp; CountsForFormulas!$D$3 &amp; ""),"Lost",INDIRECT("Accounts!$I$2:$I$" &amp; CountsForFormulas!$D$3 &amp; ""),"&gt;"&amp;0)</f>
        <v/>
      </c>
      <c r="I75" s="15">
        <f>SUM(C75:H75)</f>
        <v/>
      </c>
      <c r="J7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""),"Customer",INDIRECT("Accounts!$C$2:$C$" &amp; CountsForFormulas!$D$3 &amp; ""),"Lost",INDIRECT("Accounts!$I$2:$I$" &amp; CountsForFormulas!$D$3 &amp; ""),"&gt;"&amp;0)</f>
        <v/>
      </c>
      <c r="K7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""),"Customer",INDIRECT("Accounts!$C$2:$C$" &amp; CountsForFormulas!$D$3 &amp; ""),"Lost",INDIRECT("Accounts!$I$2:$I$" &amp; CountsForFormulas!$D$3 &amp; ""),"&gt;"&amp;0)</f>
        <v/>
      </c>
      <c r="L7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""),"Customer",INDIRECT("Accounts!$C$2:$C$" &amp; CountsForFormulas!$D$3 &amp; ""),"Lost",INDIRECT("Accounts!$I$2:$I$" &amp; CountsForFormulas!$D$3 &amp; ""),"&gt;"&amp;0)</f>
        <v/>
      </c>
      <c r="M7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""),"Customer",INDIRECT("Accounts!$C$2:$C$" &amp; CountsForFormulas!$D$3 &amp; ""),"Lost",INDIRECT("Accounts!$I$2:$I$" &amp; CountsForFormulas!$D$3 &amp; ""),"&gt;"&amp;0)</f>
        <v/>
      </c>
      <c r="N7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""),"Customer",INDIRECT("Accounts!$C$2:$C$" &amp; CountsForFormulas!$D$3 &amp; ""),"Lost",INDIRECT("Accounts!$I$2:$I$" &amp; CountsForFormulas!$D$3 &amp; ""),"&gt;"&amp;0)</f>
        <v/>
      </c>
      <c r="O7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""),"Customer",INDIRECT("Accounts!$C$2:$C$" &amp; CountsForFormulas!$D$3 &amp; ""),"Lost",INDIRECT("Accounts!$I$2:$I$" &amp; CountsForFormulas!$D$3 &amp; ""),"&gt;"&amp;0)</f>
        <v/>
      </c>
      <c r="P75" s="15">
        <f>SUM(J75:O75)</f>
        <v/>
      </c>
      <c r="Q7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""),"Customer",INDIRECT("Accounts!$C$2:$C$" &amp; CountsForFormulas!$D$3 &amp; ""),"Lost",INDIRECT("Accounts!$I$2:$I$" &amp; CountsForFormulas!$D$3 &amp; ""),"&gt;"&amp;0)</f>
        <v/>
      </c>
      <c r="R7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""),"Customer",INDIRECT("Accounts!$C$2:$C$" &amp; CountsForFormulas!$D$3 &amp; ""),"Lost",INDIRECT("Accounts!$I$2:$I$" &amp; CountsForFormulas!$D$3 &amp; ""),"&gt;"&amp;0)</f>
        <v/>
      </c>
      <c r="S7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""),"Customer",INDIRECT("Accounts!$C$2:$C$" &amp; CountsForFormulas!$D$3 &amp; ""),"Lost",INDIRECT("Accounts!$I$2:$I$" &amp; CountsForFormulas!$D$3 &amp; ""),"&gt;"&amp;0)</f>
        <v/>
      </c>
      <c r="T7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""),"Customer",INDIRECT("Accounts!$C$2:$C$" &amp; CountsForFormulas!$D$3 &amp; ""),"Lost",INDIRECT("Accounts!$I$2:$I$" &amp; CountsForFormulas!$D$3 &amp; ""),"&gt;"&amp;0)</f>
        <v/>
      </c>
      <c r="U7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""),"Customer",INDIRECT("Accounts!$C$2:$C$" &amp; CountsForFormulas!$D$3 &amp; ""),"Lost",INDIRECT("Accounts!$I$2:$I$" &amp; CountsForFormulas!$D$3 &amp; ""),"&gt;"&amp;0)</f>
        <v/>
      </c>
      <c r="V7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""),"Customer",INDIRECT("Accounts!$C$2:$C$" &amp; CountsForFormulas!$D$3 &amp; ""),"Lost",INDIRECT("Accounts!$I$2:$I$" &amp; CountsForFormulas!$D$3 &amp; ""),"&gt;"&amp;0)</f>
        <v/>
      </c>
      <c r="W75" s="15">
        <f>SUM(Q75:V75)</f>
        <v/>
      </c>
    </row>
    <row r="76">
      <c r="A76" s="1" t="inlineStr">
        <is>
          <t>ARPC lost who paid</t>
        </is>
      </c>
      <c r="B76" s="68">
        <f>IF(B75=0,0,B77/B75)</f>
        <v/>
      </c>
      <c r="C76" s="66">
        <f>IF(C73=0,0,C77/C73)</f>
        <v/>
      </c>
      <c r="D76" s="66">
        <f>IF(D73=0,0,D77/D73)</f>
        <v/>
      </c>
      <c r="E76" s="66">
        <f>IF(E73=0,0,E77/E73)</f>
        <v/>
      </c>
      <c r="F76" s="66">
        <f>IF(F73=0,0,F77/F73)</f>
        <v/>
      </c>
      <c r="G76" s="66">
        <f>IF(G73=0,0,G77/G73)</f>
        <v/>
      </c>
      <c r="H76" s="66">
        <f>IF(H73=0,0,H77/H73)</f>
        <v/>
      </c>
      <c r="I76" s="67">
        <f>IF(I75=0,0,I77/I75)</f>
        <v/>
      </c>
      <c r="J76" s="66">
        <f>IF(J73=0,0,J77/J73)</f>
        <v/>
      </c>
      <c r="K76" s="66">
        <f>IF(K73=0,0,K77/K73)</f>
        <v/>
      </c>
      <c r="L76" s="66">
        <f>IF(L73=0,0,L77/L73)</f>
        <v/>
      </c>
      <c r="M76" s="66">
        <f>IF(M73=0,0,M77/M73)</f>
        <v/>
      </c>
      <c r="N76" s="66">
        <f>IF(N73=0,0,N77/N73)</f>
        <v/>
      </c>
      <c r="O76" s="66">
        <f>IF(O73=0,0,O77/O73)</f>
        <v/>
      </c>
      <c r="P76" s="67">
        <f>IF(P75=0,0,P77/P75)</f>
        <v/>
      </c>
      <c r="Q76" s="66">
        <f>IF(Q73=0,0,Q77/Q73)</f>
        <v/>
      </c>
      <c r="R76" s="66">
        <f>IF(R73=0,0,R77/R73)</f>
        <v/>
      </c>
      <c r="S76" s="66">
        <f>IF(S73=0,0,S77/S73)</f>
        <v/>
      </c>
      <c r="T76" s="66">
        <f>IF(T73=0,0,T77/T73)</f>
        <v/>
      </c>
      <c r="U76" s="66">
        <f>IF(U73=0,0,U77/U73)</f>
        <v/>
      </c>
      <c r="V76" s="66">
        <f>IF(V73=0,0,V77/V73)</f>
        <v/>
      </c>
      <c r="W76" s="67">
        <f>IF(W75=0,0,W77/W75)</f>
        <v/>
      </c>
    </row>
    <row r="77">
      <c r="A77" s="7" t="inlineStr">
        <is>
          <t>SaaS from Lost Customers</t>
        </is>
      </c>
      <c r="B77" s="65">
        <f>I77+P77+W77</f>
        <v/>
      </c>
      <c r="C77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""),"Lost")</f>
        <v/>
      </c>
      <c r="D77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""),"Lost")</f>
        <v/>
      </c>
      <c r="E77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""),"Lost")</f>
        <v/>
      </c>
      <c r="F77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""),"Lost")</f>
        <v/>
      </c>
      <c r="G77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""),"Lost")</f>
        <v/>
      </c>
      <c r="H77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""),"Lost")</f>
        <v/>
      </c>
      <c r="I77" s="67">
        <f>SUM(C77:H77)</f>
        <v/>
      </c>
      <c r="J77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""),"Lost")</f>
        <v/>
      </c>
      <c r="K77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""),"Lost")</f>
        <v/>
      </c>
      <c r="L77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""),"Lost")</f>
        <v/>
      </c>
      <c r="M77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""),"Lost")</f>
        <v/>
      </c>
      <c r="N77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""),"Lost")</f>
        <v/>
      </c>
      <c r="O77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""),"Lost")</f>
        <v/>
      </c>
      <c r="P77" s="67">
        <f>SUM(J77:O77)</f>
        <v/>
      </c>
      <c r="Q77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""),"Lost")</f>
        <v/>
      </c>
      <c r="R77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""),"Lost")</f>
        <v/>
      </c>
      <c r="S77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""),"Lost")</f>
        <v/>
      </c>
      <c r="T77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""),"Lost")</f>
        <v/>
      </c>
      <c r="U77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""),"Lost")</f>
        <v/>
      </c>
      <c r="V77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""),"Lost")</f>
        <v/>
      </c>
      <c r="W77" s="67">
        <f>SUM(Q77:V77)</f>
        <v/>
      </c>
    </row>
    <row r="78">
      <c r="A78" s="1" t="n"/>
    </row>
    <row r="79">
      <c r="A79" s="1" t="inlineStr">
        <is>
          <t>SaaS from Trialers</t>
        </is>
      </c>
      <c r="B79" s="66">
        <f>I79+P79+W79</f>
        <v/>
      </c>
      <c r="C79" s="66">
        <f>C11</f>
        <v/>
      </c>
      <c r="D79" s="66">
        <f>D11</f>
        <v/>
      </c>
      <c r="E79" s="66">
        <f>E11</f>
        <v/>
      </c>
      <c r="F79" s="66">
        <f>F11</f>
        <v/>
      </c>
      <c r="G79" s="66">
        <f>G11</f>
        <v/>
      </c>
      <c r="H79" s="66">
        <f>H11</f>
        <v/>
      </c>
      <c r="I79" s="67">
        <f>SUM(C79:H79)</f>
        <v/>
      </c>
      <c r="J79" s="66">
        <f>J11</f>
        <v/>
      </c>
      <c r="K79" s="66">
        <f>K11</f>
        <v/>
      </c>
      <c r="L79" s="66">
        <f>L11</f>
        <v/>
      </c>
      <c r="M79" s="66">
        <f>M11</f>
        <v/>
      </c>
      <c r="N79" s="66">
        <f>N11</f>
        <v/>
      </c>
      <c r="O79" s="66">
        <f>O11</f>
        <v/>
      </c>
      <c r="P79" s="67">
        <f>SUM(J79:O79)</f>
        <v/>
      </c>
      <c r="Q79" s="66">
        <f>Q11</f>
        <v/>
      </c>
      <c r="R79" s="66">
        <f>R11</f>
        <v/>
      </c>
      <c r="S79" s="66">
        <f>S11</f>
        <v/>
      </c>
      <c r="T79" s="66">
        <f>T11</f>
        <v/>
      </c>
      <c r="U79" s="66">
        <f>U11</f>
        <v/>
      </c>
      <c r="V79" s="66">
        <f>V11</f>
        <v/>
      </c>
      <c r="W79" s="67">
        <f>SUM(Q79:V79)</f>
        <v/>
      </c>
    </row>
    <row r="80">
      <c r="A80" s="1" t="inlineStr">
        <is>
          <t>SaaS from Retained Customers</t>
        </is>
      </c>
      <c r="B80" s="66">
        <f>I80+P80+W80</f>
        <v/>
      </c>
      <c r="C80" s="66">
        <f>C61+C71</f>
        <v/>
      </c>
      <c r="D80" s="66">
        <f>D61+D71</f>
        <v/>
      </c>
      <c r="E80" s="66">
        <f>E61+E71</f>
        <v/>
      </c>
      <c r="F80" s="66">
        <f>F61+F71</f>
        <v/>
      </c>
      <c r="G80" s="66">
        <f>G61+G71</f>
        <v/>
      </c>
      <c r="H80" s="66">
        <f>H61+H71</f>
        <v/>
      </c>
      <c r="I80" s="67">
        <f>SUM(C80:H80)</f>
        <v/>
      </c>
      <c r="J80" s="66">
        <f>J61+J71</f>
        <v/>
      </c>
      <c r="K80" s="66">
        <f>K61+K71</f>
        <v/>
      </c>
      <c r="L80" s="66">
        <f>L61+L71</f>
        <v/>
      </c>
      <c r="M80" s="66">
        <f>M61+M71</f>
        <v/>
      </c>
      <c r="N80" s="66">
        <f>N61+N71</f>
        <v/>
      </c>
      <c r="O80" s="66">
        <f>O61+O71</f>
        <v/>
      </c>
      <c r="P80" s="67">
        <f>SUM(J80:O80)</f>
        <v/>
      </c>
      <c r="Q80" s="66">
        <f>Q61+Q71</f>
        <v/>
      </c>
      <c r="R80" s="66">
        <f>R61+R71</f>
        <v/>
      </c>
      <c r="S80" s="66">
        <f>S61+S71</f>
        <v/>
      </c>
      <c r="T80" s="66">
        <f>T61+T71</f>
        <v/>
      </c>
      <c r="U80" s="66">
        <f>U61+U71</f>
        <v/>
      </c>
      <c r="V80" s="66">
        <f>V61+V71</f>
        <v/>
      </c>
      <c r="W80" s="67">
        <f>SUM(Q80:V80)</f>
        <v/>
      </c>
    </row>
    <row r="81">
      <c r="A81" s="1" t="inlineStr">
        <is>
          <t>SaaS from Lost Customers</t>
        </is>
      </c>
      <c r="B81" s="66">
        <f>I81+P81+W81</f>
        <v/>
      </c>
      <c r="C81" s="66">
        <f>C77</f>
        <v/>
      </c>
      <c r="D81" s="66">
        <f>D77</f>
        <v/>
      </c>
      <c r="E81" s="66">
        <f>E77</f>
        <v/>
      </c>
      <c r="F81" s="66">
        <f>F77</f>
        <v/>
      </c>
      <c r="G81" s="66">
        <f>G77</f>
        <v/>
      </c>
      <c r="H81" s="66">
        <f>H77</f>
        <v/>
      </c>
      <c r="I81" s="67">
        <f>SUM(C81:H81)</f>
        <v/>
      </c>
      <c r="J81" s="66">
        <f>J77</f>
        <v/>
      </c>
      <c r="K81" s="66">
        <f>K77</f>
        <v/>
      </c>
      <c r="L81" s="66">
        <f>L77</f>
        <v/>
      </c>
      <c r="M81" s="66">
        <f>M77</f>
        <v/>
      </c>
      <c r="N81" s="66">
        <f>N77</f>
        <v/>
      </c>
      <c r="O81" s="66">
        <f>O77</f>
        <v/>
      </c>
      <c r="P81" s="67">
        <f>SUM(J81:O81)</f>
        <v/>
      </c>
      <c r="Q81" s="66">
        <f>Q77</f>
        <v/>
      </c>
      <c r="R81" s="66">
        <f>R77</f>
        <v/>
      </c>
      <c r="S81" s="66">
        <f>S77</f>
        <v/>
      </c>
      <c r="T81" s="66">
        <f>T77</f>
        <v/>
      </c>
      <c r="U81" s="66">
        <f>U77</f>
        <v/>
      </c>
      <c r="V81" s="66">
        <f>V77</f>
        <v/>
      </c>
      <c r="W81" s="67">
        <f>SUM(Q81:V81)</f>
        <v/>
      </c>
    </row>
    <row r="82">
      <c r="A82" s="1" t="n"/>
    </row>
    <row r="83">
      <c r="A83" s="7" t="inlineStr">
        <is>
          <t>Total Saas (Gross)</t>
        </is>
      </c>
      <c r="B83" s="66">
        <f>I83+P83+W83</f>
        <v/>
      </c>
      <c r="C83" s="66">
        <f>C79+C80+C81</f>
        <v/>
      </c>
      <c r="D83" s="66">
        <f>D79+D80+D81</f>
        <v/>
      </c>
      <c r="E83" s="66">
        <f>E79+E80+E81</f>
        <v/>
      </c>
      <c r="F83" s="66">
        <f>F79+F80+F81</f>
        <v/>
      </c>
      <c r="G83" s="66">
        <f>G79+G80+G81</f>
        <v/>
      </c>
      <c r="H83" s="66">
        <f>H79+H80+H81</f>
        <v/>
      </c>
      <c r="I83" s="67">
        <f>SUM(C83:H83)</f>
        <v/>
      </c>
      <c r="J83" s="66">
        <f>J79+J80+J81</f>
        <v/>
      </c>
      <c r="K83" s="66">
        <f>K79+K80+K81</f>
        <v/>
      </c>
      <c r="L83" s="66">
        <f>L79+L80+L81</f>
        <v/>
      </c>
      <c r="M83" s="66">
        <f>M79+M80+M81</f>
        <v/>
      </c>
      <c r="N83" s="66">
        <f>N79+N80+N81</f>
        <v/>
      </c>
      <c r="O83" s="66">
        <f>O79+O80+O81</f>
        <v/>
      </c>
      <c r="P83" s="67">
        <f>SUM(J83:O83)</f>
        <v/>
      </c>
      <c r="Q83" s="66">
        <f>Q79+Q80+Q81</f>
        <v/>
      </c>
      <c r="R83" s="66">
        <f>R79+R80+R81</f>
        <v/>
      </c>
      <c r="S83" s="66">
        <f>S79+S80+S81</f>
        <v/>
      </c>
      <c r="T83" s="66">
        <f>T79+T80+T81</f>
        <v/>
      </c>
      <c r="U83" s="66">
        <f>U79+U80+U81</f>
        <v/>
      </c>
      <c r="V83" s="66">
        <f>V79+V80+V81</f>
        <v/>
      </c>
      <c r="W83" s="67">
        <f>SUM(Q83:V83)</f>
        <v/>
      </c>
    </row>
  </sheetData>
  <pageMargins left="0.7" right="0.7" top="0.75" bottom="0.75" header="0.3" footer="0.3"/>
  <pageSetup orientation="portrait" paperSize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xSplit="1" ySplit="3" topLeftCell="H4" activePane="bottomRight" state="frozen"/>
      <selection pane="topRight" activeCell="B1" sqref="B1"/>
      <selection pane="bottomLeft" activeCell="A4" sqref="A4"/>
      <selection pane="bottomRight" activeCell="W39" sqref="W39"/>
    </sheetView>
  </sheetViews>
  <sheetFormatPr baseColWidth="10" defaultColWidth="8.6640625" defaultRowHeight="15"/>
  <cols>
    <col width="37" customWidth="1" min="1" max="1"/>
    <col width="12.33203125" bestFit="1" customWidth="1" min="2" max="6"/>
    <col width="12.33203125" customWidth="1" min="7" max="8"/>
    <col width="12.33203125" bestFit="1" customWidth="1" style="15" min="9" max="9"/>
    <col width="12.33203125" bestFit="1" customWidth="1" min="10" max="13"/>
    <col width="12.33203125" customWidth="1" min="14" max="15"/>
    <col width="12.33203125" bestFit="1" customWidth="1" style="15" min="16" max="16"/>
    <col width="12.33203125" bestFit="1" customWidth="1" min="17" max="19"/>
    <col width="12.5" bestFit="1" customWidth="1" min="20" max="20"/>
    <col width="12.5" customWidth="1" min="21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 ht="16" customHeight="1" thickBot="1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 ht="16" customHeight="1" thickBot="1">
      <c r="A4" s="1" t="inlineStr">
        <is>
          <t>*Trialers*</t>
        </is>
      </c>
      <c r="D4" s="4" t="n"/>
    </row>
    <row r="5" ht="16" customHeight="1" thickBot="1">
      <c r="A5" s="1" t="n"/>
    </row>
    <row r="6" ht="16" customHeight="1" thickBot="1">
      <c r="A6" s="1" t="inlineStr">
        <is>
          <t>Made their first payment</t>
        </is>
      </c>
      <c r="B6" s="9">
        <f>I6+P6+W6</f>
        <v/>
      </c>
      <c r="C6">
        <f>COUNTIFS(Accounts!$E:$E,CurrentSaaS!C$1,Accounts!$G:$G,CurrentSaaS!C$2,Accounts!$F:$F,CurrentSaaS!C$3,Accounts!$W:$W,1)</f>
        <v/>
      </c>
      <c r="D6">
        <f>COUNTIFS(Accounts!$E:$E,CurrentSaaS!D$1,Accounts!$G:$G,CurrentSaaS!D$2,Accounts!$F:$F,CurrentSaaS!D$3,Accounts!$W:$W,1)</f>
        <v/>
      </c>
      <c r="E6">
        <f>COUNTIFS(Accounts!$E:$E,CurrentSaaS!E$1,Accounts!$G:$G,CurrentSaaS!E$2,Accounts!$F:$F,CurrentSaaS!E$3,Accounts!$W:$W,1)</f>
        <v/>
      </c>
      <c r="F6">
        <f>COUNTIFS(Accounts!$E:$E,CurrentSaaS!F$1,Accounts!$G:$G,CurrentSaaS!F$2,Accounts!$F:$F,CurrentSaaS!F$3,Accounts!$W:$W,1)</f>
        <v/>
      </c>
      <c r="G6">
        <f>COUNTIFS(Accounts!$E:$E,CurrentSaaS!G$1,Accounts!$G:$G,CurrentSaaS!G$2,Accounts!$F:$F,CurrentSaaS!G$3,Accounts!$W:$W,1)</f>
        <v/>
      </c>
      <c r="H6">
        <f>COUNTIFS(Accounts!$E:$E,CurrentSaaS!H$1,Accounts!$G:$G,CurrentSaaS!H$2,Accounts!$F:$F,CurrentSaaS!H$3,Accounts!$W:$W,1)</f>
        <v/>
      </c>
      <c r="I6" s="15">
        <f>SUM(C6:H6)</f>
        <v/>
      </c>
      <c r="J6">
        <f>COUNTIFS(Accounts!$E:$E,CurrentSaaS!J$1,Accounts!$G:$G,CurrentSaaS!J$2,Accounts!$F:$F,CurrentSaaS!J$3,Accounts!$W:$W,1)</f>
        <v/>
      </c>
      <c r="K6">
        <f>COUNTIFS(Accounts!$E:$E,CurrentSaaS!K$1,Accounts!$G:$G,CurrentSaaS!K$2,Accounts!$F:$F,CurrentSaaS!K$3,Accounts!$W:$W,1)</f>
        <v/>
      </c>
      <c r="L6">
        <f>COUNTIFS(Accounts!$E:$E,CurrentSaaS!L$1,Accounts!$G:$G,CurrentSaaS!L$2,Accounts!$F:$F,CurrentSaaS!L$3,Accounts!$W:$W,1)</f>
        <v/>
      </c>
      <c r="M6">
        <f>COUNTIFS(Accounts!$E:$E,CurrentSaaS!M$1,Accounts!$G:$G,CurrentSaaS!M$2,Accounts!$F:$F,CurrentSaaS!M$3,Accounts!$W:$W,1)</f>
        <v/>
      </c>
      <c r="N6">
        <f>COUNTIFS(Accounts!$E:$E,CurrentSaaS!N$1,Accounts!$G:$G,CurrentSaaS!N$2,Accounts!$F:$F,CurrentSaaS!N$3,Accounts!$W:$W,1)</f>
        <v/>
      </c>
      <c r="O6">
        <f>COUNTIFS(Accounts!$E:$E,CurrentSaaS!O$1,Accounts!$G:$G,CurrentSaaS!O$2,Accounts!$F:$F,CurrentSaaS!O$3,Accounts!$W:$W,1)</f>
        <v/>
      </c>
      <c r="P6" s="15">
        <f>SUM(J6:O6)</f>
        <v/>
      </c>
      <c r="Q6">
        <f>COUNTIFS(Accounts!$E:$E,CurrentSaaS!Q$1,Accounts!$G:$G,CurrentSaaS!Q$2,Accounts!$F:$F,CurrentSaaS!Q$3,Accounts!$W:$W,1)</f>
        <v/>
      </c>
      <c r="R6">
        <f>COUNTIFS(Accounts!$E:$E,CurrentSaaS!R$1,Accounts!$G:$G,CurrentSaaS!R$2,Accounts!$F:$F,CurrentSaaS!R$3,Accounts!$W:$W,1)</f>
        <v/>
      </c>
      <c r="S6">
        <f>COUNTIFS(Accounts!$E:$E,CurrentSaaS!S$1,Accounts!$G:$G,CurrentSaaS!S$2,Accounts!$F:$F,CurrentSaaS!S$3,Accounts!$W:$W,1)</f>
        <v/>
      </c>
      <c r="T6">
        <f>COUNTIFS(Accounts!$E:$E,CurrentSaaS!T$1,Accounts!$G:$G,CurrentSaaS!T$2,Accounts!$F:$F,CurrentSaaS!T$3,Accounts!$W:$W,1)</f>
        <v/>
      </c>
      <c r="U6">
        <f>COUNTIFS(Accounts!$E:$E,CurrentSaaS!U$1,Accounts!$G:$G,CurrentSaaS!U$2,Accounts!$F:$F,CurrentSaaS!U$3,Accounts!$W:$W,1)</f>
        <v/>
      </c>
      <c r="V6">
        <f>COUNTIFS(Accounts!$E:$E,CurrentSaaS!V$1,Accounts!$G:$G,CurrentSaaS!V$2,Accounts!$F:$F,CurrentSaaS!V$3,Accounts!$W:$W,1)</f>
        <v/>
      </c>
      <c r="W6" s="15">
        <f>SUM(Q6:V6)</f>
        <v/>
      </c>
    </row>
    <row r="7" ht="16" customHeight="1" thickBot="1">
      <c r="A7" s="1" t="inlineStr">
        <is>
          <t>ARPC First Invoice</t>
        </is>
      </c>
      <c r="B7" s="65">
        <f>IF(B6=0,0,B8/B6)</f>
        <v/>
      </c>
      <c r="C7" s="66">
        <f>IF(C6=0,0,C8/C6)</f>
        <v/>
      </c>
      <c r="D7" s="66">
        <f>IF(D6=0,0,D8/D6)</f>
        <v/>
      </c>
      <c r="E7" s="66">
        <f>IF(E6=0,0,E8/E6)</f>
        <v/>
      </c>
      <c r="F7" s="66">
        <f>IF(F6=0,0,F8/F6)</f>
        <v/>
      </c>
      <c r="G7" s="66">
        <f>IF(G6=0,0,G8/G6)</f>
        <v/>
      </c>
      <c r="H7" s="66">
        <f>IF(H6=0,0,H8/H6)</f>
        <v/>
      </c>
      <c r="I7" s="67">
        <f>IF(I6=0,0,I8/I6)</f>
        <v/>
      </c>
      <c r="J7" s="66">
        <f>IF(J6=0,0,J8/J6)</f>
        <v/>
      </c>
      <c r="K7" s="66">
        <f>IF(K6=0,0,K8/K6)</f>
        <v/>
      </c>
      <c r="L7" s="66">
        <f>IF(L6=0,0,L8/L6)</f>
        <v/>
      </c>
      <c r="M7" s="66">
        <f>IF(M6=0,0,M8/M6)</f>
        <v/>
      </c>
      <c r="N7" s="66">
        <f>IF(N6=0,0,N8/N6)</f>
        <v/>
      </c>
      <c r="O7" s="66">
        <f>IF(O6=0,0,O8/O6)</f>
        <v/>
      </c>
      <c r="P7" s="67">
        <f>IF(P6=0,0,P8/P6)</f>
        <v/>
      </c>
      <c r="Q7" s="66">
        <f>IF(Q6=0,0,Q8/Q6)</f>
        <v/>
      </c>
      <c r="R7" s="66">
        <f>IF(R6=0,0,R8/R6)</f>
        <v/>
      </c>
      <c r="S7" s="66">
        <f>IF(S6=0,0,S8/S6)</f>
        <v/>
      </c>
      <c r="T7" s="66">
        <f>IF(T6=0,0,T8/T6)</f>
        <v/>
      </c>
      <c r="U7" s="66">
        <f>IF(U6=0,0,U8/U6)</f>
        <v/>
      </c>
      <c r="V7" s="66">
        <f>IF(V6=0,0,V8/V6)</f>
        <v/>
      </c>
      <c r="W7" s="67">
        <f>IF(W6=0,0,W8/W6)</f>
        <v/>
      </c>
    </row>
    <row r="8" ht="16" customHeight="1" thickBot="1">
      <c r="A8" s="7" t="inlineStr">
        <is>
          <t>Total SaaS from Trialers</t>
        </is>
      </c>
      <c r="B8" s="65">
        <f>I8+P8+W8</f>
        <v/>
      </c>
      <c r="C8" s="66">
        <f>SUMIFS(Accounts!$BH:$BH,Accounts!$E:$E,CurrentSaaS!C$1,Accounts!$G:$G,CurrentSaaS!C$2,Accounts!$F:$F,CurrentSaaS!C$3,Accounts!$W:$W,1)</f>
        <v/>
      </c>
      <c r="D8" s="66">
        <f>SUMIFS(Accounts!$BH:$BH,Accounts!$E:$E,CurrentSaaS!D$1,Accounts!$G:$G,CurrentSaaS!D$2,Accounts!$F:$F,CurrentSaaS!D$3,Accounts!$W:$W,1)</f>
        <v/>
      </c>
      <c r="E8" s="66">
        <f>SUMIFS(Accounts!$BH:$BH,Accounts!$E:$E,CurrentSaaS!E$1,Accounts!$G:$G,CurrentSaaS!E$2,Accounts!$F:$F,CurrentSaaS!E$3,Accounts!$W:$W,1)</f>
        <v/>
      </c>
      <c r="F8" s="66">
        <f>SUMIFS(Accounts!$BH:$BH,Accounts!$E:$E,CurrentSaaS!F$1,Accounts!$G:$G,CurrentSaaS!F$2,Accounts!$F:$F,CurrentSaaS!F$3,Accounts!$W:$W,1)</f>
        <v/>
      </c>
      <c r="G8" s="66">
        <f>SUMIFS(Accounts!$BH:$BH,Accounts!$E:$E,CurrentSaaS!G$1,Accounts!$G:$G,CurrentSaaS!G$2,Accounts!$F:$F,CurrentSaaS!G$3,Accounts!$W:$W,1)</f>
        <v/>
      </c>
      <c r="H8" s="66">
        <f>SUMIFS(Accounts!$BH:$BH,Accounts!$E:$E,CurrentSaaS!H$1,Accounts!$G:$G,CurrentSaaS!H$2,Accounts!$F:$F,CurrentSaaS!H$3,Accounts!$W:$W,1)</f>
        <v/>
      </c>
      <c r="I8" s="67">
        <f>SUM(C8:H8)</f>
        <v/>
      </c>
      <c r="J8" s="66">
        <f>SUMIFS(Accounts!$BH:$BH,Accounts!$E:$E,CurrentSaaS!J$1,Accounts!$G:$G,CurrentSaaS!J$2,Accounts!$F:$F,CurrentSaaS!J$3,Accounts!$W:$W,1)</f>
        <v/>
      </c>
      <c r="K8" s="66">
        <f>SUMIFS(Accounts!$BH:$BH,Accounts!$E:$E,CurrentSaaS!K$1,Accounts!$G:$G,CurrentSaaS!K$2,Accounts!$F:$F,CurrentSaaS!K$3,Accounts!$W:$W,1)</f>
        <v/>
      </c>
      <c r="L8" s="66">
        <f>SUMIFS(Accounts!$BH:$BH,Accounts!$E:$E,CurrentSaaS!L$1,Accounts!$G:$G,CurrentSaaS!L$2,Accounts!$F:$F,CurrentSaaS!L$3,Accounts!$W:$W,1)</f>
        <v/>
      </c>
      <c r="M8" s="66">
        <f>SUMIFS(Accounts!$BH:$BH,Accounts!$E:$E,CurrentSaaS!M$1,Accounts!$G:$G,CurrentSaaS!M$2,Accounts!$F:$F,CurrentSaaS!M$3,Accounts!$W:$W,1)</f>
        <v/>
      </c>
      <c r="N8" s="66">
        <f>SUMIFS(Accounts!$BH:$BH,Accounts!$E:$E,CurrentSaaS!N$1,Accounts!$G:$G,CurrentSaaS!N$2,Accounts!$F:$F,CurrentSaaS!N$3,Accounts!$W:$W,1)</f>
        <v/>
      </c>
      <c r="O8" s="66">
        <f>SUMIFS(Accounts!$BH:$BH,Accounts!$E:$E,CurrentSaaS!O$1,Accounts!$G:$G,CurrentSaaS!O$2,Accounts!$F:$F,CurrentSaaS!O$3,Accounts!$W:$W,1)</f>
        <v/>
      </c>
      <c r="P8" s="67">
        <f>SUM(J8:O8)</f>
        <v/>
      </c>
      <c r="Q8" s="66">
        <f>SUMIFS(Accounts!$BH:$BH,Accounts!$E:$E,CurrentSaaS!Q$1,Accounts!$G:$G,CurrentSaaS!Q$2,Accounts!$F:$F,CurrentSaaS!Q$3,Accounts!$W:$W,1)</f>
        <v/>
      </c>
      <c r="R8" s="66">
        <f>SUMIFS(Accounts!$BH:$BH,Accounts!$E:$E,CurrentSaaS!R$1,Accounts!$G:$G,CurrentSaaS!R$2,Accounts!$F:$F,CurrentSaaS!R$3,Accounts!$W:$W,1)</f>
        <v/>
      </c>
      <c r="S8" s="66">
        <f>SUMIFS(Accounts!$BH:$BH,Accounts!$E:$E,CurrentSaaS!S$1,Accounts!$G:$G,CurrentSaaS!S$2,Accounts!$F:$F,CurrentSaaS!S$3,Accounts!$W:$W,1)</f>
        <v/>
      </c>
      <c r="T8" s="66">
        <f>SUMIFS(Accounts!$BH:$BH,Accounts!$E:$E,CurrentSaaS!T$1,Accounts!$G:$G,CurrentSaaS!T$2,Accounts!$F:$F,CurrentSaaS!T$3,Accounts!$W:$W,1)</f>
        <v/>
      </c>
      <c r="U8" s="66">
        <f>SUMIFS(Accounts!$BH:$BH,Accounts!$E:$E,CurrentSaaS!U$1,Accounts!$G:$G,CurrentSaaS!U$2,Accounts!$F:$F,CurrentSaaS!U$3,Accounts!$W:$W,1)</f>
        <v/>
      </c>
      <c r="V8" s="66">
        <f>SUMIFS(Accounts!$BH:$BH,Accounts!$E:$E,CurrentSaaS!V$1,Accounts!$G:$G,CurrentSaaS!V$2,Accounts!$F:$F,CurrentSaaS!V$3,Accounts!$W:$W,1)</f>
        <v/>
      </c>
      <c r="W8" s="67">
        <f>SUM(Q8:V8)</f>
        <v/>
      </c>
    </row>
    <row r="9" ht="16" customHeight="1" thickBot="1">
      <c r="A9" s="7" t="n"/>
      <c r="B9" s="9" t="n"/>
    </row>
    <row r="10" ht="16" customHeight="1" thickBot="1">
      <c r="A10" s="1" t="inlineStr">
        <is>
          <t>*Paying Customers*</t>
        </is>
      </c>
      <c r="B10" s="9" t="n"/>
    </row>
    <row r="11" ht="16" customHeight="1" thickBot="1">
      <c r="A11" s="1" t="inlineStr">
        <is>
          <t>0-30 day cohort as of BOM</t>
        </is>
      </c>
      <c r="B11" s="9" t="n"/>
    </row>
    <row r="12" ht="16" customHeight="1" thickBot="1">
      <c r="A12" s="1" t="inlineStr">
        <is>
          <t xml:space="preserve">   Retained Count</t>
        </is>
      </c>
      <c r="B12" s="9">
        <f>I12+P12+W12</f>
        <v/>
      </c>
      <c r="C12">
        <f>COUNTIFS(Accounts!$E:$E,CurrentSaaS!C$1,Accounts!$G:$G,CurrentSaaS!C$2,Accounts!$F:$F,CurrentSaaS!C$3,Accounts!$B:$B,"Customer",Accounts!$BJ:$BJ,"Monthly",Accounts!$C:$C,"Customer",Accounts!$H:$H,"&lt;="&amp;30)</f>
        <v/>
      </c>
      <c r="D12">
        <f>COUNTIFS(Accounts!$E:$E,CurrentSaaS!D$1,Accounts!$G:$G,CurrentSaaS!D$2,Accounts!$F:$F,CurrentSaaS!D$3,Accounts!$B:$B,"Customer",Accounts!$BJ:$BJ,"Monthly",Accounts!$C:$C,"Customer",Accounts!$H:$H,"&lt;="&amp;30)</f>
        <v/>
      </c>
      <c r="E12">
        <f>COUNTIFS(Accounts!$E:$E,CurrentSaaS!E$1,Accounts!$G:$G,CurrentSaaS!E$2,Accounts!$F:$F,CurrentSaaS!E$3,Accounts!$B:$B,"Customer",Accounts!$BJ:$BJ,"Monthly",Accounts!$C:$C,"Customer",Accounts!$H:$H,"&lt;="&amp;30)</f>
        <v/>
      </c>
      <c r="F12">
        <f>COUNTIFS(Accounts!$E:$E,CurrentSaaS!F$1,Accounts!$G:$G,CurrentSaaS!F$2,Accounts!$F:$F,CurrentSaaS!F$3,Accounts!$B:$B,"Customer",Accounts!$BJ:$BJ,"Monthly",Accounts!$C:$C,"Customer",Accounts!$H:$H,"&lt;="&amp;30)</f>
        <v/>
      </c>
      <c r="G12">
        <f>COUNTIFS(Accounts!$E:$E,CurrentSaaS!G$1,Accounts!$G:$G,CurrentSaaS!G$2,Accounts!$F:$F,CurrentSaaS!G$3,Accounts!$B:$B,"Customer",Accounts!$BJ:$BJ,"Monthly",Accounts!$C:$C,"Customer",Accounts!$H:$H,"&lt;="&amp;30)</f>
        <v/>
      </c>
      <c r="H12">
        <f>COUNTIFS(Accounts!$E:$E,CurrentSaaS!H$1,Accounts!$G:$G,CurrentSaaS!H$2,Accounts!$F:$F,CurrentSaaS!H$3,Accounts!$B:$B,"Customer",Accounts!$BJ:$BJ,"Monthly",Accounts!$C:$C,"Customer",Accounts!$H:$H,"&lt;="&amp;30)</f>
        <v/>
      </c>
      <c r="I12" s="15">
        <f>SUM(C12:H12)</f>
        <v/>
      </c>
      <c r="J12">
        <f>COUNTIFS(Accounts!$E:$E,CurrentSaaS!J$1,Accounts!$G:$G,CurrentSaaS!J$2,Accounts!$F:$F,CurrentSaaS!J$3,Accounts!$B:$B,"Customer",Accounts!$BJ:$BJ,"Monthly",Accounts!$C:$C,"Customer",Accounts!$H:$H,"&lt;="&amp;30)</f>
        <v/>
      </c>
      <c r="K12">
        <f>COUNTIFS(Accounts!$E:$E,CurrentSaaS!K$1,Accounts!$G:$G,CurrentSaaS!K$2,Accounts!$F:$F,CurrentSaaS!K$3,Accounts!$B:$B,"Customer",Accounts!$BJ:$BJ,"Monthly",Accounts!$C:$C,"Customer",Accounts!$H:$H,"&lt;="&amp;30)</f>
        <v/>
      </c>
      <c r="L12">
        <f>COUNTIFS(Accounts!$E:$E,CurrentSaaS!L$1,Accounts!$G:$G,CurrentSaaS!L$2,Accounts!$F:$F,CurrentSaaS!L$3,Accounts!$B:$B,"Customer",Accounts!$BJ:$BJ,"Monthly",Accounts!$C:$C,"Customer",Accounts!$H:$H,"&lt;="&amp;30)</f>
        <v/>
      </c>
      <c r="M12">
        <f>COUNTIFS(Accounts!$E:$E,CurrentSaaS!M$1,Accounts!$G:$G,CurrentSaaS!M$2,Accounts!$F:$F,CurrentSaaS!M$3,Accounts!$B:$B,"Customer",Accounts!$BJ:$BJ,"Monthly",Accounts!$C:$C,"Customer",Accounts!$H:$H,"&lt;="&amp;30)</f>
        <v/>
      </c>
      <c r="N12">
        <f>COUNTIFS(Accounts!$E:$E,CurrentSaaS!N$1,Accounts!$G:$G,CurrentSaaS!N$2,Accounts!$F:$F,CurrentSaaS!N$3,Accounts!$B:$B,"Customer",Accounts!$BJ:$BJ,"Monthly",Accounts!$C:$C,"Customer",Accounts!$H:$H,"&lt;="&amp;30)</f>
        <v/>
      </c>
      <c r="O12">
        <f>COUNTIFS(Accounts!$E:$E,CurrentSaaS!O$1,Accounts!$G:$G,CurrentSaaS!O$2,Accounts!$F:$F,CurrentSaaS!O$3,Accounts!$B:$B,"Customer",Accounts!$BJ:$BJ,"Monthly",Accounts!$C:$C,"Customer",Accounts!$H:$H,"&lt;="&amp;30)</f>
        <v/>
      </c>
      <c r="P12" s="15">
        <f>SUM(J12:O12)</f>
        <v/>
      </c>
      <c r="Q12">
        <f>COUNTIFS(Accounts!$E:$E,CurrentSaaS!Q$1,Accounts!$G:$G,CurrentSaaS!Q$2,Accounts!$F:$F,CurrentSaaS!Q$3,Accounts!$B:$B,"Customer",Accounts!$BJ:$BJ,"Monthly",Accounts!$C:$C,"Customer",Accounts!$H:$H,"&lt;="&amp;30)</f>
        <v/>
      </c>
      <c r="R12">
        <f>COUNTIFS(Accounts!$E:$E,CurrentSaaS!R$1,Accounts!$G:$G,CurrentSaaS!R$2,Accounts!$F:$F,CurrentSaaS!R$3,Accounts!$B:$B,"Customer",Accounts!$BJ:$BJ,"Monthly",Accounts!$C:$C,"Customer",Accounts!$H:$H,"&lt;="&amp;30)</f>
        <v/>
      </c>
      <c r="S12">
        <f>COUNTIFS(Accounts!$E:$E,CurrentSaaS!S$1,Accounts!$G:$G,CurrentSaaS!S$2,Accounts!$F:$F,CurrentSaaS!S$3,Accounts!$B:$B,"Customer",Accounts!$BJ:$BJ,"Monthly",Accounts!$C:$C,"Customer",Accounts!$H:$H,"&lt;="&amp;30)</f>
        <v/>
      </c>
      <c r="T12">
        <f>COUNTIFS(Accounts!$E:$E,CurrentSaaS!T$1,Accounts!$G:$G,CurrentSaaS!T$2,Accounts!$F:$F,CurrentSaaS!T$3,Accounts!$B:$B,"Customer",Accounts!$BJ:$BJ,"Monthly",Accounts!$C:$C,"Customer",Accounts!$H:$H,"&lt;="&amp;30)</f>
        <v/>
      </c>
      <c r="U12">
        <f>COUNTIFS(Accounts!$E:$E,CurrentSaaS!U$1,Accounts!$G:$G,CurrentSaaS!U$2,Accounts!$F:$F,CurrentSaaS!U$3,Accounts!$B:$B,"Customer",Accounts!$BJ:$BJ,"Monthly",Accounts!$C:$C,"Customer",Accounts!$H:$H,"&lt;="&amp;30)</f>
        <v/>
      </c>
      <c r="V12">
        <f>COUNTIFS(Accounts!$E:$E,CurrentSaaS!V$1,Accounts!$G:$G,CurrentSaaS!V$2,Accounts!$F:$F,CurrentSaaS!V$3,Accounts!$B:$B,"Customer",Accounts!$BJ:$BJ,"Monthly",Accounts!$C:$C,"Customer",Accounts!$H:$H,"&lt;="&amp;30)</f>
        <v/>
      </c>
      <c r="W12" s="15">
        <f>SUM(Q12:V12)</f>
        <v/>
      </c>
    </row>
    <row r="13" ht="16" customHeight="1" thickBot="1">
      <c r="A13" s="1" t="inlineStr">
        <is>
          <t xml:space="preserve">   ARPC</t>
        </is>
      </c>
      <c r="B13" s="65">
        <f>IF(B12=0,0,B14/B12)</f>
        <v/>
      </c>
      <c r="C13" s="66">
        <f>IF(C12=0,0,C14/C12)</f>
        <v/>
      </c>
      <c r="D13" s="66">
        <f>IF(D12=0,0,D14/D12)</f>
        <v/>
      </c>
      <c r="E13" s="66">
        <f>IF(E12=0,0,E14/E12)</f>
        <v/>
      </c>
      <c r="F13" s="66">
        <f>IF(F12=0,0,F14/F12)</f>
        <v/>
      </c>
      <c r="G13" s="66">
        <f>IF(G12=0,0,G14/G12)</f>
        <v/>
      </c>
      <c r="H13" s="66">
        <f>IF(H12=0,0,H14/H12)</f>
        <v/>
      </c>
      <c r="I13" s="67">
        <f>IF(I12=0,0,I14/I12)</f>
        <v/>
      </c>
      <c r="J13" s="66">
        <f>IF(J12=0,0,J14/J12)</f>
        <v/>
      </c>
      <c r="K13" s="66">
        <f>IF(K12=0,0,K14/K12)</f>
        <v/>
      </c>
      <c r="L13" s="66">
        <f>IF(L12=0,0,L14/L12)</f>
        <v/>
      </c>
      <c r="M13" s="66">
        <f>IF(M12=0,0,M14/M12)</f>
        <v/>
      </c>
      <c r="N13" s="66">
        <f>IF(N12=0,0,N14/N12)</f>
        <v/>
      </c>
      <c r="O13" s="66">
        <f>IF(O12=0,0,O14/O12)</f>
        <v/>
      </c>
      <c r="P13" s="67">
        <f>IF(P12=0,0,P14/P12)</f>
        <v/>
      </c>
      <c r="Q13" s="66">
        <f>IF(Q12=0,0,Q14/Q12)</f>
        <v/>
      </c>
      <c r="R13" s="66">
        <f>IF(R12=0,0,R14/R12)</f>
        <v/>
      </c>
      <c r="S13" s="66">
        <f>IF(S12=0,0,S14/S12)</f>
        <v/>
      </c>
      <c r="T13" s="66">
        <f>IF(T12=0,0,T14/T12)</f>
        <v/>
      </c>
      <c r="U13" s="66">
        <f>IF(U12=0,0,U14/U12)</f>
        <v/>
      </c>
      <c r="V13" s="66">
        <f>IF(V12=0,0,V14/V12)</f>
        <v/>
      </c>
      <c r="W13" s="67">
        <f>IF(W12=0,0,W14/W12)</f>
        <v/>
      </c>
    </row>
    <row r="14" ht="16" customHeight="1" thickBot="1">
      <c r="A14" s="1" t="inlineStr">
        <is>
          <t xml:space="preserve">   SaaS</t>
        </is>
      </c>
      <c r="B14" s="65">
        <f>I14+P14+W14</f>
        <v/>
      </c>
      <c r="C14" s="66">
        <f>SUMIFS(Accounts!$BH:$BH,Accounts!$E:$E,CurrentSaaS!C$1,Accounts!$G:$G,CurrentSaaS!C$2,Accounts!$F:$F,CurrentSaaS!C$3,Accounts!$W:$W,0,Accounts!$C:$C,"Customer",Accounts!$BJ:$BJ,"Monthly",Accounts!$H:$H,"&lt;="&amp;30)</f>
        <v/>
      </c>
      <c r="D14" s="66">
        <f>SUMIFS(Accounts!$BH:$BH,Accounts!$E:$E,CurrentSaaS!D$1,Accounts!$G:$G,CurrentSaaS!D$2,Accounts!$F:$F,CurrentSaaS!D$3,Accounts!$W:$W,0,Accounts!$C:$C,"Customer",Accounts!$BJ:$BJ,"Monthly",Accounts!$H:$H,"&lt;="&amp;30)</f>
        <v/>
      </c>
      <c r="E14" s="66">
        <f>SUMIFS(Accounts!$BH:$BH,Accounts!$E:$E,CurrentSaaS!E$1,Accounts!$G:$G,CurrentSaaS!E$2,Accounts!$F:$F,CurrentSaaS!E$3,Accounts!$W:$W,0,Accounts!$C:$C,"Customer",Accounts!$BJ:$BJ,"Monthly",Accounts!$H:$H,"&lt;="&amp;30)</f>
        <v/>
      </c>
      <c r="F14" s="66">
        <f>SUMIFS(Accounts!$BH:$BH,Accounts!$E:$E,CurrentSaaS!F$1,Accounts!$G:$G,CurrentSaaS!F$2,Accounts!$F:$F,CurrentSaaS!F$3,Accounts!$W:$W,0,Accounts!$C:$C,"Customer",Accounts!$BJ:$BJ,"Monthly",Accounts!$H:$H,"&lt;="&amp;30)</f>
        <v/>
      </c>
      <c r="G14" s="66">
        <f>SUMIFS(Accounts!$BH:$BH,Accounts!$E:$E,CurrentSaaS!G$1,Accounts!$G:$G,CurrentSaaS!G$2,Accounts!$F:$F,CurrentSaaS!G$3,Accounts!$W:$W,0,Accounts!$C:$C,"Customer",Accounts!$BJ:$BJ,"Monthly",Accounts!$H:$H,"&lt;="&amp;30)</f>
        <v/>
      </c>
      <c r="H14" s="66">
        <f>SUMIFS(Accounts!$BH:$BH,Accounts!$E:$E,CurrentSaaS!H$1,Accounts!$G:$G,CurrentSaaS!H$2,Accounts!$F:$F,CurrentSaaS!H$3,Accounts!$W:$W,0,Accounts!$C:$C,"Customer",Accounts!$BJ:$BJ,"Monthly",Accounts!$H:$H,"&lt;="&amp;30)</f>
        <v/>
      </c>
      <c r="I14" s="67">
        <f>SUM(C14:H14)</f>
        <v/>
      </c>
      <c r="J14" s="66">
        <f>SUMIFS(Accounts!$BH:$BH,Accounts!$E:$E,CurrentSaaS!J$1,Accounts!$G:$G,CurrentSaaS!J$2,Accounts!$F:$F,CurrentSaaS!J$3,Accounts!$W:$W,0,Accounts!$C:$C,"Customer",Accounts!$BJ:$BJ,"Monthly",Accounts!$H:$H,"&lt;="&amp;30)</f>
        <v/>
      </c>
      <c r="K14" s="66">
        <f>SUMIFS(Accounts!$BH:$BH,Accounts!$E:$E,CurrentSaaS!K$1,Accounts!$G:$G,CurrentSaaS!K$2,Accounts!$F:$F,CurrentSaaS!K$3,Accounts!$W:$W,0,Accounts!$C:$C,"Customer",Accounts!$BJ:$BJ,"Monthly",Accounts!$H:$H,"&lt;="&amp;30)</f>
        <v/>
      </c>
      <c r="L14" s="66">
        <f>SUMIFS(Accounts!$BH:$BH,Accounts!$E:$E,CurrentSaaS!L$1,Accounts!$G:$G,CurrentSaaS!L$2,Accounts!$F:$F,CurrentSaaS!L$3,Accounts!$W:$W,0,Accounts!$C:$C,"Customer",Accounts!$BJ:$BJ,"Monthly",Accounts!$H:$H,"&lt;="&amp;30)</f>
        <v/>
      </c>
      <c r="M14" s="66">
        <f>SUMIFS(Accounts!$BH:$BH,Accounts!$E:$E,CurrentSaaS!M$1,Accounts!$G:$G,CurrentSaaS!M$2,Accounts!$F:$F,CurrentSaaS!M$3,Accounts!$W:$W,0,Accounts!$C:$C,"Customer",Accounts!$BJ:$BJ,"Monthly",Accounts!$H:$H,"&lt;="&amp;30)</f>
        <v/>
      </c>
      <c r="N14" s="66">
        <f>SUMIFS(Accounts!$BH:$BH,Accounts!$E:$E,CurrentSaaS!N$1,Accounts!$G:$G,CurrentSaaS!N$2,Accounts!$F:$F,CurrentSaaS!N$3,Accounts!$W:$W,0,Accounts!$C:$C,"Customer",Accounts!$BJ:$BJ,"Monthly",Accounts!$H:$H,"&lt;="&amp;30)</f>
        <v/>
      </c>
      <c r="O14" s="66">
        <f>SUMIFS(Accounts!$BH:$BH,Accounts!$E:$E,CurrentSaaS!O$1,Accounts!$G:$G,CurrentSaaS!O$2,Accounts!$F:$F,CurrentSaaS!O$3,Accounts!$W:$W,0,Accounts!$C:$C,"Customer",Accounts!$BJ:$BJ,"Monthly",Accounts!$H:$H,"&lt;="&amp;30)</f>
        <v/>
      </c>
      <c r="P14" s="67">
        <f>SUM(J14:O14)</f>
        <v/>
      </c>
      <c r="Q14" s="66">
        <f>SUMIFS(Accounts!$BH:$BH,Accounts!$E:$E,CurrentSaaS!Q$1,Accounts!$G:$G,CurrentSaaS!Q$2,Accounts!$F:$F,CurrentSaaS!Q$3,Accounts!$W:$W,0,Accounts!$C:$C,"Customer",Accounts!$BJ:$BJ,"Monthly",Accounts!$H:$H,"&lt;="&amp;30)</f>
        <v/>
      </c>
      <c r="R14" s="66">
        <f>SUMIFS(Accounts!$BH:$BH,Accounts!$E:$E,CurrentSaaS!R$1,Accounts!$G:$G,CurrentSaaS!R$2,Accounts!$F:$F,CurrentSaaS!R$3,Accounts!$W:$W,0,Accounts!$C:$C,"Customer",Accounts!$BJ:$BJ,"Monthly",Accounts!$H:$H,"&lt;="&amp;30)</f>
        <v/>
      </c>
      <c r="S14" s="66">
        <f>SUMIFS(Accounts!$BH:$BH,Accounts!$E:$E,CurrentSaaS!S$1,Accounts!$G:$G,CurrentSaaS!S$2,Accounts!$F:$F,CurrentSaaS!S$3,Accounts!$W:$W,0,Accounts!$C:$C,"Customer",Accounts!$BJ:$BJ,"Monthly",Accounts!$H:$H,"&lt;="&amp;30)</f>
        <v/>
      </c>
      <c r="T14" s="66">
        <f>SUMIFS(Accounts!$BH:$BH,Accounts!$E:$E,CurrentSaaS!T$1,Accounts!$G:$G,CurrentSaaS!T$2,Accounts!$F:$F,CurrentSaaS!T$3,Accounts!$W:$W,0,Accounts!$C:$C,"Customer",Accounts!$BJ:$BJ,"Monthly",Accounts!$H:$H,"&lt;="&amp;30)</f>
        <v/>
      </c>
      <c r="U14" s="66">
        <f>SUMIFS(Accounts!$BH:$BH,Accounts!$E:$E,CurrentSaaS!U$1,Accounts!$G:$G,CurrentSaaS!U$2,Accounts!$F:$F,CurrentSaaS!U$3,Accounts!$W:$W,0,Accounts!$C:$C,"Customer",Accounts!$BJ:$BJ,"Monthly",Accounts!$H:$H,"&lt;="&amp;30)</f>
        <v/>
      </c>
      <c r="V14" s="66">
        <f>SUMIFS(Accounts!$BH:$BH,Accounts!$E:$E,CurrentSaaS!V$1,Accounts!$G:$G,CurrentSaaS!V$2,Accounts!$F:$F,CurrentSaaS!V$3,Accounts!$W:$W,0,Accounts!$C:$C,"Customer",Accounts!$BJ:$BJ,"Monthly",Accounts!$H:$H,"&lt;="&amp;30)</f>
        <v/>
      </c>
      <c r="W14" s="67">
        <f>SUM(Q14:V14)</f>
        <v/>
      </c>
    </row>
    <row r="15" ht="16" customHeight="1" thickBot="1">
      <c r="A15" s="1" t="inlineStr">
        <is>
          <t>31-60 day cohort as of BOM</t>
        </is>
      </c>
      <c r="B15" s="65" t="n"/>
      <c r="C15" s="66" t="n"/>
      <c r="D15" s="66" t="n"/>
      <c r="E15" s="66" t="n"/>
      <c r="F15" s="66" t="n"/>
      <c r="G15" s="66" t="n"/>
      <c r="H15" s="66" t="n"/>
      <c r="I15" s="67" t="n"/>
      <c r="J15" s="66" t="n"/>
      <c r="K15" s="66" t="n"/>
      <c r="L15" s="66" t="n"/>
      <c r="M15" s="66" t="n"/>
      <c r="N15" s="66" t="n"/>
      <c r="O15" s="66" t="n"/>
      <c r="P15" s="67" t="n"/>
      <c r="Q15" s="66" t="n"/>
      <c r="R15" s="66" t="n"/>
      <c r="S15" s="66" t="n"/>
      <c r="T15" s="66" t="n"/>
      <c r="U15" s="66" t="n"/>
      <c r="V15" s="66" t="n"/>
      <c r="W15" s="67" t="n"/>
    </row>
    <row r="16" ht="16" customHeight="1" thickBot="1">
      <c r="A16" s="1" t="inlineStr">
        <is>
          <t xml:space="preserve">   Retained Count</t>
        </is>
      </c>
      <c r="B16" s="9">
        <f>I16+P16+W16</f>
        <v/>
      </c>
      <c r="C16">
        <f>COUNTIFS(Accounts!$E:$E,CurrentSaaS!C$1,Accounts!$G:$G,CurrentSaaS!C$2,Accounts!$F:$F,CurrentSaaS!C$3,Accounts!$B:$B,"Customer",Accounts!$BJ:$BJ,"Monthly",Accounts!$C:$C,"Customer",Accounts!$H:$H,"&gt;"&amp;30,Accounts!$H:$H,"&lt;="&amp;60)</f>
        <v/>
      </c>
      <c r="D16">
        <f>COUNTIFS(Accounts!$E:$E,CurrentSaaS!D$1,Accounts!$G:$G,CurrentSaaS!D$2,Accounts!$F:$F,CurrentSaaS!D$3,Accounts!$B:$B,"Customer",Accounts!$BJ:$BJ,"Monthly",Accounts!$C:$C,"Customer",Accounts!$H:$H,"&gt;"&amp;30,Accounts!$H:$H,"&lt;="&amp;60)</f>
        <v/>
      </c>
      <c r="E16">
        <f>COUNTIFS(Accounts!$E:$E,CurrentSaaS!E$1,Accounts!$G:$G,CurrentSaaS!E$2,Accounts!$F:$F,CurrentSaaS!E$3,Accounts!$B:$B,"Customer",Accounts!$BJ:$BJ,"Monthly",Accounts!$C:$C,"Customer",Accounts!$H:$H,"&gt;"&amp;30,Accounts!$H:$H,"&lt;="&amp;60)</f>
        <v/>
      </c>
      <c r="F16">
        <f>COUNTIFS(Accounts!$E:$E,CurrentSaaS!F$1,Accounts!$G:$G,CurrentSaaS!F$2,Accounts!$F:$F,CurrentSaaS!F$3,Accounts!$B:$B,"Customer",Accounts!$BJ:$BJ,"Monthly",Accounts!$C:$C,"Customer",Accounts!$H:$H,"&gt;"&amp;30,Accounts!$H:$H,"&lt;="&amp;60)</f>
        <v/>
      </c>
      <c r="G16">
        <f>COUNTIFS(Accounts!$E:$E,CurrentSaaS!G$1,Accounts!$G:$G,CurrentSaaS!G$2,Accounts!$F:$F,CurrentSaaS!G$3,Accounts!$B:$B,"Customer",Accounts!$BJ:$BJ,"Monthly",Accounts!$C:$C,"Customer",Accounts!$H:$H,"&gt;"&amp;30,Accounts!$H:$H,"&lt;="&amp;60)</f>
        <v/>
      </c>
      <c r="H16">
        <f>COUNTIFS(Accounts!$E:$E,CurrentSaaS!H$1,Accounts!$G:$G,CurrentSaaS!H$2,Accounts!$F:$F,CurrentSaaS!H$3,Accounts!$B:$B,"Customer",Accounts!$BJ:$BJ,"Monthly",Accounts!$C:$C,"Customer",Accounts!$H:$H,"&gt;"&amp;30,Accounts!$H:$H,"&lt;="&amp;60)</f>
        <v/>
      </c>
      <c r="I16" s="15">
        <f>SUM(C16:H16)</f>
        <v/>
      </c>
      <c r="J16">
        <f>COUNTIFS(Accounts!$E:$E,CurrentSaaS!J$1,Accounts!$G:$G,CurrentSaaS!J$2,Accounts!$F:$F,CurrentSaaS!J$3,Accounts!$B:$B,"Customer",Accounts!$BJ:$BJ,"Monthly",Accounts!$C:$C,"Customer",Accounts!$H:$H,"&gt;"&amp;30,Accounts!$H:$H,"&lt;="&amp;60)</f>
        <v/>
      </c>
      <c r="K16">
        <f>COUNTIFS(Accounts!$E:$E,CurrentSaaS!K$1,Accounts!$G:$G,CurrentSaaS!K$2,Accounts!$F:$F,CurrentSaaS!K$3,Accounts!$B:$B,"Customer",Accounts!$BJ:$BJ,"Monthly",Accounts!$C:$C,"Customer",Accounts!$H:$H,"&gt;"&amp;30,Accounts!$H:$H,"&lt;="&amp;60)</f>
        <v/>
      </c>
      <c r="L16">
        <f>COUNTIFS(Accounts!$E:$E,CurrentSaaS!L$1,Accounts!$G:$G,CurrentSaaS!L$2,Accounts!$F:$F,CurrentSaaS!L$3,Accounts!$B:$B,"Customer",Accounts!$BJ:$BJ,"Monthly",Accounts!$C:$C,"Customer",Accounts!$H:$H,"&gt;"&amp;30,Accounts!$H:$H,"&lt;="&amp;60)</f>
        <v/>
      </c>
      <c r="M16">
        <f>COUNTIFS(Accounts!$E:$E,CurrentSaaS!M$1,Accounts!$G:$G,CurrentSaaS!M$2,Accounts!$F:$F,CurrentSaaS!M$3,Accounts!$B:$B,"Customer",Accounts!$BJ:$BJ,"Monthly",Accounts!$C:$C,"Customer",Accounts!$H:$H,"&gt;"&amp;30,Accounts!$H:$H,"&lt;="&amp;60)</f>
        <v/>
      </c>
      <c r="N16">
        <f>COUNTIFS(Accounts!$E:$E,CurrentSaaS!N$1,Accounts!$G:$G,CurrentSaaS!N$2,Accounts!$F:$F,CurrentSaaS!N$3,Accounts!$B:$B,"Customer",Accounts!$BJ:$BJ,"Monthly",Accounts!$C:$C,"Customer",Accounts!$H:$H,"&gt;"&amp;30,Accounts!$H:$H,"&lt;="&amp;60)</f>
        <v/>
      </c>
      <c r="O16">
        <f>COUNTIFS(Accounts!$E:$E,CurrentSaaS!O$1,Accounts!$G:$G,CurrentSaaS!O$2,Accounts!$F:$F,CurrentSaaS!O$3,Accounts!$B:$B,"Customer",Accounts!$BJ:$BJ,"Monthly",Accounts!$C:$C,"Customer",Accounts!$H:$H,"&gt;"&amp;30,Accounts!$H:$H,"&lt;="&amp;60)</f>
        <v/>
      </c>
      <c r="P16" s="15">
        <f>SUM(J16:O16)</f>
        <v/>
      </c>
      <c r="Q16">
        <f>COUNTIFS(Accounts!$E:$E,CurrentSaaS!Q$1,Accounts!$G:$G,CurrentSaaS!Q$2,Accounts!$F:$F,CurrentSaaS!Q$3,Accounts!$B:$B,"Customer",Accounts!$BJ:$BJ,"Monthly",Accounts!$C:$C,"Customer",Accounts!$H:$H,"&gt;"&amp;30,Accounts!$H:$H,"&lt;="&amp;60)</f>
        <v/>
      </c>
      <c r="R16">
        <f>COUNTIFS(Accounts!$E:$E,CurrentSaaS!R$1,Accounts!$G:$G,CurrentSaaS!R$2,Accounts!$F:$F,CurrentSaaS!R$3,Accounts!$B:$B,"Customer",Accounts!$BJ:$BJ,"Monthly",Accounts!$C:$C,"Customer",Accounts!$H:$H,"&gt;"&amp;30,Accounts!$H:$H,"&lt;="&amp;60)</f>
        <v/>
      </c>
      <c r="S16">
        <f>COUNTIFS(Accounts!$E:$E,CurrentSaaS!S$1,Accounts!$G:$G,CurrentSaaS!S$2,Accounts!$F:$F,CurrentSaaS!S$3,Accounts!$B:$B,"Customer",Accounts!$BJ:$BJ,"Monthly",Accounts!$C:$C,"Customer",Accounts!$H:$H,"&gt;"&amp;30,Accounts!$H:$H,"&lt;="&amp;60)</f>
        <v/>
      </c>
      <c r="T16">
        <f>COUNTIFS(Accounts!$E:$E,CurrentSaaS!T$1,Accounts!$G:$G,CurrentSaaS!T$2,Accounts!$F:$F,CurrentSaaS!T$3,Accounts!$B:$B,"Customer",Accounts!$BJ:$BJ,"Monthly",Accounts!$C:$C,"Customer",Accounts!$H:$H,"&gt;"&amp;30,Accounts!$H:$H,"&lt;="&amp;60)</f>
        <v/>
      </c>
      <c r="U16">
        <f>COUNTIFS(Accounts!$E:$E,CurrentSaaS!U$1,Accounts!$G:$G,CurrentSaaS!U$2,Accounts!$F:$F,CurrentSaaS!U$3,Accounts!$B:$B,"Customer",Accounts!$BJ:$BJ,"Monthly",Accounts!$C:$C,"Customer",Accounts!$H:$H,"&gt;"&amp;30,Accounts!$H:$H,"&lt;="&amp;60)</f>
        <v/>
      </c>
      <c r="V16">
        <f>COUNTIFS(Accounts!$E:$E,CurrentSaaS!V$1,Accounts!$G:$G,CurrentSaaS!V$2,Accounts!$F:$F,CurrentSaaS!V$3,Accounts!$B:$B,"Customer",Accounts!$BJ:$BJ,"Monthly",Accounts!$C:$C,"Customer",Accounts!$H:$H,"&gt;"&amp;30,Accounts!$H:$H,"&lt;="&amp;60)</f>
        <v/>
      </c>
      <c r="W16" s="15">
        <f>SUM(Q16:V16)</f>
        <v/>
      </c>
    </row>
    <row r="17" ht="16" customHeight="1" thickBot="1">
      <c r="A17" s="1" t="inlineStr">
        <is>
          <t xml:space="preserve">   ARPC</t>
        </is>
      </c>
      <c r="B17" s="65">
        <f>IF(B16=0,0,B18/B16)</f>
        <v/>
      </c>
      <c r="C17" s="66">
        <f>IF(C16=0,0,C18/C16)</f>
        <v/>
      </c>
      <c r="D17" s="66">
        <f>IF(D16=0,0,D18/D16)</f>
        <v/>
      </c>
      <c r="E17" s="66">
        <f>IF(E16=0,0,E18/E16)</f>
        <v/>
      </c>
      <c r="F17" s="66">
        <f>IF(F16=0,0,F18/F16)</f>
        <v/>
      </c>
      <c r="G17" s="66">
        <f>IF(G16=0,0,G18/G16)</f>
        <v/>
      </c>
      <c r="H17" s="66">
        <f>IF(H16=0,0,H18/H16)</f>
        <v/>
      </c>
      <c r="I17" s="67">
        <f>IF(I16=0,0,I18/I16)</f>
        <v/>
      </c>
      <c r="J17" s="66">
        <f>IF(J16=0,0,J18/J16)</f>
        <v/>
      </c>
      <c r="K17" s="66">
        <f>IF(K16=0,0,K18/K16)</f>
        <v/>
      </c>
      <c r="L17" s="66">
        <f>IF(L16=0,0,L18/L16)</f>
        <v/>
      </c>
      <c r="M17" s="66">
        <f>IF(M16=0,0,M18/M16)</f>
        <v/>
      </c>
      <c r="N17" s="66">
        <f>IF(N16=0,0,N18/N16)</f>
        <v/>
      </c>
      <c r="O17" s="66">
        <f>IF(O16=0,0,O18/O16)</f>
        <v/>
      </c>
      <c r="P17" s="67">
        <f>IF(P16=0,0,P18/P16)</f>
        <v/>
      </c>
      <c r="Q17" s="66">
        <f>IF(Q16=0,0,Q18/Q16)</f>
        <v/>
      </c>
      <c r="R17" s="66">
        <f>IF(R16=0,0,R18/R16)</f>
        <v/>
      </c>
      <c r="S17" s="66">
        <f>IF(S16=0,0,S18/S16)</f>
        <v/>
      </c>
      <c r="T17" s="66">
        <f>IF(T16=0,0,T18/T16)</f>
        <v/>
      </c>
      <c r="U17" s="66">
        <f>IF(U16=0,0,U18/U16)</f>
        <v/>
      </c>
      <c r="V17" s="66">
        <f>IF(V16=0,0,V18/V16)</f>
        <v/>
      </c>
      <c r="W17" s="67">
        <f>IF(W16=0,0,W18/W16)</f>
        <v/>
      </c>
    </row>
    <row r="18" ht="16" customHeight="1" thickBot="1">
      <c r="A18" s="1" t="inlineStr">
        <is>
          <t xml:space="preserve">   SaaS</t>
        </is>
      </c>
      <c r="B18" s="65">
        <f>I18+P18+W18</f>
        <v/>
      </c>
      <c r="C18" s="66">
        <f>SUMIFS(Accounts!$BH:$BH,Accounts!$E:$E,CurrentSaaS!C$1,Accounts!$G:$G,CurrentSaaS!C$2,Accounts!$F:$F,CurrentSaaS!C$3,Accounts!$W:$W,0,Accounts!$C:$C,"Customer",Accounts!$BJ:$BJ,"Monthly",Accounts!$H:$H,"&gt;"&amp;30,Accounts!$H:$H,"&lt;="&amp;60)</f>
        <v/>
      </c>
      <c r="D18" s="66">
        <f>SUMIFS(Accounts!$BH:$BH,Accounts!$E:$E,CurrentSaaS!D$1,Accounts!$G:$G,CurrentSaaS!D$2,Accounts!$F:$F,CurrentSaaS!D$3,Accounts!$W:$W,0,Accounts!$C:$C,"Customer",Accounts!$BJ:$BJ,"Monthly",Accounts!$H:$H,"&gt;"&amp;30,Accounts!$H:$H,"&lt;="&amp;60)</f>
        <v/>
      </c>
      <c r="E18" s="66">
        <f>SUMIFS(Accounts!$BH:$BH,Accounts!$E:$E,CurrentSaaS!E$1,Accounts!$G:$G,CurrentSaaS!E$2,Accounts!$F:$F,CurrentSaaS!E$3,Accounts!$W:$W,0,Accounts!$C:$C,"Customer",Accounts!$BJ:$BJ,"Monthly",Accounts!$H:$H,"&gt;"&amp;30,Accounts!$H:$H,"&lt;="&amp;60)</f>
        <v/>
      </c>
      <c r="F18" s="66">
        <f>SUMIFS(Accounts!$BH:$BH,Accounts!$E:$E,CurrentSaaS!F$1,Accounts!$G:$G,CurrentSaaS!F$2,Accounts!$F:$F,CurrentSaaS!F$3,Accounts!$W:$W,0,Accounts!$C:$C,"Customer",Accounts!$BJ:$BJ,"Monthly",Accounts!$H:$H,"&gt;"&amp;30,Accounts!$H:$H,"&lt;="&amp;60)</f>
        <v/>
      </c>
      <c r="G18" s="66">
        <f>SUMIFS(Accounts!$BH:$BH,Accounts!$E:$E,CurrentSaaS!G$1,Accounts!$G:$G,CurrentSaaS!G$2,Accounts!$F:$F,CurrentSaaS!G$3,Accounts!$W:$W,0,Accounts!$C:$C,"Customer",Accounts!$BJ:$BJ,"Monthly",Accounts!$H:$H,"&gt;"&amp;30,Accounts!$H:$H,"&lt;="&amp;60)</f>
        <v/>
      </c>
      <c r="H18" s="66">
        <f>SUMIFS(Accounts!$BH:$BH,Accounts!$E:$E,CurrentSaaS!H$1,Accounts!$G:$G,CurrentSaaS!H$2,Accounts!$F:$F,CurrentSaaS!H$3,Accounts!$W:$W,0,Accounts!$C:$C,"Customer",Accounts!$BJ:$BJ,"Monthly",Accounts!$H:$H,"&gt;"&amp;30,Accounts!$H:$H,"&lt;="&amp;60)</f>
        <v/>
      </c>
      <c r="I18" s="67">
        <f>SUM(C18:H18)</f>
        <v/>
      </c>
      <c r="J18" s="66">
        <f>SUMIFS(Accounts!$BH:$BH,Accounts!$E:$E,CurrentSaaS!J$1,Accounts!$G:$G,CurrentSaaS!J$2,Accounts!$F:$F,CurrentSaaS!J$3,Accounts!$W:$W,0,Accounts!$C:$C,"Customer",Accounts!$BJ:$BJ,"Monthly",Accounts!$H:$H,"&gt;"&amp;30,Accounts!$H:$H,"&lt;="&amp;60)</f>
        <v/>
      </c>
      <c r="K18" s="66">
        <f>SUMIFS(Accounts!$BH:$BH,Accounts!$E:$E,CurrentSaaS!K$1,Accounts!$G:$G,CurrentSaaS!K$2,Accounts!$F:$F,CurrentSaaS!K$3,Accounts!$W:$W,0,Accounts!$C:$C,"Customer",Accounts!$BJ:$BJ,"Monthly",Accounts!$H:$H,"&gt;"&amp;30,Accounts!$H:$H,"&lt;="&amp;60)</f>
        <v/>
      </c>
      <c r="L18" s="66">
        <f>SUMIFS(Accounts!$BH:$BH,Accounts!$E:$E,CurrentSaaS!L$1,Accounts!$G:$G,CurrentSaaS!L$2,Accounts!$F:$F,CurrentSaaS!L$3,Accounts!$W:$W,0,Accounts!$C:$C,"Customer",Accounts!$BJ:$BJ,"Monthly",Accounts!$H:$H,"&gt;"&amp;30,Accounts!$H:$H,"&lt;="&amp;60)</f>
        <v/>
      </c>
      <c r="M18" s="66">
        <f>SUMIFS(Accounts!$BH:$BH,Accounts!$E:$E,CurrentSaaS!M$1,Accounts!$G:$G,CurrentSaaS!M$2,Accounts!$F:$F,CurrentSaaS!M$3,Accounts!$W:$W,0,Accounts!$C:$C,"Customer",Accounts!$BJ:$BJ,"Monthly",Accounts!$H:$H,"&gt;"&amp;30,Accounts!$H:$H,"&lt;="&amp;60)</f>
        <v/>
      </c>
      <c r="N18" s="66">
        <f>SUMIFS(Accounts!$BH:$BH,Accounts!$E:$E,CurrentSaaS!N$1,Accounts!$G:$G,CurrentSaaS!N$2,Accounts!$F:$F,CurrentSaaS!N$3,Accounts!$W:$W,0,Accounts!$C:$C,"Customer",Accounts!$BJ:$BJ,"Monthly",Accounts!$H:$H,"&gt;"&amp;30,Accounts!$H:$H,"&lt;="&amp;60)</f>
        <v/>
      </c>
      <c r="O18" s="66">
        <f>SUMIFS(Accounts!$BH:$BH,Accounts!$E:$E,CurrentSaaS!O$1,Accounts!$G:$G,CurrentSaaS!O$2,Accounts!$F:$F,CurrentSaaS!O$3,Accounts!$W:$W,0,Accounts!$C:$C,"Customer",Accounts!$BJ:$BJ,"Monthly",Accounts!$H:$H,"&gt;"&amp;30,Accounts!$H:$H,"&lt;="&amp;60)</f>
        <v/>
      </c>
      <c r="P18" s="67">
        <f>SUM(J18:O18)</f>
        <v/>
      </c>
      <c r="Q18" s="66">
        <f>SUMIFS(Accounts!$BH:$BH,Accounts!$E:$E,CurrentSaaS!Q$1,Accounts!$G:$G,CurrentSaaS!Q$2,Accounts!$F:$F,CurrentSaaS!Q$3,Accounts!$W:$W,0,Accounts!$C:$C,"Customer",Accounts!$BJ:$BJ,"Monthly",Accounts!$H:$H,"&gt;"&amp;30,Accounts!$H:$H,"&lt;="&amp;60)</f>
        <v/>
      </c>
      <c r="R18" s="66">
        <f>SUMIFS(Accounts!$BH:$BH,Accounts!$E:$E,CurrentSaaS!R$1,Accounts!$G:$G,CurrentSaaS!R$2,Accounts!$F:$F,CurrentSaaS!R$3,Accounts!$W:$W,0,Accounts!$C:$C,"Customer",Accounts!$BJ:$BJ,"Monthly",Accounts!$H:$H,"&gt;"&amp;30,Accounts!$H:$H,"&lt;="&amp;60)</f>
        <v/>
      </c>
      <c r="S18" s="66">
        <f>SUMIFS(Accounts!$BH:$BH,Accounts!$E:$E,CurrentSaaS!S$1,Accounts!$G:$G,CurrentSaaS!S$2,Accounts!$F:$F,CurrentSaaS!S$3,Accounts!$W:$W,0,Accounts!$C:$C,"Customer",Accounts!$BJ:$BJ,"Monthly",Accounts!$H:$H,"&gt;"&amp;30,Accounts!$H:$H,"&lt;="&amp;60)</f>
        <v/>
      </c>
      <c r="T18" s="66">
        <f>SUMIFS(Accounts!$BH:$BH,Accounts!$E:$E,CurrentSaaS!T$1,Accounts!$G:$G,CurrentSaaS!T$2,Accounts!$F:$F,CurrentSaaS!T$3,Accounts!$W:$W,0,Accounts!$C:$C,"Customer",Accounts!$BJ:$BJ,"Monthly",Accounts!$H:$H,"&gt;"&amp;30,Accounts!$H:$H,"&lt;="&amp;60)</f>
        <v/>
      </c>
      <c r="U18" s="66">
        <f>SUMIFS(Accounts!$BH:$BH,Accounts!$E:$E,CurrentSaaS!U$1,Accounts!$G:$G,CurrentSaaS!U$2,Accounts!$F:$F,CurrentSaaS!U$3,Accounts!$W:$W,0,Accounts!$C:$C,"Customer",Accounts!$BJ:$BJ,"Monthly",Accounts!$H:$H,"&gt;"&amp;30,Accounts!$H:$H,"&lt;="&amp;60)</f>
        <v/>
      </c>
      <c r="V18" s="66">
        <f>SUMIFS(Accounts!$BH:$BH,Accounts!$E:$E,CurrentSaaS!V$1,Accounts!$G:$G,CurrentSaaS!V$2,Accounts!$F:$F,CurrentSaaS!V$3,Accounts!$W:$W,0,Accounts!$C:$C,"Customer",Accounts!$BJ:$BJ,"Monthly",Accounts!$H:$H,"&gt;"&amp;30,Accounts!$H:$H,"&lt;="&amp;60)</f>
        <v/>
      </c>
      <c r="W18" s="67">
        <f>SUM(Q18:V18)</f>
        <v/>
      </c>
    </row>
    <row r="19" ht="16" customHeight="1" thickBot="1">
      <c r="A19" s="1" t="inlineStr">
        <is>
          <t>61-180 day cohort as of BOM</t>
        </is>
      </c>
      <c r="B19" s="65" t="n"/>
      <c r="C19" s="66" t="n"/>
      <c r="D19" s="66" t="n"/>
      <c r="E19" s="66" t="n"/>
      <c r="F19" s="66" t="n"/>
      <c r="G19" s="66" t="n"/>
      <c r="H19" s="66" t="n"/>
      <c r="I19" s="67" t="n"/>
      <c r="J19" s="66" t="n"/>
      <c r="K19" s="66" t="n"/>
      <c r="L19" s="66" t="n"/>
      <c r="M19" s="66" t="n"/>
      <c r="N19" s="66" t="n"/>
      <c r="O19" s="66" t="n"/>
      <c r="P19" s="67" t="n"/>
      <c r="Q19" s="66" t="n"/>
      <c r="R19" s="66" t="n"/>
      <c r="S19" s="66" t="n"/>
      <c r="T19" s="66" t="n"/>
      <c r="U19" s="66" t="n"/>
      <c r="V19" s="66" t="n"/>
      <c r="W19" s="67" t="n"/>
    </row>
    <row r="20" ht="16" customHeight="1" thickBot="1">
      <c r="A20" s="1" t="inlineStr">
        <is>
          <t xml:space="preserve">   Retained Count</t>
        </is>
      </c>
      <c r="B20" s="9">
        <f>I20+P20+W20</f>
        <v/>
      </c>
      <c r="C20">
        <f>COUNTIFS(Accounts!$E:$E,CurrentSaaS!C$1,Accounts!$G:$G,CurrentSaaS!C$2,Accounts!$F:$F,CurrentSaaS!C$3,Accounts!$B:$B,"Customer",Accounts!$BJ:$BJ,"Monthly",Accounts!$C:$C,"Customer",Accounts!$H:$H,"&gt;"&amp;60,Accounts!$H:$H,"&lt;="&amp;180)</f>
        <v/>
      </c>
      <c r="D20">
        <f>COUNTIFS(Accounts!$E:$E,CurrentSaaS!D$1,Accounts!$G:$G,CurrentSaaS!D$2,Accounts!$F:$F,CurrentSaaS!D$3,Accounts!$B:$B,"Customer",Accounts!$BJ:$BJ,"Monthly",Accounts!$C:$C,"Customer",Accounts!$H:$H,"&gt;"&amp;60,Accounts!$H:$H,"&lt;="&amp;180)</f>
        <v/>
      </c>
      <c r="E20">
        <f>COUNTIFS(Accounts!$E:$E,CurrentSaaS!E$1,Accounts!$G:$G,CurrentSaaS!E$2,Accounts!$F:$F,CurrentSaaS!E$3,Accounts!$B:$B,"Customer",Accounts!$BJ:$BJ,"Monthly",Accounts!$C:$C,"Customer",Accounts!$H:$H,"&gt;"&amp;60,Accounts!$H:$H,"&lt;="&amp;180)</f>
        <v/>
      </c>
      <c r="F20">
        <f>COUNTIFS(Accounts!$E:$E,CurrentSaaS!F$1,Accounts!$G:$G,CurrentSaaS!F$2,Accounts!$F:$F,CurrentSaaS!F$3,Accounts!$B:$B,"Customer",Accounts!$BJ:$BJ,"Monthly",Accounts!$C:$C,"Customer",Accounts!$H:$H,"&gt;"&amp;60,Accounts!$H:$H,"&lt;="&amp;180)</f>
        <v/>
      </c>
      <c r="G20">
        <f>COUNTIFS(Accounts!$E:$E,CurrentSaaS!G$1,Accounts!$G:$G,CurrentSaaS!G$2,Accounts!$F:$F,CurrentSaaS!G$3,Accounts!$B:$B,"Customer",Accounts!$BJ:$BJ,"Monthly",Accounts!$C:$C,"Customer",Accounts!$H:$H,"&gt;"&amp;60,Accounts!$H:$H,"&lt;="&amp;180)</f>
        <v/>
      </c>
      <c r="H20">
        <f>COUNTIFS(Accounts!$E:$E,CurrentSaaS!H$1,Accounts!$G:$G,CurrentSaaS!H$2,Accounts!$F:$F,CurrentSaaS!H$3,Accounts!$B:$B,"Customer",Accounts!$BJ:$BJ,"Monthly",Accounts!$C:$C,"Customer",Accounts!$H:$H,"&gt;"&amp;60,Accounts!$H:$H,"&lt;="&amp;180)</f>
        <v/>
      </c>
      <c r="I20" s="15">
        <f>SUM(C20:H20)</f>
        <v/>
      </c>
      <c r="J20">
        <f>COUNTIFS(Accounts!$E:$E,CurrentSaaS!J$1,Accounts!$G:$G,CurrentSaaS!J$2,Accounts!$F:$F,CurrentSaaS!J$3,Accounts!$B:$B,"Customer",Accounts!$BJ:$BJ,"Monthly",Accounts!$C:$C,"Customer",Accounts!$H:$H,"&gt;"&amp;60,Accounts!$H:$H,"&lt;="&amp;180)</f>
        <v/>
      </c>
      <c r="K20">
        <f>COUNTIFS(Accounts!$E:$E,CurrentSaaS!K$1,Accounts!$G:$G,CurrentSaaS!K$2,Accounts!$F:$F,CurrentSaaS!K$3,Accounts!$B:$B,"Customer",Accounts!$BJ:$BJ,"Monthly",Accounts!$C:$C,"Customer",Accounts!$H:$H,"&gt;"&amp;60,Accounts!$H:$H,"&lt;="&amp;180)</f>
        <v/>
      </c>
      <c r="L20">
        <f>COUNTIFS(Accounts!$E:$E,CurrentSaaS!L$1,Accounts!$G:$G,CurrentSaaS!L$2,Accounts!$F:$F,CurrentSaaS!L$3,Accounts!$B:$B,"Customer",Accounts!$BJ:$BJ,"Monthly",Accounts!$C:$C,"Customer",Accounts!$H:$H,"&gt;"&amp;60,Accounts!$H:$H,"&lt;="&amp;180)</f>
        <v/>
      </c>
      <c r="M20">
        <f>COUNTIFS(Accounts!$E:$E,CurrentSaaS!M$1,Accounts!$G:$G,CurrentSaaS!M$2,Accounts!$F:$F,CurrentSaaS!M$3,Accounts!$B:$B,"Customer",Accounts!$BJ:$BJ,"Monthly",Accounts!$C:$C,"Customer",Accounts!$H:$H,"&gt;"&amp;60,Accounts!$H:$H,"&lt;="&amp;180)</f>
        <v/>
      </c>
      <c r="N20">
        <f>COUNTIFS(Accounts!$E:$E,CurrentSaaS!N$1,Accounts!$G:$G,CurrentSaaS!N$2,Accounts!$F:$F,CurrentSaaS!N$3,Accounts!$B:$B,"Customer",Accounts!$BJ:$BJ,"Monthly",Accounts!$C:$C,"Customer",Accounts!$H:$H,"&gt;"&amp;60,Accounts!$H:$H,"&lt;="&amp;180)</f>
        <v/>
      </c>
      <c r="O20">
        <f>COUNTIFS(Accounts!$E:$E,CurrentSaaS!O$1,Accounts!$G:$G,CurrentSaaS!O$2,Accounts!$F:$F,CurrentSaaS!O$3,Accounts!$B:$B,"Customer",Accounts!$BJ:$BJ,"Monthly",Accounts!$C:$C,"Customer",Accounts!$H:$H,"&gt;"&amp;60,Accounts!$H:$H,"&lt;="&amp;180)</f>
        <v/>
      </c>
      <c r="P20" s="15">
        <f>SUM(J20:O20)</f>
        <v/>
      </c>
      <c r="Q20">
        <f>COUNTIFS(Accounts!$E:$E,CurrentSaaS!Q$1,Accounts!$G:$G,CurrentSaaS!Q$2,Accounts!$F:$F,CurrentSaaS!Q$3,Accounts!$B:$B,"Customer",Accounts!$BJ:$BJ,"Monthly",Accounts!$C:$C,"Customer",Accounts!$H:$H,"&gt;"&amp;60,Accounts!$H:$H,"&lt;="&amp;180)</f>
        <v/>
      </c>
      <c r="R20">
        <f>COUNTIFS(Accounts!$E:$E,CurrentSaaS!R$1,Accounts!$G:$G,CurrentSaaS!R$2,Accounts!$F:$F,CurrentSaaS!R$3,Accounts!$B:$B,"Customer",Accounts!$BJ:$BJ,"Monthly",Accounts!$C:$C,"Customer",Accounts!$H:$H,"&gt;"&amp;60,Accounts!$H:$H,"&lt;="&amp;180)</f>
        <v/>
      </c>
      <c r="S20">
        <f>COUNTIFS(Accounts!$E:$E,CurrentSaaS!S$1,Accounts!$G:$G,CurrentSaaS!S$2,Accounts!$F:$F,CurrentSaaS!S$3,Accounts!$B:$B,"Customer",Accounts!$BJ:$BJ,"Monthly",Accounts!$C:$C,"Customer",Accounts!$H:$H,"&gt;"&amp;60,Accounts!$H:$H,"&lt;="&amp;180)</f>
        <v/>
      </c>
      <c r="T20">
        <f>COUNTIFS(Accounts!$E:$E,CurrentSaaS!T$1,Accounts!$G:$G,CurrentSaaS!T$2,Accounts!$F:$F,CurrentSaaS!T$3,Accounts!$B:$B,"Customer",Accounts!$BJ:$BJ,"Monthly",Accounts!$C:$C,"Customer",Accounts!$H:$H,"&gt;"&amp;60,Accounts!$H:$H,"&lt;="&amp;180)</f>
        <v/>
      </c>
      <c r="U20">
        <f>COUNTIFS(Accounts!$E:$E,CurrentSaaS!U$1,Accounts!$G:$G,CurrentSaaS!U$2,Accounts!$F:$F,CurrentSaaS!U$3,Accounts!$B:$B,"Customer",Accounts!$BJ:$BJ,"Monthly",Accounts!$C:$C,"Customer",Accounts!$H:$H,"&gt;"&amp;60,Accounts!$H:$H,"&lt;="&amp;180)</f>
        <v/>
      </c>
      <c r="V20">
        <f>COUNTIFS(Accounts!$E:$E,CurrentSaaS!V$1,Accounts!$G:$G,CurrentSaaS!V$2,Accounts!$F:$F,CurrentSaaS!V$3,Accounts!$B:$B,"Customer",Accounts!$BJ:$BJ,"Monthly",Accounts!$C:$C,"Customer",Accounts!$H:$H,"&gt;"&amp;60,Accounts!$H:$H,"&lt;="&amp;180)</f>
        <v/>
      </c>
      <c r="W20" s="15">
        <f>SUM(Q20:V20)</f>
        <v/>
      </c>
    </row>
    <row r="21" ht="16" customHeight="1" thickBot="1">
      <c r="A21" s="1" t="inlineStr">
        <is>
          <t xml:space="preserve">   ARPC</t>
        </is>
      </c>
      <c r="B21" s="65">
        <f>IF(B20=0,0,B22/B20)</f>
        <v/>
      </c>
      <c r="C21" s="66">
        <f>IF(C20=0,0,C22/C20)</f>
        <v/>
      </c>
      <c r="D21" s="66">
        <f>IF(D20=0,0,D22/D20)</f>
        <v/>
      </c>
      <c r="E21" s="66">
        <f>IF(E20=0,0,E22/E20)</f>
        <v/>
      </c>
      <c r="F21" s="66">
        <f>IF(F20=0,0,F22/F20)</f>
        <v/>
      </c>
      <c r="G21" s="66">
        <f>IF(G20=0,0,G22/G20)</f>
        <v/>
      </c>
      <c r="H21" s="66">
        <f>IF(H20=0,0,H22/H20)</f>
        <v/>
      </c>
      <c r="I21" s="67">
        <f>IF(I20=0,0,I22/I20)</f>
        <v/>
      </c>
      <c r="J21" s="66">
        <f>IF(J20=0,0,J22/J20)</f>
        <v/>
      </c>
      <c r="K21" s="66">
        <f>IF(K20=0,0,K22/K20)</f>
        <v/>
      </c>
      <c r="L21" s="66">
        <f>IF(L20=0,0,L22/L20)</f>
        <v/>
      </c>
      <c r="M21" s="66">
        <f>IF(M20=0,0,M22/M20)</f>
        <v/>
      </c>
      <c r="N21" s="66">
        <f>IF(N20=0,0,N22/N20)</f>
        <v/>
      </c>
      <c r="O21" s="66">
        <f>IF(O20=0,0,O22/O20)</f>
        <v/>
      </c>
      <c r="P21" s="67">
        <f>IF(P20=0,0,P22/P20)</f>
        <v/>
      </c>
      <c r="Q21" s="66">
        <f>IF(Q20=0,0,Q22/Q20)</f>
        <v/>
      </c>
      <c r="R21" s="66">
        <f>IF(R20=0,0,R22/R20)</f>
        <v/>
      </c>
      <c r="S21" s="66">
        <f>IF(S20=0,0,S22/S20)</f>
        <v/>
      </c>
      <c r="T21" s="66">
        <f>IF(T20=0,0,T22/T20)</f>
        <v/>
      </c>
      <c r="U21" s="66">
        <f>IF(U20=0,0,U22/U20)</f>
        <v/>
      </c>
      <c r="V21" s="66">
        <f>IF(V20=0,0,V22/V20)</f>
        <v/>
      </c>
      <c r="W21" s="67">
        <f>IF(W20=0,0,W22/W20)</f>
        <v/>
      </c>
    </row>
    <row r="22" ht="16" customHeight="1" thickBot="1">
      <c r="A22" s="1" t="inlineStr">
        <is>
          <t xml:space="preserve">   SaaS</t>
        </is>
      </c>
      <c r="B22" s="65">
        <f>I22+P22+W22</f>
        <v/>
      </c>
      <c r="C22" s="66">
        <f>SUMIFS(Accounts!$BH:$BH,Accounts!$E:$E,CurrentSaaS!C$1,Accounts!$G:$G,CurrentSaaS!C$2,Accounts!$F:$F,CurrentSaaS!C$3,Accounts!$W:$W,0,Accounts!$C:$C,"Customer",Accounts!$BJ:$BJ,"Monthly",Accounts!$H:$H,"&gt;"&amp;60,Accounts!$H:$H,"&lt;="&amp;180)</f>
        <v/>
      </c>
      <c r="D22" s="66">
        <f>SUMIFS(Accounts!$BH:$BH,Accounts!$E:$E,CurrentSaaS!D$1,Accounts!$G:$G,CurrentSaaS!D$2,Accounts!$F:$F,CurrentSaaS!D$3,Accounts!$W:$W,0,Accounts!$C:$C,"Customer",Accounts!$BJ:$BJ,"Monthly",Accounts!$H:$H,"&gt;"&amp;60,Accounts!$H:$H,"&lt;="&amp;180)</f>
        <v/>
      </c>
      <c r="E22" s="66">
        <f>SUMIFS(Accounts!$BH:$BH,Accounts!$E:$E,CurrentSaaS!E$1,Accounts!$G:$G,CurrentSaaS!E$2,Accounts!$F:$F,CurrentSaaS!E$3,Accounts!$W:$W,0,Accounts!$C:$C,"Customer",Accounts!$BJ:$BJ,"Monthly",Accounts!$H:$H,"&gt;"&amp;60,Accounts!$H:$H,"&lt;="&amp;180)</f>
        <v/>
      </c>
      <c r="F22" s="66">
        <f>SUMIFS(Accounts!$BH:$BH,Accounts!$E:$E,CurrentSaaS!F$1,Accounts!$G:$G,CurrentSaaS!F$2,Accounts!$F:$F,CurrentSaaS!F$3,Accounts!$W:$W,0,Accounts!$C:$C,"Customer",Accounts!$BJ:$BJ,"Monthly",Accounts!$H:$H,"&gt;"&amp;60,Accounts!$H:$H,"&lt;="&amp;180)</f>
        <v/>
      </c>
      <c r="G22" s="66">
        <f>SUMIFS(Accounts!$BH:$BH,Accounts!$E:$E,CurrentSaaS!G$1,Accounts!$G:$G,CurrentSaaS!G$2,Accounts!$F:$F,CurrentSaaS!G$3,Accounts!$W:$W,0,Accounts!$C:$C,"Customer",Accounts!$BJ:$BJ,"Monthly",Accounts!$H:$H,"&gt;"&amp;60,Accounts!$H:$H,"&lt;="&amp;180)</f>
        <v/>
      </c>
      <c r="H22" s="66">
        <f>SUMIFS(Accounts!$BH:$BH,Accounts!$E:$E,CurrentSaaS!H$1,Accounts!$G:$G,CurrentSaaS!H$2,Accounts!$F:$F,CurrentSaaS!H$3,Accounts!$W:$W,0,Accounts!$C:$C,"Customer",Accounts!$BJ:$BJ,"Monthly",Accounts!$H:$H,"&gt;"&amp;60,Accounts!$H:$H,"&lt;="&amp;180)</f>
        <v/>
      </c>
      <c r="I22" s="67">
        <f>SUM(C22:H22)</f>
        <v/>
      </c>
      <c r="J22" s="66">
        <f>SUMIFS(Accounts!$BH:$BH,Accounts!$E:$E,CurrentSaaS!J$1,Accounts!$G:$G,CurrentSaaS!J$2,Accounts!$F:$F,CurrentSaaS!J$3,Accounts!$W:$W,0,Accounts!$C:$C,"Customer",Accounts!$BJ:$BJ,"Monthly",Accounts!$H:$H,"&gt;"&amp;60,Accounts!$H:$H,"&lt;="&amp;180)</f>
        <v/>
      </c>
      <c r="K22" s="66">
        <f>SUMIFS(Accounts!$BH:$BH,Accounts!$E:$E,CurrentSaaS!K$1,Accounts!$G:$G,CurrentSaaS!K$2,Accounts!$F:$F,CurrentSaaS!K$3,Accounts!$W:$W,0,Accounts!$C:$C,"Customer",Accounts!$BJ:$BJ,"Monthly",Accounts!$H:$H,"&gt;"&amp;60,Accounts!$H:$H,"&lt;="&amp;180)</f>
        <v/>
      </c>
      <c r="L22" s="66">
        <f>SUMIFS(Accounts!$BH:$BH,Accounts!$E:$E,CurrentSaaS!L$1,Accounts!$G:$G,CurrentSaaS!L$2,Accounts!$F:$F,CurrentSaaS!L$3,Accounts!$W:$W,0,Accounts!$C:$C,"Customer",Accounts!$BJ:$BJ,"Monthly",Accounts!$H:$H,"&gt;"&amp;60,Accounts!$H:$H,"&lt;="&amp;180)</f>
        <v/>
      </c>
      <c r="M22" s="66">
        <f>SUMIFS(Accounts!$BH:$BH,Accounts!$E:$E,CurrentSaaS!M$1,Accounts!$G:$G,CurrentSaaS!M$2,Accounts!$F:$F,CurrentSaaS!M$3,Accounts!$W:$W,0,Accounts!$C:$C,"Customer",Accounts!$BJ:$BJ,"Monthly",Accounts!$H:$H,"&gt;"&amp;60,Accounts!$H:$H,"&lt;="&amp;180)</f>
        <v/>
      </c>
      <c r="N22" s="66">
        <f>SUMIFS(Accounts!$BH:$BH,Accounts!$E:$E,CurrentSaaS!N$1,Accounts!$G:$G,CurrentSaaS!N$2,Accounts!$F:$F,CurrentSaaS!N$3,Accounts!$W:$W,0,Accounts!$C:$C,"Customer",Accounts!$BJ:$BJ,"Monthly",Accounts!$H:$H,"&gt;"&amp;60,Accounts!$H:$H,"&lt;="&amp;180)</f>
        <v/>
      </c>
      <c r="O22" s="66">
        <f>SUMIFS(Accounts!$BH:$BH,Accounts!$E:$E,CurrentSaaS!O$1,Accounts!$G:$G,CurrentSaaS!O$2,Accounts!$F:$F,CurrentSaaS!O$3,Accounts!$W:$W,0,Accounts!$C:$C,"Customer",Accounts!$BJ:$BJ,"Monthly",Accounts!$H:$H,"&gt;"&amp;60,Accounts!$H:$H,"&lt;="&amp;180)</f>
        <v/>
      </c>
      <c r="P22" s="67">
        <f>SUM(J22:O22)</f>
        <v/>
      </c>
      <c r="Q22" s="66">
        <f>SUMIFS(Accounts!$BH:$BH,Accounts!$E:$E,CurrentSaaS!Q$1,Accounts!$G:$G,CurrentSaaS!Q$2,Accounts!$F:$F,CurrentSaaS!Q$3,Accounts!$W:$W,0,Accounts!$C:$C,"Customer",Accounts!$BJ:$BJ,"Monthly",Accounts!$H:$H,"&gt;"&amp;60,Accounts!$H:$H,"&lt;="&amp;180)</f>
        <v/>
      </c>
      <c r="R22" s="66">
        <f>SUMIFS(Accounts!$BH:$BH,Accounts!$E:$E,CurrentSaaS!R$1,Accounts!$G:$G,CurrentSaaS!R$2,Accounts!$F:$F,CurrentSaaS!R$3,Accounts!$W:$W,0,Accounts!$C:$C,"Customer",Accounts!$BJ:$BJ,"Monthly",Accounts!$H:$H,"&gt;"&amp;60,Accounts!$H:$H,"&lt;="&amp;180)</f>
        <v/>
      </c>
      <c r="S22" s="66">
        <f>SUMIFS(Accounts!$BH:$BH,Accounts!$E:$E,CurrentSaaS!S$1,Accounts!$G:$G,CurrentSaaS!S$2,Accounts!$F:$F,CurrentSaaS!S$3,Accounts!$W:$W,0,Accounts!$C:$C,"Customer",Accounts!$BJ:$BJ,"Monthly",Accounts!$H:$H,"&gt;"&amp;60,Accounts!$H:$H,"&lt;="&amp;180)</f>
        <v/>
      </c>
      <c r="T22" s="66">
        <f>SUMIFS(Accounts!$BH:$BH,Accounts!$E:$E,CurrentSaaS!T$1,Accounts!$G:$G,CurrentSaaS!T$2,Accounts!$F:$F,CurrentSaaS!T$3,Accounts!$W:$W,0,Accounts!$C:$C,"Customer",Accounts!$BJ:$BJ,"Monthly",Accounts!$H:$H,"&gt;"&amp;60,Accounts!$H:$H,"&lt;="&amp;180)</f>
        <v/>
      </c>
      <c r="U22" s="66">
        <f>SUMIFS(Accounts!$BH:$BH,Accounts!$E:$E,CurrentSaaS!U$1,Accounts!$G:$G,CurrentSaaS!U$2,Accounts!$F:$F,CurrentSaaS!U$3,Accounts!$W:$W,0,Accounts!$C:$C,"Customer",Accounts!$BJ:$BJ,"Monthly",Accounts!$H:$H,"&gt;"&amp;60,Accounts!$H:$H,"&lt;="&amp;180)</f>
        <v/>
      </c>
      <c r="V22" s="66">
        <f>SUMIFS(Accounts!$BH:$BH,Accounts!$E:$E,CurrentSaaS!V$1,Accounts!$G:$G,CurrentSaaS!V$2,Accounts!$F:$F,CurrentSaaS!V$3,Accounts!$W:$W,0,Accounts!$C:$C,"Customer",Accounts!$BJ:$BJ,"Monthly",Accounts!$H:$H,"&gt;"&amp;60,Accounts!$H:$H,"&lt;="&amp;180)</f>
        <v/>
      </c>
      <c r="W22" s="67">
        <f>SUM(Q22:V22)</f>
        <v/>
      </c>
    </row>
    <row r="23" ht="16" customHeight="1" thickBot="1">
      <c r="A23" s="1" t="inlineStr">
        <is>
          <t>180+ day cohort as of BOM</t>
        </is>
      </c>
      <c r="B23" s="65" t="n"/>
      <c r="C23" s="66" t="n"/>
      <c r="D23" s="66" t="n"/>
      <c r="E23" s="66" t="n"/>
      <c r="F23" s="66" t="n"/>
      <c r="G23" s="66" t="n"/>
      <c r="H23" s="66" t="n"/>
      <c r="I23" s="67" t="n"/>
      <c r="J23" s="66" t="n"/>
      <c r="K23" s="66" t="n"/>
      <c r="L23" s="66" t="n"/>
      <c r="M23" s="66" t="n"/>
      <c r="N23" s="66" t="n"/>
      <c r="O23" s="66" t="n"/>
      <c r="P23" s="67" t="n"/>
      <c r="Q23" s="66" t="n"/>
      <c r="R23" s="66" t="n"/>
      <c r="S23" s="66" t="n"/>
      <c r="T23" s="66" t="n"/>
      <c r="U23" s="66" t="n"/>
      <c r="V23" s="66" t="n"/>
      <c r="W23" s="67" t="n"/>
    </row>
    <row r="24" ht="16" customHeight="1" thickBot="1">
      <c r="A24" s="1" t="inlineStr">
        <is>
          <t xml:space="preserve">   Retained Count</t>
        </is>
      </c>
      <c r="B24" s="9">
        <f>I24+P24+W24</f>
        <v/>
      </c>
      <c r="C24">
        <f>COUNTIFS(Accounts!$E:$E,CurrentSaaS!C$1,Accounts!$G:$G,CurrentSaaS!C$2,Accounts!$F:$F,CurrentSaaS!C$3,Accounts!$B:$B,"Customer",Accounts!$BJ:$BJ,"Monthly",Accounts!$C:$C,"Customer",Accounts!$H:$H,"&gt;"&amp;180)</f>
        <v/>
      </c>
      <c r="D24">
        <f>COUNTIFS(Accounts!$E:$E,CurrentSaaS!D$1,Accounts!$G:$G,CurrentSaaS!D$2,Accounts!$F:$F,CurrentSaaS!D$3,Accounts!$B:$B,"Customer",Accounts!$BJ:$BJ,"Monthly",Accounts!$C:$C,"Customer",Accounts!$H:$H,"&gt;"&amp;180)</f>
        <v/>
      </c>
      <c r="E24">
        <f>COUNTIFS(Accounts!$E:$E,CurrentSaaS!E$1,Accounts!$G:$G,CurrentSaaS!E$2,Accounts!$F:$F,CurrentSaaS!E$3,Accounts!$B:$B,"Customer",Accounts!$BJ:$BJ,"Monthly",Accounts!$C:$C,"Customer",Accounts!$H:$H,"&gt;"&amp;180)</f>
        <v/>
      </c>
      <c r="F24">
        <f>COUNTIFS(Accounts!$E:$E,CurrentSaaS!F$1,Accounts!$G:$G,CurrentSaaS!F$2,Accounts!$F:$F,CurrentSaaS!F$3,Accounts!$B:$B,"Customer",Accounts!$BJ:$BJ,"Monthly",Accounts!$C:$C,"Customer",Accounts!$H:$H,"&gt;"&amp;180)</f>
        <v/>
      </c>
      <c r="G24">
        <f>COUNTIFS(Accounts!$E:$E,CurrentSaaS!G$1,Accounts!$G:$G,CurrentSaaS!G$2,Accounts!$F:$F,CurrentSaaS!G$3,Accounts!$B:$B,"Customer",Accounts!$BJ:$BJ,"Monthly",Accounts!$C:$C,"Customer",Accounts!$H:$H,"&gt;"&amp;180)</f>
        <v/>
      </c>
      <c r="H24">
        <f>COUNTIFS(Accounts!$E:$E,CurrentSaaS!H$1,Accounts!$G:$G,CurrentSaaS!H$2,Accounts!$F:$F,CurrentSaaS!H$3,Accounts!$B:$B,"Customer",Accounts!$BJ:$BJ,"Monthly",Accounts!$C:$C,"Customer",Accounts!$H:$H,"&gt;"&amp;180)</f>
        <v/>
      </c>
      <c r="I24" s="15">
        <f>SUM(C24:H24)</f>
        <v/>
      </c>
      <c r="J24">
        <f>COUNTIFS(Accounts!$E:$E,CurrentSaaS!J$1,Accounts!$G:$G,CurrentSaaS!J$2,Accounts!$F:$F,CurrentSaaS!J$3,Accounts!$B:$B,"Customer",Accounts!$BJ:$BJ,"Monthly",Accounts!$C:$C,"Customer",Accounts!$H:$H,"&gt;"&amp;180)</f>
        <v/>
      </c>
      <c r="K24">
        <f>COUNTIFS(Accounts!$E:$E,CurrentSaaS!K$1,Accounts!$G:$G,CurrentSaaS!K$2,Accounts!$F:$F,CurrentSaaS!K$3,Accounts!$B:$B,"Customer",Accounts!$BJ:$BJ,"Monthly",Accounts!$C:$C,"Customer",Accounts!$H:$H,"&gt;"&amp;180)</f>
        <v/>
      </c>
      <c r="L24">
        <f>COUNTIFS(Accounts!$E:$E,CurrentSaaS!L$1,Accounts!$G:$G,CurrentSaaS!L$2,Accounts!$F:$F,CurrentSaaS!L$3,Accounts!$B:$B,"Customer",Accounts!$BJ:$BJ,"Monthly",Accounts!$C:$C,"Customer",Accounts!$H:$H,"&gt;"&amp;180)</f>
        <v/>
      </c>
      <c r="M24">
        <f>COUNTIFS(Accounts!$E:$E,CurrentSaaS!M$1,Accounts!$G:$G,CurrentSaaS!M$2,Accounts!$F:$F,CurrentSaaS!M$3,Accounts!$B:$B,"Customer",Accounts!$BJ:$BJ,"Monthly",Accounts!$C:$C,"Customer",Accounts!$H:$H,"&gt;"&amp;180)</f>
        <v/>
      </c>
      <c r="N24">
        <f>COUNTIFS(Accounts!$E:$E,CurrentSaaS!N$1,Accounts!$G:$G,CurrentSaaS!N$2,Accounts!$F:$F,CurrentSaaS!N$3,Accounts!$B:$B,"Customer",Accounts!$BJ:$BJ,"Monthly",Accounts!$C:$C,"Customer",Accounts!$H:$H,"&gt;"&amp;180)</f>
        <v/>
      </c>
      <c r="O24">
        <f>COUNTIFS(Accounts!$E:$E,CurrentSaaS!O$1,Accounts!$G:$G,CurrentSaaS!O$2,Accounts!$F:$F,CurrentSaaS!O$3,Accounts!$B:$B,"Customer",Accounts!$BJ:$BJ,"Monthly",Accounts!$C:$C,"Customer",Accounts!$H:$H,"&gt;"&amp;180)</f>
        <v/>
      </c>
      <c r="P24" s="15">
        <f>SUM(J24:O24)</f>
        <v/>
      </c>
      <c r="Q24">
        <f>COUNTIFS(Accounts!$E:$E,CurrentSaaS!Q$1,Accounts!$G:$G,CurrentSaaS!Q$2,Accounts!$F:$F,CurrentSaaS!Q$3,Accounts!$B:$B,"Customer",Accounts!$BJ:$BJ,"Monthly",Accounts!$C:$C,"Customer",Accounts!$H:$H,"&gt;"&amp;180)</f>
        <v/>
      </c>
      <c r="R24">
        <f>COUNTIFS(Accounts!$E:$E,CurrentSaaS!R$1,Accounts!$G:$G,CurrentSaaS!R$2,Accounts!$F:$F,CurrentSaaS!R$3,Accounts!$B:$B,"Customer",Accounts!$BJ:$BJ,"Monthly",Accounts!$C:$C,"Customer",Accounts!$H:$H,"&gt;"&amp;180)</f>
        <v/>
      </c>
      <c r="S24">
        <f>COUNTIFS(Accounts!$E:$E,CurrentSaaS!S$1,Accounts!$G:$G,CurrentSaaS!S$2,Accounts!$F:$F,CurrentSaaS!S$3,Accounts!$B:$B,"Customer",Accounts!$BJ:$BJ,"Monthly",Accounts!$C:$C,"Customer",Accounts!$H:$H,"&gt;"&amp;180)</f>
        <v/>
      </c>
      <c r="T24">
        <f>COUNTIFS(Accounts!$E:$E,CurrentSaaS!T$1,Accounts!$G:$G,CurrentSaaS!T$2,Accounts!$F:$F,CurrentSaaS!T$3,Accounts!$B:$B,"Customer",Accounts!$BJ:$BJ,"Monthly",Accounts!$C:$C,"Customer",Accounts!$H:$H,"&gt;"&amp;180)</f>
        <v/>
      </c>
      <c r="U24">
        <f>COUNTIFS(Accounts!$E:$E,CurrentSaaS!U$1,Accounts!$G:$G,CurrentSaaS!U$2,Accounts!$F:$F,CurrentSaaS!U$3,Accounts!$B:$B,"Customer",Accounts!$BJ:$BJ,"Monthly",Accounts!$C:$C,"Customer",Accounts!$H:$H,"&gt;"&amp;180)</f>
        <v/>
      </c>
      <c r="V24">
        <f>COUNTIFS(Accounts!$E:$E,CurrentSaaS!V$1,Accounts!$G:$G,CurrentSaaS!V$2,Accounts!$F:$F,CurrentSaaS!V$3,Accounts!$B:$B,"Customer",Accounts!$BJ:$BJ,"Monthly",Accounts!$C:$C,"Customer",Accounts!$H:$H,"&gt;"&amp;180)</f>
        <v/>
      </c>
      <c r="W24" s="15">
        <f>SUM(Q24:V24)</f>
        <v/>
      </c>
    </row>
    <row r="25" ht="16" customHeight="1" thickBot="1">
      <c r="A25" s="1" t="inlineStr">
        <is>
          <t xml:space="preserve">   ARPC</t>
        </is>
      </c>
      <c r="B25" s="65">
        <f>IF(B24=0,0,B26/B24)</f>
        <v/>
      </c>
      <c r="C25" s="66">
        <f>IF(C24=0,0,C26/C24)</f>
        <v/>
      </c>
      <c r="D25" s="66">
        <f>IF(D24=0,0,D26/D24)</f>
        <v/>
      </c>
      <c r="E25" s="66">
        <f>IF(E24=0,0,E26/E24)</f>
        <v/>
      </c>
      <c r="F25" s="66">
        <f>IF(F24=0,0,F26/F24)</f>
        <v/>
      </c>
      <c r="G25" s="66">
        <f>IF(G24=0,0,G26/G24)</f>
        <v/>
      </c>
      <c r="H25" s="66">
        <f>IF(H24=0,0,H26/H24)</f>
        <v/>
      </c>
      <c r="I25" s="67">
        <f>IF(I24=0,0,I26/I24)</f>
        <v/>
      </c>
      <c r="J25" s="66">
        <f>IF(J24=0,0,J26/J24)</f>
        <v/>
      </c>
      <c r="K25" s="66">
        <f>IF(K24=0,0,K26/K24)</f>
        <v/>
      </c>
      <c r="L25" s="66">
        <f>IF(L24=0,0,L26/L24)</f>
        <v/>
      </c>
      <c r="M25" s="66">
        <f>IF(M24=0,0,M26/M24)</f>
        <v/>
      </c>
      <c r="N25" s="66">
        <f>IF(N24=0,0,N26/N24)</f>
        <v/>
      </c>
      <c r="O25" s="66">
        <f>IF(O24=0,0,O26/O24)</f>
        <v/>
      </c>
      <c r="P25" s="67">
        <f>IF(P24=0,0,P26/P24)</f>
        <v/>
      </c>
      <c r="Q25" s="66">
        <f>IF(Q24=0,0,Q26/Q24)</f>
        <v/>
      </c>
      <c r="R25" s="66">
        <f>IF(R24=0,0,R26/R24)</f>
        <v/>
      </c>
      <c r="S25" s="66">
        <f>IF(S24=0,0,S26/S24)</f>
        <v/>
      </c>
      <c r="T25" s="66">
        <f>IF(T24=0,0,T26/T24)</f>
        <v/>
      </c>
      <c r="U25" s="66">
        <f>IF(U24=0,0,U26/U24)</f>
        <v/>
      </c>
      <c r="V25" s="66">
        <f>IF(V24=0,0,V26/V24)</f>
        <v/>
      </c>
      <c r="W25" s="67">
        <f>IF(W24=0,0,W26/W24)</f>
        <v/>
      </c>
    </row>
    <row r="26" ht="16" customHeight="1" thickBot="1">
      <c r="A26" s="1" t="inlineStr">
        <is>
          <t xml:space="preserve">   SaaS</t>
        </is>
      </c>
      <c r="B26" s="65">
        <f>I26+P26+W26</f>
        <v/>
      </c>
      <c r="C26" s="66">
        <f>SUMIFS(Accounts!$BH:$BH,Accounts!$E:$E,CurrentSaaS!C$1,Accounts!$G:$G,CurrentSaaS!C$2,Accounts!$F:$F,CurrentSaaS!C$3,Accounts!$W:$W,0,Accounts!$C:$C,"Customer",Accounts!$BJ:$BJ,"Monthly",Accounts!$C:$C,"Customer",Accounts!$H:$H,"&gt;"&amp;180)</f>
        <v/>
      </c>
      <c r="D26" s="66">
        <f>SUMIFS(Accounts!$BH:$BH,Accounts!$E:$E,CurrentSaaS!D$1,Accounts!$G:$G,CurrentSaaS!D$2,Accounts!$F:$F,CurrentSaaS!D$3,Accounts!$W:$W,0,Accounts!$C:$C,"Customer",Accounts!$BJ:$BJ,"Monthly",Accounts!$C:$C,"Customer",Accounts!$H:$H,"&gt;"&amp;180)</f>
        <v/>
      </c>
      <c r="E26" s="66">
        <f>SUMIFS(Accounts!$BH:$BH,Accounts!$E:$E,CurrentSaaS!E$1,Accounts!$G:$G,CurrentSaaS!E$2,Accounts!$F:$F,CurrentSaaS!E$3,Accounts!$W:$W,0,Accounts!$C:$C,"Customer",Accounts!$BJ:$BJ,"Monthly",Accounts!$C:$C,"Customer",Accounts!$H:$H,"&gt;"&amp;180)</f>
        <v/>
      </c>
      <c r="F26" s="66">
        <f>SUMIFS(Accounts!$BH:$BH,Accounts!$E:$E,CurrentSaaS!F$1,Accounts!$G:$G,CurrentSaaS!F$2,Accounts!$F:$F,CurrentSaaS!F$3,Accounts!$W:$W,0,Accounts!$C:$C,"Customer",Accounts!$BJ:$BJ,"Monthly",Accounts!$C:$C,"Customer",Accounts!$H:$H,"&gt;"&amp;180)</f>
        <v/>
      </c>
      <c r="G26" s="66">
        <f>SUMIFS(Accounts!$BH:$BH,Accounts!$E:$E,CurrentSaaS!G$1,Accounts!$G:$G,CurrentSaaS!G$2,Accounts!$F:$F,CurrentSaaS!G$3,Accounts!$W:$W,0,Accounts!$C:$C,"Customer",Accounts!$BJ:$BJ,"Monthly",Accounts!$C:$C,"Customer",Accounts!$H:$H,"&gt;"&amp;180)</f>
        <v/>
      </c>
      <c r="H26" s="66">
        <f>SUMIFS(Accounts!$BH:$BH,Accounts!$E:$E,CurrentSaaS!H$1,Accounts!$G:$G,CurrentSaaS!H$2,Accounts!$F:$F,CurrentSaaS!H$3,Accounts!$W:$W,0,Accounts!$C:$C,"Customer",Accounts!$BJ:$BJ,"Monthly",Accounts!$C:$C,"Customer",Accounts!$H:$H,"&gt;"&amp;180)</f>
        <v/>
      </c>
      <c r="I26" s="67">
        <f>SUM(C26:H26)</f>
        <v/>
      </c>
      <c r="J26" s="66">
        <f>SUMIFS(Accounts!$BH:$BH,Accounts!$E:$E,CurrentSaaS!J$1,Accounts!$G:$G,CurrentSaaS!J$2,Accounts!$F:$F,CurrentSaaS!J$3,Accounts!$W:$W,0,Accounts!$C:$C,"Customer",Accounts!$BJ:$BJ,"Monthly",Accounts!$C:$C,"Customer",Accounts!$H:$H,"&gt;"&amp;180)</f>
        <v/>
      </c>
      <c r="K26" s="66">
        <f>SUMIFS(Accounts!$BH:$BH,Accounts!$E:$E,CurrentSaaS!K$1,Accounts!$G:$G,CurrentSaaS!K$2,Accounts!$F:$F,CurrentSaaS!K$3,Accounts!$W:$W,0,Accounts!$C:$C,"Customer",Accounts!$BJ:$BJ,"Monthly",Accounts!$C:$C,"Customer",Accounts!$H:$H,"&gt;"&amp;180)</f>
        <v/>
      </c>
      <c r="L26" s="66">
        <f>SUMIFS(Accounts!$BH:$BH,Accounts!$E:$E,CurrentSaaS!L$1,Accounts!$G:$G,CurrentSaaS!L$2,Accounts!$F:$F,CurrentSaaS!L$3,Accounts!$W:$W,0,Accounts!$C:$C,"Customer",Accounts!$BJ:$BJ,"Monthly",Accounts!$C:$C,"Customer",Accounts!$H:$H,"&gt;"&amp;180)</f>
        <v/>
      </c>
      <c r="M26" s="66">
        <f>SUMIFS(Accounts!$BH:$BH,Accounts!$E:$E,CurrentSaaS!M$1,Accounts!$G:$G,CurrentSaaS!M$2,Accounts!$F:$F,CurrentSaaS!M$3,Accounts!$W:$W,0,Accounts!$C:$C,"Customer",Accounts!$BJ:$BJ,"Monthly",Accounts!$C:$C,"Customer",Accounts!$H:$H,"&gt;"&amp;180)</f>
        <v/>
      </c>
      <c r="N26" s="66">
        <f>SUMIFS(Accounts!$BH:$BH,Accounts!$E:$E,CurrentSaaS!N$1,Accounts!$G:$G,CurrentSaaS!N$2,Accounts!$F:$F,CurrentSaaS!N$3,Accounts!$W:$W,0,Accounts!$C:$C,"Customer",Accounts!$BJ:$BJ,"Monthly",Accounts!$C:$C,"Customer",Accounts!$H:$H,"&gt;"&amp;180)</f>
        <v/>
      </c>
      <c r="O26" s="66">
        <f>SUMIFS(Accounts!$BH:$BH,Accounts!$E:$E,CurrentSaaS!O$1,Accounts!$G:$G,CurrentSaaS!O$2,Accounts!$F:$F,CurrentSaaS!O$3,Accounts!$W:$W,0,Accounts!$C:$C,"Customer",Accounts!$BJ:$BJ,"Monthly",Accounts!$C:$C,"Customer",Accounts!$H:$H,"&gt;"&amp;180)</f>
        <v/>
      </c>
      <c r="P26" s="67">
        <f>SUM(J26:O26)</f>
        <v/>
      </c>
      <c r="Q26" s="66">
        <f>SUMIFS(Accounts!$BH:$BH,Accounts!$E:$E,CurrentSaaS!Q$1,Accounts!$G:$G,CurrentSaaS!Q$2,Accounts!$F:$F,CurrentSaaS!Q$3,Accounts!$W:$W,0,Accounts!$C:$C,"Customer",Accounts!$BJ:$BJ,"Monthly",Accounts!$C:$C,"Customer",Accounts!$H:$H,"&gt;"&amp;180)</f>
        <v/>
      </c>
      <c r="R26" s="66">
        <f>SUMIFS(Accounts!$BH:$BH,Accounts!$E:$E,CurrentSaaS!R$1,Accounts!$G:$G,CurrentSaaS!R$2,Accounts!$F:$F,CurrentSaaS!R$3,Accounts!$W:$W,0,Accounts!$C:$C,"Customer",Accounts!$BJ:$BJ,"Monthly",Accounts!$C:$C,"Customer",Accounts!$H:$H,"&gt;"&amp;180)</f>
        <v/>
      </c>
      <c r="S26" s="66">
        <f>SUMIFS(Accounts!$BH:$BH,Accounts!$E:$E,CurrentSaaS!S$1,Accounts!$G:$G,CurrentSaaS!S$2,Accounts!$F:$F,CurrentSaaS!S$3,Accounts!$W:$W,0,Accounts!$C:$C,"Customer",Accounts!$BJ:$BJ,"Monthly",Accounts!$C:$C,"Customer",Accounts!$H:$H,"&gt;"&amp;180)</f>
        <v/>
      </c>
      <c r="T26" s="66">
        <f>SUMIFS(Accounts!$BH:$BH,Accounts!$E:$E,CurrentSaaS!T$1,Accounts!$G:$G,CurrentSaaS!T$2,Accounts!$F:$F,CurrentSaaS!T$3,Accounts!$W:$W,0,Accounts!$C:$C,"Customer",Accounts!$BJ:$BJ,"Monthly",Accounts!$C:$C,"Customer",Accounts!$H:$H,"&gt;"&amp;180)</f>
        <v/>
      </c>
      <c r="U26" s="66">
        <f>SUMIFS(Accounts!$BH:$BH,Accounts!$E:$E,CurrentSaaS!U$1,Accounts!$G:$G,CurrentSaaS!U$2,Accounts!$F:$F,CurrentSaaS!U$3,Accounts!$W:$W,0,Accounts!$C:$C,"Customer",Accounts!$BJ:$BJ,"Monthly",Accounts!$C:$C,"Customer",Accounts!$H:$H,"&gt;"&amp;180)</f>
        <v/>
      </c>
      <c r="V26" s="66">
        <f>SUMIFS(Accounts!$BH:$BH,Accounts!$E:$E,CurrentSaaS!V$1,Accounts!$G:$G,CurrentSaaS!V$2,Accounts!$F:$F,CurrentSaaS!V$3,Accounts!$W:$W,0,Accounts!$C:$C,"Customer",Accounts!$BJ:$BJ,"Monthly",Accounts!$C:$C,"Customer",Accounts!$H:$H,"&gt;"&amp;180)</f>
        <v/>
      </c>
      <c r="W26" s="67">
        <f>SUM(Q26:V26)</f>
        <v/>
      </c>
    </row>
    <row r="27" ht="16" customHeight="1" thickBot="1">
      <c r="A27" s="1" t="inlineStr">
        <is>
          <t>Monthly Total Retained Count</t>
        </is>
      </c>
      <c r="B27" s="9">
        <f>I27+P27+W27</f>
        <v/>
      </c>
      <c r="C27">
        <f>C12+C16+C20+C24</f>
        <v/>
      </c>
      <c r="D27">
        <f>D12+D16+D20+D24</f>
        <v/>
      </c>
      <c r="E27">
        <f>E12+E16+E20+E24</f>
        <v/>
      </c>
      <c r="F27">
        <f>F12+F16+F20+F24</f>
        <v/>
      </c>
      <c r="G27">
        <f>G12+G16+G20+G24</f>
        <v/>
      </c>
      <c r="H27">
        <f>H12+H16+H20+H24</f>
        <v/>
      </c>
      <c r="I27" s="15">
        <f>SUM(C27:H27)</f>
        <v/>
      </c>
      <c r="J27">
        <f>J12+J16+J20+J24</f>
        <v/>
      </c>
      <c r="K27">
        <f>K12+K16+K20+K24</f>
        <v/>
      </c>
      <c r="L27">
        <f>L12+L16+L20+L24</f>
        <v/>
      </c>
      <c r="M27">
        <f>M12+M16+M20+M24</f>
        <v/>
      </c>
      <c r="N27">
        <f>N12+N16+N20+N24</f>
        <v/>
      </c>
      <c r="O27">
        <f>O12+O16+O20+O24</f>
        <v/>
      </c>
      <c r="P27" s="15">
        <f>SUM(J27:O27)</f>
        <v/>
      </c>
      <c r="Q27">
        <f>Q12+Q16+Q20+Q24</f>
        <v/>
      </c>
      <c r="R27">
        <f>R12+R16+R20+R24</f>
        <v/>
      </c>
      <c r="S27">
        <f>S12+S16+S20+S24</f>
        <v/>
      </c>
      <c r="T27">
        <f>T12+T16+T20+T24</f>
        <v/>
      </c>
      <c r="U27">
        <f>U12+U16+U20+U24</f>
        <v/>
      </c>
      <c r="V27">
        <f>V12+V16+V20+V24</f>
        <v/>
      </c>
      <c r="W27" s="15">
        <f>SUM(Q27:V27)</f>
        <v/>
      </c>
    </row>
    <row r="28" ht="16" customHeight="1" thickBot="1">
      <c r="A28" s="7" t="inlineStr">
        <is>
          <t>SaaS from Retained Monthly Customers</t>
        </is>
      </c>
      <c r="B28" s="65">
        <f>I28+P28+W28</f>
        <v/>
      </c>
      <c r="C28" s="66">
        <f>C14+C18+C22+C26</f>
        <v/>
      </c>
      <c r="D28" s="66">
        <f>D14+D18+D22+D26</f>
        <v/>
      </c>
      <c r="E28" s="66">
        <f>E14+E18+E22+E26</f>
        <v/>
      </c>
      <c r="F28" s="66">
        <f>F14+F18+F22+F26</f>
        <v/>
      </c>
      <c r="G28" s="66">
        <f>G14+G18+G22+G26</f>
        <v/>
      </c>
      <c r="H28" s="66">
        <f>H14+H18+H22+H26</f>
        <v/>
      </c>
      <c r="I28" s="67">
        <f>SUM(C28:H28)</f>
        <v/>
      </c>
      <c r="J28" s="66">
        <f>J14+J18+J22+J26</f>
        <v/>
      </c>
      <c r="K28" s="66">
        <f>K14+K18+K22+K26</f>
        <v/>
      </c>
      <c r="L28" s="66">
        <f>L14+L18+L22+L26</f>
        <v/>
      </c>
      <c r="M28" s="66">
        <f>M14+M18+M22+M26</f>
        <v/>
      </c>
      <c r="N28" s="66">
        <f>N14+N18+N22+N26</f>
        <v/>
      </c>
      <c r="O28" s="66">
        <f>O14+O18+O22+O26</f>
        <v/>
      </c>
      <c r="P28" s="67">
        <f>SUM(J28:O28)</f>
        <v/>
      </c>
      <c r="Q28" s="66">
        <f>Q14+Q18+Q22+Q26</f>
        <v/>
      </c>
      <c r="R28" s="66">
        <f>R14+R18+R22+R26</f>
        <v/>
      </c>
      <c r="S28" s="66">
        <f>S14+S18+S22+S26</f>
        <v/>
      </c>
      <c r="T28" s="66">
        <f>T14+T18+T22+T26</f>
        <v/>
      </c>
      <c r="U28" s="66">
        <f>U14+U18+U22+U26</f>
        <v/>
      </c>
      <c r="V28" s="66">
        <f>V14+V18+V22+V26</f>
        <v/>
      </c>
      <c r="W28" s="67">
        <f>SUM(Q28:V28)</f>
        <v/>
      </c>
    </row>
    <row r="29" ht="16" customHeight="1" thickBot="1">
      <c r="B29" s="9" t="n"/>
    </row>
    <row r="30" ht="16" customHeight="1" thickBot="1">
      <c r="A30" s="1" t="inlineStr">
        <is>
          <t>Prepay Retained</t>
        </is>
      </c>
      <c r="B30" s="9">
        <f>I30+P30+W30</f>
        <v/>
      </c>
      <c r="C30">
        <f>COUNTIFS(Accounts!$E:$E,CurrentSaaS!C$1,Accounts!$G:$G,CurrentSaaS!C$2,Accounts!$F:$F,CurrentSaaS!C$3,Accounts!$B:$B,"Customer",Accounts!$BJ:$BJ,"Prepay",Accounts!$C:$C,"Customer")</f>
        <v/>
      </c>
      <c r="D30">
        <f>COUNTIFS(Accounts!$E:$E,CurrentSaaS!D$1,Accounts!$G:$G,CurrentSaaS!D$2,Accounts!$F:$F,CurrentSaaS!D$3,Accounts!$B:$B,"Customer",Accounts!$BJ:$BJ,"Prepay",Accounts!$C:$C,"Customer")</f>
        <v/>
      </c>
      <c r="E30">
        <f>COUNTIFS(Accounts!$E:$E,CurrentSaaS!E$1,Accounts!$G:$G,CurrentSaaS!E$2,Accounts!$F:$F,CurrentSaaS!E$3,Accounts!$B:$B,"Customer",Accounts!$BJ:$BJ,"Prepay",Accounts!$C:$C,"Customer")</f>
        <v/>
      </c>
      <c r="F30">
        <f>COUNTIFS(Accounts!$E:$E,CurrentSaaS!F$1,Accounts!$G:$G,CurrentSaaS!F$2,Accounts!$F:$F,CurrentSaaS!F$3,Accounts!$B:$B,"Customer",Accounts!$BJ:$BJ,"Prepay",Accounts!$C:$C,"Customer")</f>
        <v/>
      </c>
      <c r="G30">
        <f>COUNTIFS(Accounts!$E:$E,CurrentSaaS!G$1,Accounts!$G:$G,CurrentSaaS!G$2,Accounts!$F:$F,CurrentSaaS!G$3,Accounts!$B:$B,"Customer",Accounts!$BJ:$BJ,"Prepay",Accounts!$C:$C,"Customer")</f>
        <v/>
      </c>
      <c r="H30">
        <f>COUNTIFS(Accounts!$E:$E,CurrentSaaS!H$1,Accounts!$G:$G,CurrentSaaS!H$2,Accounts!$F:$F,CurrentSaaS!H$3,Accounts!$B:$B,"Customer",Accounts!$BJ:$BJ,"Prepay",Accounts!$C:$C,"Customer")</f>
        <v/>
      </c>
      <c r="I30" s="15">
        <f>SUM(C30:H30)</f>
        <v/>
      </c>
      <c r="J30">
        <f>COUNTIFS(Accounts!$E:$E,CurrentSaaS!J$1,Accounts!$G:$G,CurrentSaaS!J$2,Accounts!$F:$F,CurrentSaaS!J$3,Accounts!$B:$B,"Customer",Accounts!$BJ:$BJ,"Prepay",Accounts!$C:$C,"Customer")</f>
        <v/>
      </c>
      <c r="K30">
        <f>COUNTIFS(Accounts!$E:$E,CurrentSaaS!K$1,Accounts!$G:$G,CurrentSaaS!K$2,Accounts!$F:$F,CurrentSaaS!K$3,Accounts!$B:$B,"Customer",Accounts!$BJ:$BJ,"Prepay",Accounts!$C:$C,"Customer")</f>
        <v/>
      </c>
      <c r="L30">
        <f>COUNTIFS(Accounts!$E:$E,CurrentSaaS!L$1,Accounts!$G:$G,CurrentSaaS!L$2,Accounts!$F:$F,CurrentSaaS!L$3,Accounts!$B:$B,"Customer",Accounts!$BJ:$BJ,"Prepay",Accounts!$C:$C,"Customer")</f>
        <v/>
      </c>
      <c r="M30">
        <f>COUNTIFS(Accounts!$E:$E,CurrentSaaS!M$1,Accounts!$G:$G,CurrentSaaS!M$2,Accounts!$F:$F,CurrentSaaS!M$3,Accounts!$B:$B,"Customer",Accounts!$BJ:$BJ,"Prepay",Accounts!$C:$C,"Customer")</f>
        <v/>
      </c>
      <c r="N30">
        <f>COUNTIFS(Accounts!$E:$E,CurrentSaaS!N$1,Accounts!$G:$G,CurrentSaaS!N$2,Accounts!$F:$F,CurrentSaaS!N$3,Accounts!$B:$B,"Customer",Accounts!$BJ:$BJ,"Prepay",Accounts!$C:$C,"Customer")</f>
        <v/>
      </c>
      <c r="O30">
        <f>COUNTIFS(Accounts!$E:$E,CurrentSaaS!O$1,Accounts!$G:$G,CurrentSaaS!O$2,Accounts!$F:$F,CurrentSaaS!O$3,Accounts!$B:$B,"Customer",Accounts!$BJ:$BJ,"Prepay",Accounts!$C:$C,"Customer")</f>
        <v/>
      </c>
      <c r="P30" s="15">
        <f>SUM(J30:O30)</f>
        <v/>
      </c>
      <c r="Q30">
        <f>COUNTIFS(Accounts!$E:$E,CurrentSaaS!Q$1,Accounts!$G:$G,CurrentSaaS!Q$2,Accounts!$F:$F,CurrentSaaS!Q$3,Accounts!$B:$B,"Customer",Accounts!$BJ:$BJ,"Prepay",Accounts!$C:$C,"Customer")</f>
        <v/>
      </c>
      <c r="R30">
        <f>COUNTIFS(Accounts!$E:$E,CurrentSaaS!R$1,Accounts!$G:$G,CurrentSaaS!R$2,Accounts!$F:$F,CurrentSaaS!R$3,Accounts!$B:$B,"Customer",Accounts!$BJ:$BJ,"Prepay",Accounts!$C:$C,"Customer")</f>
        <v/>
      </c>
      <c r="S30">
        <f>COUNTIFS(Accounts!$E:$E,CurrentSaaS!S$1,Accounts!$G:$G,CurrentSaaS!S$2,Accounts!$F:$F,CurrentSaaS!S$3,Accounts!$B:$B,"Customer",Accounts!$BJ:$BJ,"Prepay",Accounts!$C:$C,"Customer")</f>
        <v/>
      </c>
      <c r="T30">
        <f>COUNTIFS(Accounts!$E:$E,CurrentSaaS!T$1,Accounts!$G:$G,CurrentSaaS!T$2,Accounts!$F:$F,CurrentSaaS!T$3,Accounts!$B:$B,"Customer",Accounts!$BJ:$BJ,"Prepay",Accounts!$C:$C,"Customer")</f>
        <v/>
      </c>
      <c r="U30">
        <f>COUNTIFS(Accounts!$E:$E,CurrentSaaS!U$1,Accounts!$G:$G,CurrentSaaS!U$2,Accounts!$F:$F,CurrentSaaS!U$3,Accounts!$B:$B,"Customer",Accounts!$BJ:$BJ,"Prepay",Accounts!$C:$C,"Customer")</f>
        <v/>
      </c>
      <c r="V30">
        <f>COUNTIFS(Accounts!$E:$E,CurrentSaaS!V$1,Accounts!$G:$G,CurrentSaaS!V$2,Accounts!$F:$F,CurrentSaaS!V$3,Accounts!$B:$B,"Customer",Accounts!$BJ:$BJ,"Prepay",Accounts!$C:$C,"Customer")</f>
        <v/>
      </c>
      <c r="W30" s="15">
        <f>SUM(Q30:V30)</f>
        <v/>
      </c>
    </row>
    <row r="31" ht="16" customHeight="1" thickBot="1">
      <c r="A31" s="1" t="inlineStr">
        <is>
          <t>Total before discount</t>
        </is>
      </c>
      <c r="B31" s="65">
        <f>I31+P31+W31</f>
        <v/>
      </c>
      <c r="C31" s="66">
        <f>SUMIFS(Accounts!$BH:$BH,Accounts!$E:$E,CurrentSaaS!C$1,Accounts!$G:$G,CurrentSaaS!C$2,Accounts!$F:$F,CurrentSaaS!C$3,Accounts!$W:$W,0,Accounts!$C:$C,"Customer",Accounts!$BJ:$BJ,"Prepay")</f>
        <v/>
      </c>
      <c r="D31" s="66">
        <f>SUMIFS(Accounts!$BH:$BH,Accounts!$E:$E,CurrentSaaS!D$1,Accounts!$G:$G,CurrentSaaS!D$2,Accounts!$F:$F,CurrentSaaS!D$3,Accounts!$W:$W,0,Accounts!$C:$C,"Customer",Accounts!$BJ:$BJ,"Prepay")</f>
        <v/>
      </c>
      <c r="E31" s="66">
        <f>SUMIFS(Accounts!$BH:$BH,Accounts!$E:$E,CurrentSaaS!E$1,Accounts!$G:$G,CurrentSaaS!E$2,Accounts!$F:$F,CurrentSaaS!E$3,Accounts!$W:$W,0,Accounts!$C:$C,"Customer",Accounts!$BJ:$BJ,"Prepay")</f>
        <v/>
      </c>
      <c r="F31" s="66">
        <f>SUMIFS(Accounts!$BH:$BH,Accounts!$E:$E,CurrentSaaS!F$1,Accounts!$G:$G,CurrentSaaS!F$2,Accounts!$F:$F,CurrentSaaS!F$3,Accounts!$W:$W,0,Accounts!$C:$C,"Customer",Accounts!$BJ:$BJ,"Prepay")</f>
        <v/>
      </c>
      <c r="G31" s="66">
        <f>SUMIFS(Accounts!$BH:$BH,Accounts!$E:$E,CurrentSaaS!G$1,Accounts!$G:$G,CurrentSaaS!G$2,Accounts!$F:$F,CurrentSaaS!G$3,Accounts!$W:$W,0,Accounts!$C:$C,"Customer",Accounts!$BJ:$BJ,"Prepay")</f>
        <v/>
      </c>
      <c r="H31" s="66">
        <f>SUMIFS(Accounts!$BH:$BH,Accounts!$E:$E,CurrentSaaS!H$1,Accounts!$G:$G,CurrentSaaS!H$2,Accounts!$F:$F,CurrentSaaS!H$3,Accounts!$W:$W,0,Accounts!$C:$C,"Customer",Accounts!$BJ:$BJ,"Prepay")</f>
        <v/>
      </c>
      <c r="I31" s="67">
        <f>SUM(C31:H31)</f>
        <v/>
      </c>
      <c r="J31" s="66">
        <f>SUMIFS(Accounts!$BH:$BH,Accounts!$E:$E,CurrentSaaS!J$1,Accounts!$G:$G,CurrentSaaS!J$2,Accounts!$F:$F,CurrentSaaS!J$3,Accounts!$W:$W,0,Accounts!$C:$C,"Customer",Accounts!$BJ:$BJ,"Prepay")</f>
        <v/>
      </c>
      <c r="K31" s="66">
        <f>SUMIFS(Accounts!$BH:$BH,Accounts!$E:$E,CurrentSaaS!K$1,Accounts!$G:$G,CurrentSaaS!K$2,Accounts!$F:$F,CurrentSaaS!K$3,Accounts!$W:$W,0,Accounts!$C:$C,"Customer",Accounts!$BJ:$BJ,"Prepay")</f>
        <v/>
      </c>
      <c r="L31" s="66">
        <f>SUMIFS(Accounts!$BH:$BH,Accounts!$E:$E,CurrentSaaS!L$1,Accounts!$G:$G,CurrentSaaS!L$2,Accounts!$F:$F,CurrentSaaS!L$3,Accounts!$W:$W,0,Accounts!$C:$C,"Customer",Accounts!$BJ:$BJ,"Prepay")</f>
        <v/>
      </c>
      <c r="M31" s="66">
        <f>SUMIFS(Accounts!$BH:$BH,Accounts!$E:$E,CurrentSaaS!M$1,Accounts!$G:$G,CurrentSaaS!M$2,Accounts!$F:$F,CurrentSaaS!M$3,Accounts!$W:$W,0,Accounts!$C:$C,"Customer",Accounts!$BJ:$BJ,"Prepay")</f>
        <v/>
      </c>
      <c r="N31" s="66">
        <f>SUMIFS(Accounts!$BH:$BH,Accounts!$E:$E,CurrentSaaS!N$1,Accounts!$G:$G,CurrentSaaS!N$2,Accounts!$F:$F,CurrentSaaS!N$3,Accounts!$W:$W,0,Accounts!$C:$C,"Customer",Accounts!$BJ:$BJ,"Prepay")</f>
        <v/>
      </c>
      <c r="O31" s="66">
        <f>SUMIFS(Accounts!$BH:$BH,Accounts!$E:$E,CurrentSaaS!O$1,Accounts!$G:$G,CurrentSaaS!O$2,Accounts!$F:$F,CurrentSaaS!O$3,Accounts!$W:$W,0,Accounts!$C:$C,"Customer",Accounts!$BJ:$BJ,"Prepay")</f>
        <v/>
      </c>
      <c r="P31" s="67">
        <f>SUM(J31:O31)</f>
        <v/>
      </c>
      <c r="Q31" s="66">
        <f>SUMIFS(Accounts!$BH:$BH,Accounts!$E:$E,CurrentSaaS!Q$1,Accounts!$G:$G,CurrentSaaS!Q$2,Accounts!$F:$F,CurrentSaaS!Q$3,Accounts!$W:$W,0,Accounts!$C:$C,"Customer",Accounts!$BJ:$BJ,"Prepay")</f>
        <v/>
      </c>
      <c r="R31" s="66">
        <f>SUMIFS(Accounts!$BH:$BH,Accounts!$E:$E,CurrentSaaS!R$1,Accounts!$G:$G,CurrentSaaS!R$2,Accounts!$F:$F,CurrentSaaS!R$3,Accounts!$W:$W,0,Accounts!$C:$C,"Customer",Accounts!$BJ:$BJ,"Prepay")</f>
        <v/>
      </c>
      <c r="S31" s="66">
        <f>SUMIFS(Accounts!$BH:$BH,Accounts!$E:$E,CurrentSaaS!S$1,Accounts!$G:$G,CurrentSaaS!S$2,Accounts!$F:$F,CurrentSaaS!S$3,Accounts!$W:$W,0,Accounts!$C:$C,"Customer",Accounts!$BJ:$BJ,"Prepay")</f>
        <v/>
      </c>
      <c r="T31" s="66">
        <f>SUMIFS(Accounts!$BH:$BH,Accounts!$E:$E,CurrentSaaS!T$1,Accounts!$G:$G,CurrentSaaS!T$2,Accounts!$F:$F,CurrentSaaS!T$3,Accounts!$W:$W,0,Accounts!$C:$C,"Customer",Accounts!$BJ:$BJ,"Prepay")</f>
        <v/>
      </c>
      <c r="U31" s="66">
        <f>SUMIFS(Accounts!$BH:$BH,Accounts!$E:$E,CurrentSaaS!U$1,Accounts!$G:$G,CurrentSaaS!U$2,Accounts!$F:$F,CurrentSaaS!U$3,Accounts!$W:$W,0,Accounts!$C:$C,"Customer",Accounts!$BJ:$BJ,"Prepay")</f>
        <v/>
      </c>
      <c r="V31" s="66">
        <f>SUMIFS(Accounts!$BH:$BH,Accounts!$E:$E,CurrentSaaS!V$1,Accounts!$G:$G,CurrentSaaS!V$2,Accounts!$F:$F,CurrentSaaS!V$3,Accounts!$W:$W,0,Accounts!$C:$C,"Customer",Accounts!$BJ:$BJ,"Prepay")</f>
        <v/>
      </c>
      <c r="W31" s="67">
        <f>SUM(Q31:V31)</f>
        <v/>
      </c>
    </row>
    <row r="32" ht="16" customHeight="1" thickBot="1">
      <c r="A32" s="1" t="inlineStr">
        <is>
          <t>Approximate discount</t>
        </is>
      </c>
      <c r="B32" s="65">
        <f>IF(B30=0,0,B31/B30)</f>
        <v/>
      </c>
      <c r="C32" s="66">
        <f>C31*0.1</f>
        <v/>
      </c>
      <c r="D32" s="66">
        <f>D31*0.1</f>
        <v/>
      </c>
      <c r="E32" s="66">
        <f>E31*0.1</f>
        <v/>
      </c>
      <c r="F32" s="66">
        <f>F31*0.1</f>
        <v/>
      </c>
      <c r="G32" s="66">
        <f>G31*0.1</f>
        <v/>
      </c>
      <c r="H32" s="66">
        <f>H31*0.1</f>
        <v/>
      </c>
      <c r="I32" s="67">
        <f>SUM(C32:H32)</f>
        <v/>
      </c>
      <c r="J32" s="66">
        <f>J31*0.1</f>
        <v/>
      </c>
      <c r="K32" s="66">
        <f>K31*0.1</f>
        <v/>
      </c>
      <c r="L32" s="66">
        <f>L31*0.1</f>
        <v/>
      </c>
      <c r="M32" s="66">
        <f>M31*0.1</f>
        <v/>
      </c>
      <c r="N32" s="66">
        <f>N31*0.1</f>
        <v/>
      </c>
      <c r="O32" s="66">
        <f>O31*0.1</f>
        <v/>
      </c>
      <c r="P32" s="67">
        <f>SUM(J32:O32)</f>
        <v/>
      </c>
      <c r="Q32" s="66">
        <f>Q31*0.1</f>
        <v/>
      </c>
      <c r="R32" s="66">
        <f>R31*0.1</f>
        <v/>
      </c>
      <c r="S32" s="66">
        <f>S31*0.1</f>
        <v/>
      </c>
      <c r="T32" s="66">
        <f>T31*0.1</f>
        <v/>
      </c>
      <c r="U32" s="66">
        <f>U31*0.1</f>
        <v/>
      </c>
      <c r="V32" s="66">
        <f>V31*0.1</f>
        <v/>
      </c>
      <c r="W32" s="67">
        <f>SUM(Q32:V32)</f>
        <v/>
      </c>
    </row>
    <row r="33" ht="16" customHeight="1" thickBot="1">
      <c r="A33" s="7" t="inlineStr">
        <is>
          <t>SaaS from Retained Prepay Customers</t>
        </is>
      </c>
      <c r="B33" s="65">
        <f>I33+P33+W33</f>
        <v/>
      </c>
      <c r="C33" s="66">
        <f>C31-C32</f>
        <v/>
      </c>
      <c r="D33" s="66">
        <f>D31-D32</f>
        <v/>
      </c>
      <c r="E33" s="66">
        <f>E31-E32</f>
        <v/>
      </c>
      <c r="F33" s="66">
        <f>F31-F32</f>
        <v/>
      </c>
      <c r="G33" s="66">
        <f>G31-G32</f>
        <v/>
      </c>
      <c r="H33" s="66">
        <f>H31-H32</f>
        <v/>
      </c>
      <c r="I33" s="67">
        <f>I31-I32</f>
        <v/>
      </c>
      <c r="J33" s="66">
        <f>J31-J32</f>
        <v/>
      </c>
      <c r="K33" s="66">
        <f>K31-K32</f>
        <v/>
      </c>
      <c r="L33" s="66" t="n"/>
      <c r="M33" s="66">
        <f>M31-M32</f>
        <v/>
      </c>
      <c r="N33" s="66">
        <f>N31-N32</f>
        <v/>
      </c>
      <c r="O33" s="66">
        <f>O31-O32</f>
        <v/>
      </c>
      <c r="P33" s="67">
        <f>P31-P32</f>
        <v/>
      </c>
      <c r="Q33" s="66">
        <f>Q31-Q32</f>
        <v/>
      </c>
      <c r="R33" s="66">
        <f>R31-R32</f>
        <v/>
      </c>
      <c r="S33" s="66" t="n"/>
      <c r="T33" s="66">
        <f>T31-T32</f>
        <v/>
      </c>
      <c r="U33" s="66">
        <f>U31-U32</f>
        <v/>
      </c>
      <c r="V33" s="66">
        <f>V31-V32</f>
        <v/>
      </c>
      <c r="W33" s="67">
        <f>W31-W32</f>
        <v/>
      </c>
    </row>
    <row r="34" ht="16" customHeight="1" thickBot="1">
      <c r="A34" s="1" t="inlineStr">
        <is>
          <t>ARPC Prepay</t>
        </is>
      </c>
      <c r="B34" s="65">
        <f>IF(B30=0,0,B33/B30)</f>
        <v/>
      </c>
      <c r="C34" s="66">
        <f>IF(C30=0,0,C33/C30)</f>
        <v/>
      </c>
      <c r="D34" s="66">
        <f>IF(D30=0,0,D33/D30)</f>
        <v/>
      </c>
      <c r="E34" s="66">
        <f>IF(E30=0,0,E33/E30)</f>
        <v/>
      </c>
      <c r="F34" s="66">
        <f>IF(F30=0,0,F33/F30)</f>
        <v/>
      </c>
      <c r="G34" s="66">
        <f>IF(G30=0,0,G33/G30)</f>
        <v/>
      </c>
      <c r="H34" s="66">
        <f>IF(H30=0,0,H33/H30)</f>
        <v/>
      </c>
      <c r="I34" s="67">
        <f>IF(I30=0,0,I33/I30)</f>
        <v/>
      </c>
      <c r="J34" s="66">
        <f>IF(J30=0,0,J33/J30)</f>
        <v/>
      </c>
      <c r="K34" s="66">
        <f>IF(K30=0,0,K33/K30)</f>
        <v/>
      </c>
      <c r="L34" s="66">
        <f>IF(L30=0,0,L33/L30)</f>
        <v/>
      </c>
      <c r="M34" s="66">
        <f>IF(M30=0,0,M33/M30)</f>
        <v/>
      </c>
      <c r="N34" s="66">
        <f>IF(N30=0,0,N33/N30)</f>
        <v/>
      </c>
      <c r="O34" s="66">
        <f>IF(O30=0,0,O33/O30)</f>
        <v/>
      </c>
      <c r="P34" s="67">
        <f>IF(P30=0,0,P33/P30)</f>
        <v/>
      </c>
      <c r="Q34" s="66">
        <f>IF(Q30=0,0,Q33/Q30)</f>
        <v/>
      </c>
      <c r="R34" s="66">
        <f>IF(R30=0,0,R33/R30)</f>
        <v/>
      </c>
      <c r="S34" s="66">
        <f>IF(S30=0,0,S33/S30)</f>
        <v/>
      </c>
      <c r="T34" s="66">
        <f>IF(T30=0,0,T33/T30)</f>
        <v/>
      </c>
      <c r="U34" s="66">
        <f>IF(U30=0,0,U33/U30)</f>
        <v/>
      </c>
      <c r="V34" s="66">
        <f>IF(V30=0,0,V33/V30)</f>
        <v/>
      </c>
      <c r="W34" s="67">
        <f>IF(W30=0,0,W33/W30)</f>
        <v/>
      </c>
    </row>
    <row r="35" ht="16" customHeight="1" thickBot="1">
      <c r="A35" s="1" t="n"/>
    </row>
    <row r="36" ht="16" customHeight="1" thickBot="1">
      <c r="A36" s="1" t="inlineStr">
        <is>
          <t>SaaS from Trialers (Gross)</t>
        </is>
      </c>
      <c r="B36" s="66">
        <f>I36+P36+W36</f>
        <v/>
      </c>
      <c r="C36" s="66">
        <f>C8</f>
        <v/>
      </c>
      <c r="D36" s="66">
        <f>D8</f>
        <v/>
      </c>
      <c r="E36" s="66">
        <f>E8</f>
        <v/>
      </c>
      <c r="F36" s="66">
        <f>F8</f>
        <v/>
      </c>
      <c r="G36" s="66">
        <f>G8</f>
        <v/>
      </c>
      <c r="H36" s="66">
        <f>H8</f>
        <v/>
      </c>
      <c r="I36" s="67">
        <f>SUM(C36:H36)</f>
        <v/>
      </c>
      <c r="J36" s="66">
        <f>J8</f>
        <v/>
      </c>
      <c r="K36" s="66">
        <f>K8</f>
        <v/>
      </c>
      <c r="L36" s="66">
        <f>L8</f>
        <v/>
      </c>
      <c r="M36" s="66">
        <f>M8</f>
        <v/>
      </c>
      <c r="N36" s="66">
        <f>N8</f>
        <v/>
      </c>
      <c r="O36" s="66">
        <f>O8</f>
        <v/>
      </c>
      <c r="P36" s="67">
        <f>SUM(J36:O36)</f>
        <v/>
      </c>
      <c r="Q36" s="66">
        <f>Q8</f>
        <v/>
      </c>
      <c r="R36" s="66">
        <f>R8</f>
        <v/>
      </c>
      <c r="S36" s="66">
        <f>S8</f>
        <v/>
      </c>
      <c r="T36" s="66">
        <f>T8</f>
        <v/>
      </c>
      <c r="U36" s="66">
        <f>U8</f>
        <v/>
      </c>
      <c r="V36" s="66">
        <f>V8</f>
        <v/>
      </c>
      <c r="W36" s="67">
        <f>SUM(Q36:V36)</f>
        <v/>
      </c>
    </row>
    <row r="37" ht="16" customHeight="1" thickBot="1">
      <c r="A37" s="1" t="inlineStr">
        <is>
          <t>SaaS from Retained Customers (Gross)</t>
        </is>
      </c>
      <c r="B37" s="66">
        <f>I37+P37+W37</f>
        <v/>
      </c>
      <c r="C37" s="66">
        <f>C28+C33</f>
        <v/>
      </c>
      <c r="D37" s="66">
        <f>D28+D33</f>
        <v/>
      </c>
      <c r="E37" s="66">
        <f>E28+E33</f>
        <v/>
      </c>
      <c r="F37" s="66">
        <f>F28+F33</f>
        <v/>
      </c>
      <c r="G37" s="66">
        <f>G28+G33</f>
        <v/>
      </c>
      <c r="H37" s="66">
        <f>H28+H33</f>
        <v/>
      </c>
      <c r="I37" s="67">
        <f>SUM(C37:H37)</f>
        <v/>
      </c>
      <c r="J37" s="66">
        <f>J28+J33</f>
        <v/>
      </c>
      <c r="K37" s="66">
        <f>K28+K33</f>
        <v/>
      </c>
      <c r="L37" s="66">
        <f>L28+L33</f>
        <v/>
      </c>
      <c r="M37" s="66">
        <f>M28+M33</f>
        <v/>
      </c>
      <c r="N37" s="66">
        <f>N28+N33</f>
        <v/>
      </c>
      <c r="O37" s="66">
        <f>O28+O33</f>
        <v/>
      </c>
      <c r="P37" s="67">
        <f>SUM(J37:O37)</f>
        <v/>
      </c>
      <c r="Q37" s="66">
        <f>Q28+Q33</f>
        <v/>
      </c>
      <c r="R37" s="66">
        <f>R28+R33</f>
        <v/>
      </c>
      <c r="S37" s="66">
        <f>S28+S33</f>
        <v/>
      </c>
      <c r="T37" s="66">
        <f>T28+T33</f>
        <v/>
      </c>
      <c r="U37" s="66">
        <f>U28+U33</f>
        <v/>
      </c>
      <c r="V37" s="66">
        <f>V28+V33</f>
        <v/>
      </c>
      <c r="W37" s="67">
        <f>SUM(Q37:V37)</f>
        <v/>
      </c>
    </row>
    <row r="38" ht="16" customHeight="1" thickBot="1">
      <c r="A38" s="1" t="inlineStr">
        <is>
          <t>Paying Customers Count</t>
        </is>
      </c>
      <c r="B38" s="25">
        <f>B30+B24+B20+B16+B12+B6</f>
        <v/>
      </c>
      <c r="C38" s="25">
        <f>C30+C24+C20+C16+C12+C6</f>
        <v/>
      </c>
      <c r="D38" s="25">
        <f>D30+D24+D20+D16+D12+D6</f>
        <v/>
      </c>
      <c r="E38" s="25">
        <f>E30+E24+E20+E16+E12+E6</f>
        <v/>
      </c>
      <c r="F38" s="25">
        <f>F30+F24+F20+F16+F12+F6</f>
        <v/>
      </c>
      <c r="G38" s="25">
        <f>G30+G24+G20+G16+G12+G6</f>
        <v/>
      </c>
      <c r="H38" s="25">
        <f>H30+H24+H20+H16+H12+H6</f>
        <v/>
      </c>
      <c r="I38" s="64">
        <f>I30+I24+I20+I16+I12+I6</f>
        <v/>
      </c>
      <c r="J38" s="25">
        <f>J30+J24+J20+J16+J12+J6</f>
        <v/>
      </c>
      <c r="K38" s="25">
        <f>K30+K24+K20+K16+K12+K6</f>
        <v/>
      </c>
      <c r="L38" s="25">
        <f>L30+L24+L20+L16+L12+L6</f>
        <v/>
      </c>
      <c r="M38" s="25">
        <f>M30+M24+M20+M16+M12+M6</f>
        <v/>
      </c>
      <c r="N38" s="25">
        <f>N30+N24+N20+N16+N12+N6</f>
        <v/>
      </c>
      <c r="O38" s="25">
        <f>O30+O24+O20+O16+O12+O6</f>
        <v/>
      </c>
      <c r="P38" s="64">
        <f>P30+P24+P20+P16+P12+P6</f>
        <v/>
      </c>
      <c r="Q38" s="25">
        <f>Q30+Q24+Q20+Q16+Q12+Q6</f>
        <v/>
      </c>
      <c r="R38" s="25">
        <f>R30+R24+R20+R16+R12+R6</f>
        <v/>
      </c>
      <c r="S38" s="25">
        <f>S30+S24+S20+S16+S12+S6</f>
        <v/>
      </c>
      <c r="T38" s="25">
        <f>T30+T24+T20+T16+T12+T6</f>
        <v/>
      </c>
      <c r="U38" s="25">
        <f>U30+U24+U20+U16+U12+U6</f>
        <v/>
      </c>
      <c r="V38" s="25">
        <f>V30+V24+V20+V16+V12+V6</f>
        <v/>
      </c>
      <c r="W38" s="64">
        <f>W30+W24+W20+W16+W12+W6</f>
        <v/>
      </c>
    </row>
  </sheetData>
  <pageMargins left="0.7" right="0.7" top="0.75" bottom="0.75" header="0.3" footer="0.3"/>
  <pageSetup orientation="portrait" paperSize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selection activeCell="A1" sqref="A1"/>
    </sheetView>
  </sheetViews>
  <sheetFormatPr baseColWidth="10" defaultColWidth="8.6640625" defaultRowHeight="15"/>
  <cols>
    <col width="37" customWidth="1" min="1" max="1"/>
    <col width="12.33203125" bestFit="1" customWidth="1" min="2" max="6"/>
    <col width="12.33203125" customWidth="1" min="7" max="8"/>
    <col width="12.33203125" bestFit="1" customWidth="1" style="15" min="9" max="9"/>
    <col width="12.33203125" bestFit="1" customWidth="1" min="10" max="13"/>
    <col width="12.33203125" customWidth="1" min="14" max="15"/>
    <col width="12.33203125" bestFit="1" customWidth="1" style="15" min="16" max="16"/>
    <col width="12.33203125" bestFit="1" customWidth="1" min="17" max="19"/>
    <col width="12.5" bestFit="1" customWidth="1" min="20" max="20"/>
    <col width="12.5" customWidth="1" min="21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 ht="16" customHeight="1" thickBot="1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 ht="16" customHeight="1" thickBot="1">
      <c r="A4" s="1" t="inlineStr">
        <is>
          <t>*Trialers*</t>
        </is>
      </c>
      <c r="D4" s="4" t="n"/>
    </row>
    <row r="5" ht="16" customHeight="1" thickBot="1">
      <c r="A5" s="1" t="n"/>
    </row>
    <row r="6" ht="16" customHeight="1" thickBot="1">
      <c r="A6" s="1" t="inlineStr">
        <is>
          <t>Made their first payment</t>
        </is>
      </c>
      <c r="B6" s="9">
        <f>I6+P6+W6</f>
        <v/>
      </c>
      <c r="C6">
        <f>COUNTIFS(Accounts!$E:$E,CurrentSaaS!C$1,Accounts!$G:$G,CurrentSaaS!C$2,Accounts!$F:$F,CurrentSaaS!C$3,Accounts!$W:$W,1)</f>
        <v/>
      </c>
      <c r="D6">
        <f>COUNTIFS(Accounts!$E:$E,CurrentSaaS!D$1,Accounts!$G:$G,CurrentSaaS!D$2,Accounts!$F:$F,CurrentSaaS!D$3,Accounts!$W:$W,1)</f>
        <v/>
      </c>
      <c r="E6">
        <f>COUNTIFS(Accounts!$E:$E,CurrentSaaS!E$1,Accounts!$G:$G,CurrentSaaS!E$2,Accounts!$F:$F,CurrentSaaS!E$3,Accounts!$W:$W,1)</f>
        <v/>
      </c>
      <c r="F6">
        <f>COUNTIFS(Accounts!$E:$E,CurrentSaaS!F$1,Accounts!$G:$G,CurrentSaaS!F$2,Accounts!$F:$F,CurrentSaaS!F$3,Accounts!$W:$W,1)</f>
        <v/>
      </c>
      <c r="G6">
        <f>COUNTIFS(Accounts!$E:$E,CurrentSaaS!G$1,Accounts!$G:$G,CurrentSaaS!G$2,Accounts!$F:$F,CurrentSaaS!G$3,Accounts!$W:$W,1)</f>
        <v/>
      </c>
      <c r="H6">
        <f>COUNTIFS(Accounts!$E:$E,CurrentSaaS!H$1,Accounts!$G:$G,CurrentSaaS!H$2,Accounts!$F:$F,CurrentSaaS!H$3,Accounts!$W:$W,1)</f>
        <v/>
      </c>
      <c r="I6" s="15">
        <f>SUM(C6:H6)</f>
        <v/>
      </c>
      <c r="J6">
        <f>COUNTIFS(Accounts!$E:$E,CurrentSaaS!J$1,Accounts!$G:$G,CurrentSaaS!J$2,Accounts!$F:$F,CurrentSaaS!J$3,Accounts!$W:$W,1)</f>
        <v/>
      </c>
      <c r="K6">
        <f>COUNTIFS(Accounts!$E:$E,CurrentSaaS!K$1,Accounts!$G:$G,CurrentSaaS!K$2,Accounts!$F:$F,CurrentSaaS!K$3,Accounts!$W:$W,1)</f>
        <v/>
      </c>
      <c r="L6">
        <f>COUNTIFS(Accounts!$E:$E,CurrentSaaS!L$1,Accounts!$G:$G,CurrentSaaS!L$2,Accounts!$F:$F,CurrentSaaS!L$3,Accounts!$W:$W,1)</f>
        <v/>
      </c>
      <c r="M6">
        <f>COUNTIFS(Accounts!$E:$E,CurrentSaaS!M$1,Accounts!$G:$G,CurrentSaaS!M$2,Accounts!$F:$F,CurrentSaaS!M$3,Accounts!$W:$W,1)</f>
        <v/>
      </c>
      <c r="N6">
        <f>COUNTIFS(Accounts!$E:$E,CurrentSaaS!N$1,Accounts!$G:$G,CurrentSaaS!N$2,Accounts!$F:$F,CurrentSaaS!N$3,Accounts!$W:$W,1)</f>
        <v/>
      </c>
      <c r="O6">
        <f>COUNTIFS(Accounts!$E:$E,CurrentSaaS!O$1,Accounts!$G:$G,CurrentSaaS!O$2,Accounts!$F:$F,CurrentSaaS!O$3,Accounts!$W:$W,1)</f>
        <v/>
      </c>
      <c r="P6" s="15">
        <f>SUM(J6:O6)</f>
        <v/>
      </c>
      <c r="Q6">
        <f>COUNTIFS(Accounts!$E:$E,CurrentSaaS!Q$1,Accounts!$G:$G,CurrentSaaS!Q$2,Accounts!$F:$F,CurrentSaaS!Q$3,Accounts!$W:$W,1)</f>
        <v/>
      </c>
      <c r="R6">
        <f>COUNTIFS(Accounts!$E:$E,CurrentSaaS!R$1,Accounts!$G:$G,CurrentSaaS!R$2,Accounts!$F:$F,CurrentSaaS!R$3,Accounts!$W:$W,1)</f>
        <v/>
      </c>
      <c r="S6">
        <f>COUNTIFS(Accounts!$E:$E,CurrentSaaS!S$1,Accounts!$G:$G,CurrentSaaS!S$2,Accounts!$F:$F,CurrentSaaS!S$3,Accounts!$W:$W,1)</f>
        <v/>
      </c>
      <c r="T6">
        <f>COUNTIFS(Accounts!$E:$E,CurrentSaaS!T$1,Accounts!$G:$G,CurrentSaaS!T$2,Accounts!$F:$F,CurrentSaaS!T$3,Accounts!$W:$W,1)</f>
        <v/>
      </c>
      <c r="U6">
        <f>COUNTIFS(Accounts!$E:$E,CurrentSaaS!U$1,Accounts!$G:$G,CurrentSaaS!U$2,Accounts!$F:$F,CurrentSaaS!U$3,Accounts!$W:$W,1)</f>
        <v/>
      </c>
      <c r="V6">
        <f>COUNTIFS(Accounts!$E:$E,CurrentSaaS!V$1,Accounts!$G:$G,CurrentSaaS!V$2,Accounts!$F:$F,CurrentSaaS!V$3,Accounts!$W:$W,1)</f>
        <v/>
      </c>
      <c r="W6" s="15">
        <f>SUM(Q6:V6)</f>
        <v/>
      </c>
    </row>
    <row r="7" ht="16" customHeight="1" thickBot="1">
      <c r="A7" s="1" t="inlineStr">
        <is>
          <t>ARPC First Invoice</t>
        </is>
      </c>
      <c r="B7" s="65">
        <f>IF(B6=0,0,B8/B6)</f>
        <v/>
      </c>
      <c r="C7" s="66">
        <f>IF(C6=0,0,C8/C6)</f>
        <v/>
      </c>
      <c r="D7" s="66">
        <f>IF(D6=0,0,D8/D6)</f>
        <v/>
      </c>
      <c r="E7" s="66">
        <f>IF(E6=0,0,E8/E6)</f>
        <v/>
      </c>
      <c r="F7" s="66">
        <f>IF(F6=0,0,F8/F6)</f>
        <v/>
      </c>
      <c r="G7" s="66">
        <f>IF(G6=0,0,G8/G6)</f>
        <v/>
      </c>
      <c r="H7" s="66">
        <f>IF(H6=0,0,H8/H6)</f>
        <v/>
      </c>
      <c r="I7" s="67">
        <f>IF(I6=0,0,I8/I6)</f>
        <v/>
      </c>
      <c r="J7" s="66">
        <f>IF(J6=0,0,J8/J6)</f>
        <v/>
      </c>
      <c r="K7" s="66">
        <f>IF(K6=0,0,K8/K6)</f>
        <v/>
      </c>
      <c r="L7" s="66">
        <f>IF(L6=0,0,L8/L6)</f>
        <v/>
      </c>
      <c r="M7" s="66">
        <f>IF(M6=0,0,M8/M6)</f>
        <v/>
      </c>
      <c r="N7" s="66">
        <f>IF(N6=0,0,N8/N6)</f>
        <v/>
      </c>
      <c r="O7" s="66">
        <f>IF(O6=0,0,O8/O6)</f>
        <v/>
      </c>
      <c r="P7" s="67">
        <f>IF(P6=0,0,P8/P6)</f>
        <v/>
      </c>
      <c r="Q7" s="66">
        <f>IF(Q6=0,0,Q8/Q6)</f>
        <v/>
      </c>
      <c r="R7" s="66">
        <f>IF(R6=0,0,R8/R6)</f>
        <v/>
      </c>
      <c r="S7" s="66">
        <f>IF(S6=0,0,S8/S6)</f>
        <v/>
      </c>
      <c r="T7" s="66">
        <f>IF(T6=0,0,T8/T6)</f>
        <v/>
      </c>
      <c r="U7" s="66">
        <f>IF(U6=0,0,U8/U6)</f>
        <v/>
      </c>
      <c r="V7" s="66">
        <f>IF(V6=0,0,V8/V6)</f>
        <v/>
      </c>
      <c r="W7" s="67">
        <f>IF(W6=0,0,W8/W6)</f>
        <v/>
      </c>
    </row>
    <row r="8" ht="16" customHeight="1" thickBot="1">
      <c r="A8" s="7" t="inlineStr">
        <is>
          <t>Total SaaS from Trialers</t>
        </is>
      </c>
      <c r="B8" s="65">
        <f>I8+P8+W8</f>
        <v/>
      </c>
      <c r="C8" s="66">
        <f>SUMIFS(Accounts!$I:$BH,Accounts!$E:$E,CurrentSaaS!C$1,Accounts!$G:$G,CurrentSaaS!C$2,Accounts!$F:$F,CurrentSaaS!C$3,Accounts!$W:$W,1)</f>
        <v/>
      </c>
      <c r="D8" s="66">
        <f>SUMIFS(Accounts!$I:$BH,Accounts!$E:$E,CurrentSaaS!D$1,Accounts!$G:$G,CurrentSaaS!D$2,Accounts!$F:$F,CurrentSaaS!D$3,Accounts!$W:$W,1)</f>
        <v/>
      </c>
      <c r="E8" s="66">
        <f>SUMIFS(Accounts!$I:$BH,Accounts!$E:$E,CurrentSaaS!E$1,Accounts!$G:$G,CurrentSaaS!E$2,Accounts!$F:$F,CurrentSaaS!E$3,Accounts!$W:$W,1)</f>
        <v/>
      </c>
      <c r="F8" s="66">
        <f>SUMIFS(Accounts!$I:$BH,Accounts!$E:$E,CurrentSaaS!F$1,Accounts!$G:$G,CurrentSaaS!F$2,Accounts!$F:$F,CurrentSaaS!F$3,Accounts!$W:$W,1)</f>
        <v/>
      </c>
      <c r="G8" s="66">
        <f>SUMIFS(Accounts!$I:$BH,Accounts!$E:$E,CurrentSaaS!G$1,Accounts!$G:$G,CurrentSaaS!G$2,Accounts!$F:$F,CurrentSaaS!G$3,Accounts!$W:$W,1)</f>
        <v/>
      </c>
      <c r="H8" s="66">
        <f>SUMIFS(Accounts!$I:$BH,Accounts!$E:$E,CurrentSaaS!H$1,Accounts!$G:$G,CurrentSaaS!H$2,Accounts!$F:$F,CurrentSaaS!H$3,Accounts!$W:$W,1)</f>
        <v/>
      </c>
      <c r="I8" s="67">
        <f>SUM(C8:H8)</f>
        <v/>
      </c>
      <c r="J8" s="66">
        <f>SUMIFS(Accounts!$I:$BH,Accounts!$E:$E,CurrentSaaS!J$1,Accounts!$G:$G,CurrentSaaS!J$2,Accounts!$F:$F,CurrentSaaS!J$3,Accounts!$W:$W,1)</f>
        <v/>
      </c>
      <c r="K8" s="66">
        <f>SUMIFS(Accounts!$I:$BH,Accounts!$E:$E,CurrentSaaS!K$1,Accounts!$G:$G,CurrentSaaS!K$2,Accounts!$F:$F,CurrentSaaS!K$3,Accounts!$W:$W,1)</f>
        <v/>
      </c>
      <c r="L8" s="66">
        <f>SUMIFS(Accounts!$I:$BH,Accounts!$E:$E,CurrentSaaS!L$1,Accounts!$G:$G,CurrentSaaS!L$2,Accounts!$F:$F,CurrentSaaS!L$3,Accounts!$W:$W,1)</f>
        <v/>
      </c>
      <c r="M8" s="66">
        <f>SUMIFS(Accounts!$I:$BH,Accounts!$E:$E,CurrentSaaS!M$1,Accounts!$G:$G,CurrentSaaS!M$2,Accounts!$F:$F,CurrentSaaS!M$3,Accounts!$W:$W,1)</f>
        <v/>
      </c>
      <c r="N8" s="66">
        <f>SUMIFS(Accounts!$I:$BH,Accounts!$E:$E,CurrentSaaS!N$1,Accounts!$G:$G,CurrentSaaS!N$2,Accounts!$F:$F,CurrentSaaS!N$3,Accounts!$W:$W,1)</f>
        <v/>
      </c>
      <c r="O8" s="66">
        <f>SUMIFS(Accounts!$I:$BH,Accounts!$E:$E,CurrentSaaS!O$1,Accounts!$G:$G,CurrentSaaS!O$2,Accounts!$F:$F,CurrentSaaS!O$3,Accounts!$W:$W,1)</f>
        <v/>
      </c>
      <c r="P8" s="67">
        <f>SUM(J8:O8)</f>
        <v/>
      </c>
      <c r="Q8" s="66">
        <f>SUMIFS(Accounts!$I:$BH,Accounts!$E:$E,CurrentSaaS!Q$1,Accounts!$G:$G,CurrentSaaS!Q$2,Accounts!$F:$F,CurrentSaaS!Q$3,Accounts!$W:$W,1)</f>
        <v/>
      </c>
      <c r="R8" s="66">
        <f>SUMIFS(Accounts!$I:$BH,Accounts!$E:$E,CurrentSaaS!R$1,Accounts!$G:$G,CurrentSaaS!R$2,Accounts!$F:$F,CurrentSaaS!R$3,Accounts!$W:$W,1)</f>
        <v/>
      </c>
      <c r="S8" s="66">
        <f>SUMIFS(Accounts!$I:$BH,Accounts!$E:$E,CurrentSaaS!S$1,Accounts!$G:$G,CurrentSaaS!S$2,Accounts!$F:$F,CurrentSaaS!S$3,Accounts!$W:$W,1)</f>
        <v/>
      </c>
      <c r="T8" s="66">
        <f>SUMIFS(Accounts!$I:$BH,Accounts!$E:$E,CurrentSaaS!T$1,Accounts!$G:$G,CurrentSaaS!T$2,Accounts!$F:$F,CurrentSaaS!T$3,Accounts!$W:$W,1)</f>
        <v/>
      </c>
      <c r="U8" s="66">
        <f>SUMIFS(Accounts!$I:$BH,Accounts!$E:$E,CurrentSaaS!U$1,Accounts!$G:$G,CurrentSaaS!U$2,Accounts!$F:$F,CurrentSaaS!U$3,Accounts!$W:$W,1)</f>
        <v/>
      </c>
      <c r="V8" s="66">
        <f>SUMIFS(Accounts!$I:$BH,Accounts!$E:$E,CurrentSaaS!V$1,Accounts!$G:$G,CurrentSaaS!V$2,Accounts!$F:$F,CurrentSaaS!V$3,Accounts!$W:$W,1)</f>
        <v/>
      </c>
      <c r="W8" s="67">
        <f>SUM(Q8:V8)</f>
        <v/>
      </c>
    </row>
    <row r="9" ht="16" customHeight="1" thickBot="1">
      <c r="A9" s="7" t="n"/>
      <c r="B9" s="9" t="n"/>
    </row>
    <row r="10" ht="16" customHeight="1" thickBot="1">
      <c r="A10" s="1" t="inlineStr">
        <is>
          <t>*Paying Customers*</t>
        </is>
      </c>
      <c r="B10" s="9" t="n"/>
    </row>
    <row r="11" ht="16" customHeight="1" thickBot="1">
      <c r="A11" s="1" t="inlineStr">
        <is>
          <t>0-30 day cohort as of BOM</t>
        </is>
      </c>
      <c r="B11" s="9" t="n"/>
    </row>
    <row r="12" ht="16" customHeight="1" thickBot="1">
      <c r="A12" s="1" t="inlineStr">
        <is>
          <t xml:space="preserve">   Retained Count</t>
        </is>
      </c>
      <c r="B12" s="9">
        <f>I12+P12+W12</f>
        <v/>
      </c>
      <c r="C12">
        <f>COUNTIFS(Accounts!$E:$E,CurrentSaaS!C$1,Accounts!$G:$G,CurrentSaaS!C$2,Accounts!$F:$F,CurrentSaaS!C$3,Accounts!$B:$B,"Customer",Accounts!$BJ:$BJ,"Monthly",Accounts!$C:$C,"Customer",Accounts!$H:$H,"&lt;="&amp;30)</f>
        <v/>
      </c>
      <c r="D12">
        <f>COUNTIFS(Accounts!$E:$E,CurrentSaaS!D$1,Accounts!$G:$G,CurrentSaaS!D$2,Accounts!$F:$F,CurrentSaaS!D$3,Accounts!$B:$B,"Customer",Accounts!$BJ:$BJ,"Monthly",Accounts!$C:$C,"Customer",Accounts!$H:$H,"&lt;="&amp;30)</f>
        <v/>
      </c>
      <c r="E12">
        <f>COUNTIFS(Accounts!$E:$E,CurrentSaaS!E$1,Accounts!$G:$G,CurrentSaaS!E$2,Accounts!$F:$F,CurrentSaaS!E$3,Accounts!$B:$B,"Customer",Accounts!$BJ:$BJ,"Monthly",Accounts!$C:$C,"Customer",Accounts!$H:$H,"&lt;="&amp;30)</f>
        <v/>
      </c>
      <c r="F12">
        <f>COUNTIFS(Accounts!$E:$E,CurrentSaaS!F$1,Accounts!$G:$G,CurrentSaaS!F$2,Accounts!$F:$F,CurrentSaaS!F$3,Accounts!$B:$B,"Customer",Accounts!$BJ:$BJ,"Monthly",Accounts!$C:$C,"Customer",Accounts!$H:$H,"&lt;="&amp;30)</f>
        <v/>
      </c>
      <c r="G12">
        <f>COUNTIFS(Accounts!$E:$E,CurrentSaaS!G$1,Accounts!$G:$G,CurrentSaaS!G$2,Accounts!$F:$F,CurrentSaaS!G$3,Accounts!$B:$B,"Customer",Accounts!$BJ:$BJ,"Monthly",Accounts!$C:$C,"Customer",Accounts!$H:$H,"&lt;="&amp;30)</f>
        <v/>
      </c>
      <c r="H12">
        <f>COUNTIFS(Accounts!$E:$E,CurrentSaaS!H$1,Accounts!$G:$G,CurrentSaaS!H$2,Accounts!$F:$F,CurrentSaaS!H$3,Accounts!$B:$B,"Customer",Accounts!$BJ:$BJ,"Monthly",Accounts!$C:$C,"Customer",Accounts!$H:$H,"&lt;="&amp;30)</f>
        <v/>
      </c>
      <c r="I12" s="15">
        <f>SUM(C12:H12)</f>
        <v/>
      </c>
      <c r="J12">
        <f>COUNTIFS(Accounts!$E:$E,CurrentSaaS!J$1,Accounts!$G:$G,CurrentSaaS!J$2,Accounts!$F:$F,CurrentSaaS!J$3,Accounts!$B:$B,"Customer",Accounts!$BJ:$BJ,"Monthly",Accounts!$C:$C,"Customer",Accounts!$H:$H,"&lt;="&amp;30)</f>
        <v/>
      </c>
      <c r="K12">
        <f>COUNTIFS(Accounts!$E:$E,CurrentSaaS!K$1,Accounts!$G:$G,CurrentSaaS!K$2,Accounts!$F:$F,CurrentSaaS!K$3,Accounts!$B:$B,"Customer",Accounts!$BJ:$BJ,"Monthly",Accounts!$C:$C,"Customer",Accounts!$H:$H,"&lt;="&amp;30)</f>
        <v/>
      </c>
      <c r="L12">
        <f>COUNTIFS(Accounts!$E:$E,CurrentSaaS!L$1,Accounts!$G:$G,CurrentSaaS!L$2,Accounts!$F:$F,CurrentSaaS!L$3,Accounts!$B:$B,"Customer",Accounts!$BJ:$BJ,"Monthly",Accounts!$C:$C,"Customer",Accounts!$H:$H,"&lt;="&amp;30)</f>
        <v/>
      </c>
      <c r="M12">
        <f>COUNTIFS(Accounts!$E:$E,CurrentSaaS!M$1,Accounts!$G:$G,CurrentSaaS!M$2,Accounts!$F:$F,CurrentSaaS!M$3,Accounts!$B:$B,"Customer",Accounts!$BJ:$BJ,"Monthly",Accounts!$C:$C,"Customer",Accounts!$H:$H,"&lt;="&amp;30)</f>
        <v/>
      </c>
      <c r="N12">
        <f>COUNTIFS(Accounts!$E:$E,CurrentSaaS!N$1,Accounts!$G:$G,CurrentSaaS!N$2,Accounts!$F:$F,CurrentSaaS!N$3,Accounts!$B:$B,"Customer",Accounts!$BJ:$BJ,"Monthly",Accounts!$C:$C,"Customer",Accounts!$H:$H,"&lt;="&amp;30)</f>
        <v/>
      </c>
      <c r="O12">
        <f>COUNTIFS(Accounts!$E:$E,CurrentSaaS!O$1,Accounts!$G:$G,CurrentSaaS!O$2,Accounts!$F:$F,CurrentSaaS!O$3,Accounts!$B:$B,"Customer",Accounts!$BJ:$BJ,"Monthly",Accounts!$C:$C,"Customer",Accounts!$H:$H,"&lt;="&amp;30)</f>
        <v/>
      </c>
      <c r="P12" s="15">
        <f>SUM(J12:O12)</f>
        <v/>
      </c>
      <c r="Q12">
        <f>COUNTIFS(Accounts!$E:$E,CurrentSaaS!Q$1,Accounts!$G:$G,CurrentSaaS!Q$2,Accounts!$F:$F,CurrentSaaS!Q$3,Accounts!$B:$B,"Customer",Accounts!$BJ:$BJ,"Monthly",Accounts!$C:$C,"Customer",Accounts!$H:$H,"&lt;="&amp;30)</f>
        <v/>
      </c>
      <c r="R12">
        <f>COUNTIFS(Accounts!$E:$E,CurrentSaaS!R$1,Accounts!$G:$G,CurrentSaaS!R$2,Accounts!$F:$F,CurrentSaaS!R$3,Accounts!$B:$B,"Customer",Accounts!$BJ:$BJ,"Monthly",Accounts!$C:$C,"Customer",Accounts!$H:$H,"&lt;="&amp;30)</f>
        <v/>
      </c>
      <c r="S12">
        <f>COUNTIFS(Accounts!$E:$E,CurrentSaaS!S$1,Accounts!$G:$G,CurrentSaaS!S$2,Accounts!$F:$F,CurrentSaaS!S$3,Accounts!$B:$B,"Customer",Accounts!$BJ:$BJ,"Monthly",Accounts!$C:$C,"Customer",Accounts!$H:$H,"&lt;="&amp;30)</f>
        <v/>
      </c>
      <c r="T12">
        <f>COUNTIFS(Accounts!$E:$E,CurrentSaaS!T$1,Accounts!$G:$G,CurrentSaaS!T$2,Accounts!$F:$F,CurrentSaaS!T$3,Accounts!$B:$B,"Customer",Accounts!$BJ:$BJ,"Monthly",Accounts!$C:$C,"Customer",Accounts!$H:$H,"&lt;="&amp;30)</f>
        <v/>
      </c>
      <c r="U12">
        <f>COUNTIFS(Accounts!$E:$E,CurrentSaaS!U$1,Accounts!$G:$G,CurrentSaaS!U$2,Accounts!$F:$F,CurrentSaaS!U$3,Accounts!$B:$B,"Customer",Accounts!$BJ:$BJ,"Monthly",Accounts!$C:$C,"Customer",Accounts!$H:$H,"&lt;="&amp;30)</f>
        <v/>
      </c>
      <c r="V12">
        <f>COUNTIFS(Accounts!$E:$E,CurrentSaaS!V$1,Accounts!$G:$G,CurrentSaaS!V$2,Accounts!$F:$F,CurrentSaaS!V$3,Accounts!$B:$B,"Customer",Accounts!$BJ:$BJ,"Monthly",Accounts!$C:$C,"Customer",Accounts!$H:$H,"&lt;="&amp;30)</f>
        <v/>
      </c>
      <c r="W12" s="15">
        <f>SUM(Q12:V12)</f>
        <v/>
      </c>
    </row>
    <row r="13" ht="16" customHeight="1" thickBot="1">
      <c r="A13" s="1" t="inlineStr">
        <is>
          <t xml:space="preserve">   ARPC</t>
        </is>
      </c>
      <c r="B13" s="65">
        <f>IF(B12=0,0,B14/B12)</f>
        <v/>
      </c>
      <c r="C13" s="66">
        <f>IF(C12=0,0,C14/C12)</f>
        <v/>
      </c>
      <c r="D13" s="66">
        <f>IF(D12=0,0,D14/D12)</f>
        <v/>
      </c>
      <c r="E13" s="66">
        <f>IF(E12=0,0,E14/E12)</f>
        <v/>
      </c>
      <c r="F13" s="66">
        <f>IF(F12=0,0,F14/F12)</f>
        <v/>
      </c>
      <c r="G13" s="66">
        <f>IF(G12=0,0,G14/G12)</f>
        <v/>
      </c>
      <c r="H13" s="66">
        <f>IF(H12=0,0,H14/H12)</f>
        <v/>
      </c>
      <c r="I13" s="67">
        <f>IF(I12=0,0,I14/I12)</f>
        <v/>
      </c>
      <c r="J13" s="66">
        <f>IF(J12=0,0,J14/J12)</f>
        <v/>
      </c>
      <c r="K13" s="66">
        <f>IF(K12=0,0,K14/K12)</f>
        <v/>
      </c>
      <c r="L13" s="66">
        <f>IF(L12=0,0,L14/L12)</f>
        <v/>
      </c>
      <c r="M13" s="66">
        <f>IF(M12=0,0,M14/M12)</f>
        <v/>
      </c>
      <c r="N13" s="66">
        <f>IF(N12=0,0,N14/N12)</f>
        <v/>
      </c>
      <c r="O13" s="66">
        <f>IF(O12=0,0,O14/O12)</f>
        <v/>
      </c>
      <c r="P13" s="67">
        <f>IF(P12=0,0,P14/P12)</f>
        <v/>
      </c>
      <c r="Q13" s="66">
        <f>IF(Q12=0,0,Q14/Q12)</f>
        <v/>
      </c>
      <c r="R13" s="66">
        <f>IF(R12=0,0,R14/R12)</f>
        <v/>
      </c>
      <c r="S13" s="66">
        <f>IF(S12=0,0,S14/S12)</f>
        <v/>
      </c>
      <c r="T13" s="66">
        <f>IF(T12=0,0,T14/T12)</f>
        <v/>
      </c>
      <c r="U13" s="66">
        <f>IF(U12=0,0,U14/U12)</f>
        <v/>
      </c>
      <c r="V13" s="66">
        <f>IF(V12=0,0,V14/V12)</f>
        <v/>
      </c>
      <c r="W13" s="67">
        <f>IF(W12=0,0,W14/W12)</f>
        <v/>
      </c>
    </row>
    <row r="14" ht="16" customHeight="1" thickBot="1">
      <c r="A14" s="1" t="inlineStr">
        <is>
          <t xml:space="preserve">   SaaS</t>
        </is>
      </c>
      <c r="B14" s="65">
        <f>I14+P14+W14</f>
        <v/>
      </c>
      <c r="C14" s="66">
        <f>SUMIFS(Accounts!$I:$BH,Accounts!$E:$E,CurrentSaaS!C$1,Accounts!$G:$G,CurrentSaaS!C$2,Accounts!$F:$F,CurrentSaaS!C$3,Accounts!$W:$W,0,Accounts!$C:$C,"Customer",Accounts!$BJ:$BJ,"Monthly",Accounts!$H:$H,"&lt;="&amp;30)</f>
        <v/>
      </c>
      <c r="D14" s="66">
        <f>SUMIFS(Accounts!$I:$BH,Accounts!$E:$E,CurrentSaaS!D$1,Accounts!$G:$G,CurrentSaaS!D$2,Accounts!$F:$F,CurrentSaaS!D$3,Accounts!$W:$W,0,Accounts!$C:$C,"Customer",Accounts!$BJ:$BJ,"Monthly",Accounts!$H:$H,"&lt;="&amp;30)</f>
        <v/>
      </c>
      <c r="E14" s="66">
        <f>SUMIFS(Accounts!$I:$BH,Accounts!$E:$E,CurrentSaaS!E$1,Accounts!$G:$G,CurrentSaaS!E$2,Accounts!$F:$F,CurrentSaaS!E$3,Accounts!$W:$W,0,Accounts!$C:$C,"Customer",Accounts!$BJ:$BJ,"Monthly",Accounts!$H:$H,"&lt;="&amp;30)</f>
        <v/>
      </c>
      <c r="F14" s="66">
        <f>SUMIFS(Accounts!$I:$BH,Accounts!$E:$E,CurrentSaaS!F$1,Accounts!$G:$G,CurrentSaaS!F$2,Accounts!$F:$F,CurrentSaaS!F$3,Accounts!$W:$W,0,Accounts!$C:$C,"Customer",Accounts!$BJ:$BJ,"Monthly",Accounts!$H:$H,"&lt;="&amp;30)</f>
        <v/>
      </c>
      <c r="G14" s="66">
        <f>SUMIFS(Accounts!$I:$BH,Accounts!$E:$E,CurrentSaaS!G$1,Accounts!$G:$G,CurrentSaaS!G$2,Accounts!$F:$F,CurrentSaaS!G$3,Accounts!$W:$W,0,Accounts!$C:$C,"Customer",Accounts!$BJ:$BJ,"Monthly",Accounts!$H:$H,"&lt;="&amp;30)</f>
        <v/>
      </c>
      <c r="H14" s="66">
        <f>SUMIFS(Accounts!$I:$BH,Accounts!$E:$E,CurrentSaaS!H$1,Accounts!$G:$G,CurrentSaaS!H$2,Accounts!$F:$F,CurrentSaaS!H$3,Accounts!$W:$W,0,Accounts!$C:$C,"Customer",Accounts!$BJ:$BJ,"Monthly",Accounts!$H:$H,"&lt;="&amp;30)</f>
        <v/>
      </c>
      <c r="I14" s="67">
        <f>SUM(C14:H14)</f>
        <v/>
      </c>
      <c r="J14" s="66">
        <f>SUMIFS(Accounts!$I:$BH,Accounts!$E:$E,CurrentSaaS!J$1,Accounts!$G:$G,CurrentSaaS!J$2,Accounts!$F:$F,CurrentSaaS!J$3,Accounts!$W:$W,0,Accounts!$C:$C,"Customer",Accounts!$BJ:$BJ,"Monthly",Accounts!$H:$H,"&lt;="&amp;30)</f>
        <v/>
      </c>
      <c r="K14" s="66">
        <f>SUMIFS(Accounts!$I:$BH,Accounts!$E:$E,CurrentSaaS!K$1,Accounts!$G:$G,CurrentSaaS!K$2,Accounts!$F:$F,CurrentSaaS!K$3,Accounts!$W:$W,0,Accounts!$C:$C,"Customer",Accounts!$BJ:$BJ,"Monthly",Accounts!$H:$H,"&lt;="&amp;30)</f>
        <v/>
      </c>
      <c r="L14" s="66">
        <f>SUMIFS(Accounts!$I:$BH,Accounts!$E:$E,CurrentSaaS!L$1,Accounts!$G:$G,CurrentSaaS!L$2,Accounts!$F:$F,CurrentSaaS!L$3,Accounts!$W:$W,0,Accounts!$C:$C,"Customer",Accounts!$BJ:$BJ,"Monthly",Accounts!$H:$H,"&lt;="&amp;30)</f>
        <v/>
      </c>
      <c r="M14" s="66">
        <f>SUMIFS(Accounts!$I:$BH,Accounts!$E:$E,CurrentSaaS!M$1,Accounts!$G:$G,CurrentSaaS!M$2,Accounts!$F:$F,CurrentSaaS!M$3,Accounts!$W:$W,0,Accounts!$C:$C,"Customer",Accounts!$BJ:$BJ,"Monthly",Accounts!$H:$H,"&lt;="&amp;30)</f>
        <v/>
      </c>
      <c r="N14" s="66">
        <f>SUMIFS(Accounts!$I:$BH,Accounts!$E:$E,CurrentSaaS!N$1,Accounts!$G:$G,CurrentSaaS!N$2,Accounts!$F:$F,CurrentSaaS!N$3,Accounts!$W:$W,0,Accounts!$C:$C,"Customer",Accounts!$BJ:$BJ,"Monthly",Accounts!$H:$H,"&lt;="&amp;30)</f>
        <v/>
      </c>
      <c r="O14" s="66">
        <f>SUMIFS(Accounts!$I:$BH,Accounts!$E:$E,CurrentSaaS!O$1,Accounts!$G:$G,CurrentSaaS!O$2,Accounts!$F:$F,CurrentSaaS!O$3,Accounts!$W:$W,0,Accounts!$C:$C,"Customer",Accounts!$BJ:$BJ,"Monthly",Accounts!$H:$H,"&lt;="&amp;30)</f>
        <v/>
      </c>
      <c r="P14" s="67">
        <f>SUM(J14:O14)</f>
        <v/>
      </c>
      <c r="Q14" s="66">
        <f>SUMIFS(Accounts!$I:$BH,Accounts!$E:$E,CurrentSaaS!Q$1,Accounts!$G:$G,CurrentSaaS!Q$2,Accounts!$F:$F,CurrentSaaS!Q$3,Accounts!$W:$W,0,Accounts!$C:$C,"Customer",Accounts!$BJ:$BJ,"Monthly",Accounts!$H:$H,"&lt;="&amp;30)</f>
        <v/>
      </c>
      <c r="R14" s="66">
        <f>SUMIFS(Accounts!$I:$BH,Accounts!$E:$E,CurrentSaaS!R$1,Accounts!$G:$G,CurrentSaaS!R$2,Accounts!$F:$F,CurrentSaaS!R$3,Accounts!$W:$W,0,Accounts!$C:$C,"Customer",Accounts!$BJ:$BJ,"Monthly",Accounts!$H:$H,"&lt;="&amp;30)</f>
        <v/>
      </c>
      <c r="S14" s="66">
        <f>SUMIFS(Accounts!$I:$BH,Accounts!$E:$E,CurrentSaaS!S$1,Accounts!$G:$G,CurrentSaaS!S$2,Accounts!$F:$F,CurrentSaaS!S$3,Accounts!$W:$W,0,Accounts!$C:$C,"Customer",Accounts!$BJ:$BJ,"Monthly",Accounts!$H:$H,"&lt;="&amp;30)</f>
        <v/>
      </c>
      <c r="T14" s="66">
        <f>SUMIFS(Accounts!$I:$BH,Accounts!$E:$E,CurrentSaaS!T$1,Accounts!$G:$G,CurrentSaaS!T$2,Accounts!$F:$F,CurrentSaaS!T$3,Accounts!$W:$W,0,Accounts!$C:$C,"Customer",Accounts!$BJ:$BJ,"Monthly",Accounts!$H:$H,"&lt;="&amp;30)</f>
        <v/>
      </c>
      <c r="U14" s="66">
        <f>SUMIFS(Accounts!$I:$BH,Accounts!$E:$E,CurrentSaaS!U$1,Accounts!$G:$G,CurrentSaaS!U$2,Accounts!$F:$F,CurrentSaaS!U$3,Accounts!$W:$W,0,Accounts!$C:$C,"Customer",Accounts!$BJ:$BJ,"Monthly",Accounts!$H:$H,"&lt;="&amp;30)</f>
        <v/>
      </c>
      <c r="V14" s="66">
        <f>SUMIFS(Accounts!$I:$BH,Accounts!$E:$E,CurrentSaaS!V$1,Accounts!$G:$G,CurrentSaaS!V$2,Accounts!$F:$F,CurrentSaaS!V$3,Accounts!$W:$W,0,Accounts!$C:$C,"Customer",Accounts!$BJ:$BJ,"Monthly",Accounts!$H:$H,"&lt;="&amp;30)</f>
        <v/>
      </c>
      <c r="W14" s="67">
        <f>SUM(Q14:V14)</f>
        <v/>
      </c>
    </row>
    <row r="15" ht="16" customHeight="1" thickBot="1">
      <c r="A15" s="1" t="inlineStr">
        <is>
          <t>31-60 day cohort as of BOM</t>
        </is>
      </c>
      <c r="B15" s="65" t="n"/>
      <c r="C15" s="66" t="n"/>
      <c r="D15" s="66" t="n"/>
      <c r="E15" s="66" t="n"/>
      <c r="F15" s="66" t="n"/>
      <c r="G15" s="66" t="n"/>
      <c r="H15" s="66" t="n"/>
      <c r="I15" s="67" t="n"/>
      <c r="J15" s="66" t="n"/>
      <c r="K15" s="66" t="n"/>
      <c r="L15" s="66" t="n"/>
      <c r="M15" s="66" t="n"/>
      <c r="N15" s="66" t="n"/>
      <c r="O15" s="66" t="n"/>
      <c r="P15" s="67" t="n"/>
      <c r="Q15" s="66" t="n"/>
      <c r="R15" s="66" t="n"/>
      <c r="S15" s="66" t="n"/>
      <c r="T15" s="66" t="n"/>
      <c r="U15" s="66" t="n"/>
      <c r="V15" s="66" t="n"/>
      <c r="W15" s="67" t="n"/>
    </row>
    <row r="16" ht="16" customHeight="1" thickBot="1">
      <c r="A16" s="1" t="inlineStr">
        <is>
          <t xml:space="preserve">   Retained Count</t>
        </is>
      </c>
      <c r="B16" s="9">
        <f>I16+P16+W16</f>
        <v/>
      </c>
      <c r="C16">
        <f>COUNTIFS(Accounts!$E:$E,CurrentSaaS!C$1,Accounts!$G:$G,CurrentSaaS!C$2,Accounts!$F:$F,CurrentSaaS!C$3,Accounts!$B:$B,"Customer",Accounts!$BJ:$BJ,"Monthly",Accounts!$C:$C,"Customer",Accounts!$H:$H,"&gt;"&amp;30,Accounts!$H:$H,"&lt;="&amp;60)</f>
        <v/>
      </c>
      <c r="D16">
        <f>COUNTIFS(Accounts!$E:$E,CurrentSaaS!D$1,Accounts!$G:$G,CurrentSaaS!D$2,Accounts!$F:$F,CurrentSaaS!D$3,Accounts!$B:$B,"Customer",Accounts!$BJ:$BJ,"Monthly",Accounts!$C:$C,"Customer",Accounts!$H:$H,"&gt;"&amp;30,Accounts!$H:$H,"&lt;="&amp;60)</f>
        <v/>
      </c>
      <c r="E16">
        <f>COUNTIFS(Accounts!$E:$E,CurrentSaaS!E$1,Accounts!$G:$G,CurrentSaaS!E$2,Accounts!$F:$F,CurrentSaaS!E$3,Accounts!$B:$B,"Customer",Accounts!$BJ:$BJ,"Monthly",Accounts!$C:$C,"Customer",Accounts!$H:$H,"&gt;"&amp;30,Accounts!$H:$H,"&lt;="&amp;60)</f>
        <v/>
      </c>
      <c r="F16">
        <f>COUNTIFS(Accounts!$E:$E,CurrentSaaS!F$1,Accounts!$G:$G,CurrentSaaS!F$2,Accounts!$F:$F,CurrentSaaS!F$3,Accounts!$B:$B,"Customer",Accounts!$BJ:$BJ,"Monthly",Accounts!$C:$C,"Customer",Accounts!$H:$H,"&gt;"&amp;30,Accounts!$H:$H,"&lt;="&amp;60)</f>
        <v/>
      </c>
      <c r="G16">
        <f>COUNTIFS(Accounts!$E:$E,CurrentSaaS!G$1,Accounts!$G:$G,CurrentSaaS!G$2,Accounts!$F:$F,CurrentSaaS!G$3,Accounts!$B:$B,"Customer",Accounts!$BJ:$BJ,"Monthly",Accounts!$C:$C,"Customer",Accounts!$H:$H,"&gt;"&amp;30,Accounts!$H:$H,"&lt;="&amp;60)</f>
        <v/>
      </c>
      <c r="H16">
        <f>COUNTIFS(Accounts!$E:$E,CurrentSaaS!H$1,Accounts!$G:$G,CurrentSaaS!H$2,Accounts!$F:$F,CurrentSaaS!H$3,Accounts!$B:$B,"Customer",Accounts!$BJ:$BJ,"Monthly",Accounts!$C:$C,"Customer",Accounts!$H:$H,"&gt;"&amp;30,Accounts!$H:$H,"&lt;="&amp;60)</f>
        <v/>
      </c>
      <c r="I16" s="15">
        <f>SUM(C16:H16)</f>
        <v/>
      </c>
      <c r="J16">
        <f>COUNTIFS(Accounts!$E:$E,CurrentSaaS!J$1,Accounts!$G:$G,CurrentSaaS!J$2,Accounts!$F:$F,CurrentSaaS!J$3,Accounts!$B:$B,"Customer",Accounts!$BJ:$BJ,"Monthly",Accounts!$C:$C,"Customer",Accounts!$H:$H,"&gt;"&amp;30,Accounts!$H:$H,"&lt;="&amp;60)</f>
        <v/>
      </c>
      <c r="K16">
        <f>COUNTIFS(Accounts!$E:$E,CurrentSaaS!K$1,Accounts!$G:$G,CurrentSaaS!K$2,Accounts!$F:$F,CurrentSaaS!K$3,Accounts!$B:$B,"Customer",Accounts!$BJ:$BJ,"Monthly",Accounts!$C:$C,"Customer",Accounts!$H:$H,"&gt;"&amp;30,Accounts!$H:$H,"&lt;="&amp;60)</f>
        <v/>
      </c>
      <c r="L16">
        <f>COUNTIFS(Accounts!$E:$E,CurrentSaaS!L$1,Accounts!$G:$G,CurrentSaaS!L$2,Accounts!$F:$F,CurrentSaaS!L$3,Accounts!$B:$B,"Customer",Accounts!$BJ:$BJ,"Monthly",Accounts!$C:$C,"Customer",Accounts!$H:$H,"&gt;"&amp;30,Accounts!$H:$H,"&lt;="&amp;60)</f>
        <v/>
      </c>
      <c r="M16">
        <f>COUNTIFS(Accounts!$E:$E,CurrentSaaS!M$1,Accounts!$G:$G,CurrentSaaS!M$2,Accounts!$F:$F,CurrentSaaS!M$3,Accounts!$B:$B,"Customer",Accounts!$BJ:$BJ,"Monthly",Accounts!$C:$C,"Customer",Accounts!$H:$H,"&gt;"&amp;30,Accounts!$H:$H,"&lt;="&amp;60)</f>
        <v/>
      </c>
      <c r="N16">
        <f>COUNTIFS(Accounts!$E:$E,CurrentSaaS!N$1,Accounts!$G:$G,CurrentSaaS!N$2,Accounts!$F:$F,CurrentSaaS!N$3,Accounts!$B:$B,"Customer",Accounts!$BJ:$BJ,"Monthly",Accounts!$C:$C,"Customer",Accounts!$H:$H,"&gt;"&amp;30,Accounts!$H:$H,"&lt;="&amp;60)</f>
        <v/>
      </c>
      <c r="O16">
        <f>COUNTIFS(Accounts!$E:$E,CurrentSaaS!O$1,Accounts!$G:$G,CurrentSaaS!O$2,Accounts!$F:$F,CurrentSaaS!O$3,Accounts!$B:$B,"Customer",Accounts!$BJ:$BJ,"Monthly",Accounts!$C:$C,"Customer",Accounts!$H:$H,"&gt;"&amp;30,Accounts!$H:$H,"&lt;="&amp;60)</f>
        <v/>
      </c>
      <c r="P16" s="15">
        <f>SUM(J16:O16)</f>
        <v/>
      </c>
      <c r="Q16">
        <f>COUNTIFS(Accounts!$E:$E,CurrentSaaS!Q$1,Accounts!$G:$G,CurrentSaaS!Q$2,Accounts!$F:$F,CurrentSaaS!Q$3,Accounts!$B:$B,"Customer",Accounts!$BJ:$BJ,"Monthly",Accounts!$C:$C,"Customer",Accounts!$H:$H,"&gt;"&amp;30,Accounts!$H:$H,"&lt;="&amp;60)</f>
        <v/>
      </c>
      <c r="R16">
        <f>COUNTIFS(Accounts!$E:$E,CurrentSaaS!R$1,Accounts!$G:$G,CurrentSaaS!R$2,Accounts!$F:$F,CurrentSaaS!R$3,Accounts!$B:$B,"Customer",Accounts!$BJ:$BJ,"Monthly",Accounts!$C:$C,"Customer",Accounts!$H:$H,"&gt;"&amp;30,Accounts!$H:$H,"&lt;="&amp;60)</f>
        <v/>
      </c>
      <c r="S16">
        <f>COUNTIFS(Accounts!$E:$E,CurrentSaaS!S$1,Accounts!$G:$G,CurrentSaaS!S$2,Accounts!$F:$F,CurrentSaaS!S$3,Accounts!$B:$B,"Customer",Accounts!$BJ:$BJ,"Monthly",Accounts!$C:$C,"Customer",Accounts!$H:$H,"&gt;"&amp;30,Accounts!$H:$H,"&lt;="&amp;60)</f>
        <v/>
      </c>
      <c r="T16">
        <f>COUNTIFS(Accounts!$E:$E,CurrentSaaS!T$1,Accounts!$G:$G,CurrentSaaS!T$2,Accounts!$F:$F,CurrentSaaS!T$3,Accounts!$B:$B,"Customer",Accounts!$BJ:$BJ,"Monthly",Accounts!$C:$C,"Customer",Accounts!$H:$H,"&gt;"&amp;30,Accounts!$H:$H,"&lt;="&amp;60)</f>
        <v/>
      </c>
      <c r="U16">
        <f>COUNTIFS(Accounts!$E:$E,CurrentSaaS!U$1,Accounts!$G:$G,CurrentSaaS!U$2,Accounts!$F:$F,CurrentSaaS!U$3,Accounts!$B:$B,"Customer",Accounts!$BJ:$BJ,"Monthly",Accounts!$C:$C,"Customer",Accounts!$H:$H,"&gt;"&amp;30,Accounts!$H:$H,"&lt;="&amp;60)</f>
        <v/>
      </c>
      <c r="V16">
        <f>COUNTIFS(Accounts!$E:$E,CurrentSaaS!V$1,Accounts!$G:$G,CurrentSaaS!V$2,Accounts!$F:$F,CurrentSaaS!V$3,Accounts!$B:$B,"Customer",Accounts!$BJ:$BJ,"Monthly",Accounts!$C:$C,"Customer",Accounts!$H:$H,"&gt;"&amp;30,Accounts!$H:$H,"&lt;="&amp;60)</f>
        <v/>
      </c>
      <c r="W16" s="15">
        <f>SUM(Q16:V16)</f>
        <v/>
      </c>
    </row>
    <row r="17" ht="16" customHeight="1" thickBot="1">
      <c r="A17" s="1" t="inlineStr">
        <is>
          <t xml:space="preserve">   ARPC</t>
        </is>
      </c>
      <c r="B17" s="65">
        <f>IF(B16=0,0,B18/B16)</f>
        <v/>
      </c>
      <c r="C17" s="66">
        <f>IF(C16=0,0,C18/C16)</f>
        <v/>
      </c>
      <c r="D17" s="66">
        <f>IF(D16=0,0,D18/D16)</f>
        <v/>
      </c>
      <c r="E17" s="66">
        <f>IF(E16=0,0,E18/E16)</f>
        <v/>
      </c>
      <c r="F17" s="66">
        <f>IF(F16=0,0,F18/F16)</f>
        <v/>
      </c>
      <c r="G17" s="66">
        <f>IF(G16=0,0,G18/G16)</f>
        <v/>
      </c>
      <c r="H17" s="66">
        <f>IF(H16=0,0,H18/H16)</f>
        <v/>
      </c>
      <c r="I17" s="67">
        <f>IF(I16=0,0,I18/I16)</f>
        <v/>
      </c>
      <c r="J17" s="66">
        <f>IF(J16=0,0,J18/J16)</f>
        <v/>
      </c>
      <c r="K17" s="66">
        <f>IF(K16=0,0,K18/K16)</f>
        <v/>
      </c>
      <c r="L17" s="66">
        <f>IF(L16=0,0,L18/L16)</f>
        <v/>
      </c>
      <c r="M17" s="66">
        <f>IF(M16=0,0,M18/M16)</f>
        <v/>
      </c>
      <c r="N17" s="66">
        <f>IF(N16=0,0,N18/N16)</f>
        <v/>
      </c>
      <c r="O17" s="66">
        <f>IF(O16=0,0,O18/O16)</f>
        <v/>
      </c>
      <c r="P17" s="67">
        <f>IF(P16=0,0,P18/P16)</f>
        <v/>
      </c>
      <c r="Q17" s="66">
        <f>IF(Q16=0,0,Q18/Q16)</f>
        <v/>
      </c>
      <c r="R17" s="66">
        <f>IF(R16=0,0,R18/R16)</f>
        <v/>
      </c>
      <c r="S17" s="66">
        <f>IF(S16=0,0,S18/S16)</f>
        <v/>
      </c>
      <c r="T17" s="66">
        <f>IF(T16=0,0,T18/T16)</f>
        <v/>
      </c>
      <c r="U17" s="66">
        <f>IF(U16=0,0,U18/U16)</f>
        <v/>
      </c>
      <c r="V17" s="66">
        <f>IF(V16=0,0,V18/V16)</f>
        <v/>
      </c>
      <c r="W17" s="67">
        <f>IF(W16=0,0,W18/W16)</f>
        <v/>
      </c>
    </row>
    <row r="18" ht="16" customHeight="1" thickBot="1">
      <c r="A18" s="1" t="inlineStr">
        <is>
          <t xml:space="preserve">   SaaS</t>
        </is>
      </c>
      <c r="B18" s="65">
        <f>I18+P18+W18</f>
        <v/>
      </c>
      <c r="C18" s="66">
        <f>SUMIFS(Accounts!$I:$BH,Accounts!$E:$E,CurrentSaaS!C$1,Accounts!$G:$G,CurrentSaaS!C$2,Accounts!$F:$F,CurrentSaaS!C$3,Accounts!$W:$W,0,Accounts!$C:$C,"Customer",Accounts!$BJ:$BJ,"Monthly",Accounts!$H:$H,"&gt;"&amp;30,Accounts!$H:$H,"&lt;="&amp;60)</f>
        <v/>
      </c>
      <c r="D18" s="66">
        <f>SUMIFS(Accounts!$I:$BH,Accounts!$E:$E,CurrentSaaS!D$1,Accounts!$G:$G,CurrentSaaS!D$2,Accounts!$F:$F,CurrentSaaS!D$3,Accounts!$W:$W,0,Accounts!$C:$C,"Customer",Accounts!$BJ:$BJ,"Monthly",Accounts!$H:$H,"&gt;"&amp;30,Accounts!$H:$H,"&lt;="&amp;60)</f>
        <v/>
      </c>
      <c r="E18" s="66">
        <f>SUMIFS(Accounts!$I:$BH,Accounts!$E:$E,CurrentSaaS!E$1,Accounts!$G:$G,CurrentSaaS!E$2,Accounts!$F:$F,CurrentSaaS!E$3,Accounts!$W:$W,0,Accounts!$C:$C,"Customer",Accounts!$BJ:$BJ,"Monthly",Accounts!$H:$H,"&gt;"&amp;30,Accounts!$H:$H,"&lt;="&amp;60)</f>
        <v/>
      </c>
      <c r="F18" s="66">
        <f>SUMIFS(Accounts!$I:$BH,Accounts!$E:$E,CurrentSaaS!F$1,Accounts!$G:$G,CurrentSaaS!F$2,Accounts!$F:$F,CurrentSaaS!F$3,Accounts!$W:$W,0,Accounts!$C:$C,"Customer",Accounts!$BJ:$BJ,"Monthly",Accounts!$H:$H,"&gt;"&amp;30,Accounts!$H:$H,"&lt;="&amp;60)</f>
        <v/>
      </c>
      <c r="G18" s="66">
        <f>SUMIFS(Accounts!$I:$BH,Accounts!$E:$E,CurrentSaaS!G$1,Accounts!$G:$G,CurrentSaaS!G$2,Accounts!$F:$F,CurrentSaaS!G$3,Accounts!$W:$W,0,Accounts!$C:$C,"Customer",Accounts!$BJ:$BJ,"Monthly",Accounts!$H:$H,"&gt;"&amp;30,Accounts!$H:$H,"&lt;="&amp;60)</f>
        <v/>
      </c>
      <c r="H18" s="66">
        <f>SUMIFS(Accounts!$I:$BH,Accounts!$E:$E,CurrentSaaS!H$1,Accounts!$G:$G,CurrentSaaS!H$2,Accounts!$F:$F,CurrentSaaS!H$3,Accounts!$W:$W,0,Accounts!$C:$C,"Customer",Accounts!$BJ:$BJ,"Monthly",Accounts!$H:$H,"&gt;"&amp;30,Accounts!$H:$H,"&lt;="&amp;60)</f>
        <v/>
      </c>
      <c r="I18" s="67">
        <f>SUM(C18:H18)</f>
        <v/>
      </c>
      <c r="J18" s="66">
        <f>SUMIFS(Accounts!$I:$BH,Accounts!$E:$E,CurrentSaaS!J$1,Accounts!$G:$G,CurrentSaaS!J$2,Accounts!$F:$F,CurrentSaaS!J$3,Accounts!$W:$W,0,Accounts!$C:$C,"Customer",Accounts!$BJ:$BJ,"Monthly",Accounts!$H:$H,"&gt;"&amp;30,Accounts!$H:$H,"&lt;="&amp;60)</f>
        <v/>
      </c>
      <c r="K18" s="66">
        <f>SUMIFS(Accounts!$I:$BH,Accounts!$E:$E,CurrentSaaS!K$1,Accounts!$G:$G,CurrentSaaS!K$2,Accounts!$F:$F,CurrentSaaS!K$3,Accounts!$W:$W,0,Accounts!$C:$C,"Customer",Accounts!$BJ:$BJ,"Monthly",Accounts!$H:$H,"&gt;"&amp;30,Accounts!$H:$H,"&lt;="&amp;60)</f>
        <v/>
      </c>
      <c r="L18" s="66">
        <f>SUMIFS(Accounts!$I:$BH,Accounts!$E:$E,CurrentSaaS!L$1,Accounts!$G:$G,CurrentSaaS!L$2,Accounts!$F:$F,CurrentSaaS!L$3,Accounts!$W:$W,0,Accounts!$C:$C,"Customer",Accounts!$BJ:$BJ,"Monthly",Accounts!$H:$H,"&gt;"&amp;30,Accounts!$H:$H,"&lt;="&amp;60)</f>
        <v/>
      </c>
      <c r="M18" s="66">
        <f>SUMIFS(Accounts!$I:$BH,Accounts!$E:$E,CurrentSaaS!M$1,Accounts!$G:$G,CurrentSaaS!M$2,Accounts!$F:$F,CurrentSaaS!M$3,Accounts!$W:$W,0,Accounts!$C:$C,"Customer",Accounts!$BJ:$BJ,"Monthly",Accounts!$H:$H,"&gt;"&amp;30,Accounts!$H:$H,"&lt;="&amp;60)</f>
        <v/>
      </c>
      <c r="N18" s="66">
        <f>SUMIFS(Accounts!$I:$BH,Accounts!$E:$E,CurrentSaaS!N$1,Accounts!$G:$G,CurrentSaaS!N$2,Accounts!$F:$F,CurrentSaaS!N$3,Accounts!$W:$W,0,Accounts!$C:$C,"Customer",Accounts!$BJ:$BJ,"Monthly",Accounts!$H:$H,"&gt;"&amp;30,Accounts!$H:$H,"&lt;="&amp;60)</f>
        <v/>
      </c>
      <c r="O18" s="66">
        <f>SUMIFS(Accounts!$I:$BH,Accounts!$E:$E,CurrentSaaS!O$1,Accounts!$G:$G,CurrentSaaS!O$2,Accounts!$F:$F,CurrentSaaS!O$3,Accounts!$W:$W,0,Accounts!$C:$C,"Customer",Accounts!$BJ:$BJ,"Monthly",Accounts!$H:$H,"&gt;"&amp;30,Accounts!$H:$H,"&lt;="&amp;60)</f>
        <v/>
      </c>
      <c r="P18" s="67">
        <f>SUM(J18:O18)</f>
        <v/>
      </c>
      <c r="Q18" s="66">
        <f>SUMIFS(Accounts!$I:$BH,Accounts!$E:$E,CurrentSaaS!Q$1,Accounts!$G:$G,CurrentSaaS!Q$2,Accounts!$F:$F,CurrentSaaS!Q$3,Accounts!$W:$W,0,Accounts!$C:$C,"Customer",Accounts!$BJ:$BJ,"Monthly",Accounts!$H:$H,"&gt;"&amp;30,Accounts!$H:$H,"&lt;="&amp;60)</f>
        <v/>
      </c>
      <c r="R18" s="66">
        <f>SUMIFS(Accounts!$I:$BH,Accounts!$E:$E,CurrentSaaS!R$1,Accounts!$G:$G,CurrentSaaS!R$2,Accounts!$F:$F,CurrentSaaS!R$3,Accounts!$W:$W,0,Accounts!$C:$C,"Customer",Accounts!$BJ:$BJ,"Monthly",Accounts!$H:$H,"&gt;"&amp;30,Accounts!$H:$H,"&lt;="&amp;60)</f>
        <v/>
      </c>
      <c r="S18" s="66">
        <f>SUMIFS(Accounts!$I:$BH,Accounts!$E:$E,CurrentSaaS!S$1,Accounts!$G:$G,CurrentSaaS!S$2,Accounts!$F:$F,CurrentSaaS!S$3,Accounts!$W:$W,0,Accounts!$C:$C,"Customer",Accounts!$BJ:$BJ,"Monthly",Accounts!$H:$H,"&gt;"&amp;30,Accounts!$H:$H,"&lt;="&amp;60)</f>
        <v/>
      </c>
      <c r="T18" s="66">
        <f>SUMIFS(Accounts!$I:$BH,Accounts!$E:$E,CurrentSaaS!T$1,Accounts!$G:$G,CurrentSaaS!T$2,Accounts!$F:$F,CurrentSaaS!T$3,Accounts!$W:$W,0,Accounts!$C:$C,"Customer",Accounts!$BJ:$BJ,"Monthly",Accounts!$H:$H,"&gt;"&amp;30,Accounts!$H:$H,"&lt;="&amp;60)</f>
        <v/>
      </c>
      <c r="U18" s="66">
        <f>SUMIFS(Accounts!$I:$BH,Accounts!$E:$E,CurrentSaaS!U$1,Accounts!$G:$G,CurrentSaaS!U$2,Accounts!$F:$F,CurrentSaaS!U$3,Accounts!$W:$W,0,Accounts!$C:$C,"Customer",Accounts!$BJ:$BJ,"Monthly",Accounts!$H:$H,"&gt;"&amp;30,Accounts!$H:$H,"&lt;="&amp;60)</f>
        <v/>
      </c>
      <c r="V18" s="66">
        <f>SUMIFS(Accounts!$I:$BH,Accounts!$E:$E,CurrentSaaS!V$1,Accounts!$G:$G,CurrentSaaS!V$2,Accounts!$F:$F,CurrentSaaS!V$3,Accounts!$W:$W,0,Accounts!$C:$C,"Customer",Accounts!$BJ:$BJ,"Monthly",Accounts!$H:$H,"&gt;"&amp;30,Accounts!$H:$H,"&lt;="&amp;60)</f>
        <v/>
      </c>
      <c r="W18" s="67">
        <f>SUM(Q18:V18)</f>
        <v/>
      </c>
    </row>
    <row r="19" ht="16" customHeight="1" thickBot="1">
      <c r="A19" s="1" t="inlineStr">
        <is>
          <t>61-180 day cohort as of BOM</t>
        </is>
      </c>
      <c r="B19" s="65" t="n"/>
      <c r="C19" s="66" t="n"/>
      <c r="D19" s="66" t="n"/>
      <c r="E19" s="66" t="n"/>
      <c r="F19" s="66" t="n"/>
      <c r="G19" s="66" t="n"/>
      <c r="H19" s="66" t="n"/>
      <c r="I19" s="67" t="n"/>
      <c r="J19" s="66" t="n"/>
      <c r="K19" s="66" t="n"/>
      <c r="L19" s="66" t="n"/>
      <c r="M19" s="66" t="n"/>
      <c r="N19" s="66" t="n"/>
      <c r="O19" s="66" t="n"/>
      <c r="P19" s="67" t="n"/>
      <c r="Q19" s="66" t="n"/>
      <c r="R19" s="66" t="n"/>
      <c r="S19" s="66" t="n"/>
      <c r="T19" s="66" t="n"/>
      <c r="U19" s="66" t="n"/>
      <c r="V19" s="66" t="n"/>
      <c r="W19" s="67" t="n"/>
    </row>
    <row r="20" ht="16" customHeight="1" thickBot="1">
      <c r="A20" s="1" t="inlineStr">
        <is>
          <t xml:space="preserve">   Retained Count</t>
        </is>
      </c>
      <c r="B20" s="9">
        <f>I20+P20+W20</f>
        <v/>
      </c>
      <c r="C20">
        <f>COUNTIFS(Accounts!$E:$E,CurrentSaaS!C$1,Accounts!$G:$G,CurrentSaaS!C$2,Accounts!$F:$F,CurrentSaaS!C$3,Accounts!$B:$B,"Customer",Accounts!$BJ:$BJ,"Monthly",Accounts!$C:$C,"Customer",Accounts!$H:$H,"&gt;"&amp;60,Accounts!$H:$H,"&lt;="&amp;180)</f>
        <v/>
      </c>
      <c r="D20">
        <f>COUNTIFS(Accounts!$E:$E,CurrentSaaS!D$1,Accounts!$G:$G,CurrentSaaS!D$2,Accounts!$F:$F,CurrentSaaS!D$3,Accounts!$B:$B,"Customer",Accounts!$BJ:$BJ,"Monthly",Accounts!$C:$C,"Customer",Accounts!$H:$H,"&gt;"&amp;60,Accounts!$H:$H,"&lt;="&amp;180)</f>
        <v/>
      </c>
      <c r="E20">
        <f>COUNTIFS(Accounts!$E:$E,CurrentSaaS!E$1,Accounts!$G:$G,CurrentSaaS!E$2,Accounts!$F:$F,CurrentSaaS!E$3,Accounts!$B:$B,"Customer",Accounts!$BJ:$BJ,"Monthly",Accounts!$C:$C,"Customer",Accounts!$H:$H,"&gt;"&amp;60,Accounts!$H:$H,"&lt;="&amp;180)</f>
        <v/>
      </c>
      <c r="F20">
        <f>COUNTIFS(Accounts!$E:$E,CurrentSaaS!F$1,Accounts!$G:$G,CurrentSaaS!F$2,Accounts!$F:$F,CurrentSaaS!F$3,Accounts!$B:$B,"Customer",Accounts!$BJ:$BJ,"Monthly",Accounts!$C:$C,"Customer",Accounts!$H:$H,"&gt;"&amp;60,Accounts!$H:$H,"&lt;="&amp;180)</f>
        <v/>
      </c>
      <c r="G20">
        <f>COUNTIFS(Accounts!$E:$E,CurrentSaaS!G$1,Accounts!$G:$G,CurrentSaaS!G$2,Accounts!$F:$F,CurrentSaaS!G$3,Accounts!$B:$B,"Customer",Accounts!$BJ:$BJ,"Monthly",Accounts!$C:$C,"Customer",Accounts!$H:$H,"&gt;"&amp;60,Accounts!$H:$H,"&lt;="&amp;180)</f>
        <v/>
      </c>
      <c r="H20">
        <f>COUNTIFS(Accounts!$E:$E,CurrentSaaS!H$1,Accounts!$G:$G,CurrentSaaS!H$2,Accounts!$F:$F,CurrentSaaS!H$3,Accounts!$B:$B,"Customer",Accounts!$BJ:$BJ,"Monthly",Accounts!$C:$C,"Customer",Accounts!$H:$H,"&gt;"&amp;60,Accounts!$H:$H,"&lt;="&amp;180)</f>
        <v/>
      </c>
      <c r="I20" s="15">
        <f>SUM(C20:H20)</f>
        <v/>
      </c>
      <c r="J20">
        <f>COUNTIFS(Accounts!$E:$E,CurrentSaaS!J$1,Accounts!$G:$G,CurrentSaaS!J$2,Accounts!$F:$F,CurrentSaaS!J$3,Accounts!$B:$B,"Customer",Accounts!$BJ:$BJ,"Monthly",Accounts!$C:$C,"Customer",Accounts!$H:$H,"&gt;"&amp;60,Accounts!$H:$H,"&lt;="&amp;180)</f>
        <v/>
      </c>
      <c r="K20">
        <f>COUNTIFS(Accounts!$E:$E,CurrentSaaS!K$1,Accounts!$G:$G,CurrentSaaS!K$2,Accounts!$F:$F,CurrentSaaS!K$3,Accounts!$B:$B,"Customer",Accounts!$BJ:$BJ,"Monthly",Accounts!$C:$C,"Customer",Accounts!$H:$H,"&gt;"&amp;60,Accounts!$H:$H,"&lt;="&amp;180)</f>
        <v/>
      </c>
      <c r="L20">
        <f>COUNTIFS(Accounts!$E:$E,CurrentSaaS!L$1,Accounts!$G:$G,CurrentSaaS!L$2,Accounts!$F:$F,CurrentSaaS!L$3,Accounts!$B:$B,"Customer",Accounts!$BJ:$BJ,"Monthly",Accounts!$C:$C,"Customer",Accounts!$H:$H,"&gt;"&amp;60,Accounts!$H:$H,"&lt;="&amp;180)</f>
        <v/>
      </c>
      <c r="M20">
        <f>COUNTIFS(Accounts!$E:$E,CurrentSaaS!M$1,Accounts!$G:$G,CurrentSaaS!M$2,Accounts!$F:$F,CurrentSaaS!M$3,Accounts!$B:$B,"Customer",Accounts!$BJ:$BJ,"Monthly",Accounts!$C:$C,"Customer",Accounts!$H:$H,"&gt;"&amp;60,Accounts!$H:$H,"&lt;="&amp;180)</f>
        <v/>
      </c>
      <c r="N20">
        <f>COUNTIFS(Accounts!$E:$E,CurrentSaaS!N$1,Accounts!$G:$G,CurrentSaaS!N$2,Accounts!$F:$F,CurrentSaaS!N$3,Accounts!$B:$B,"Customer",Accounts!$BJ:$BJ,"Monthly",Accounts!$C:$C,"Customer",Accounts!$H:$H,"&gt;"&amp;60,Accounts!$H:$H,"&lt;="&amp;180)</f>
        <v/>
      </c>
      <c r="O20">
        <f>COUNTIFS(Accounts!$E:$E,CurrentSaaS!O$1,Accounts!$G:$G,CurrentSaaS!O$2,Accounts!$F:$F,CurrentSaaS!O$3,Accounts!$B:$B,"Customer",Accounts!$BJ:$BJ,"Monthly",Accounts!$C:$C,"Customer",Accounts!$H:$H,"&gt;"&amp;60,Accounts!$H:$H,"&lt;="&amp;180)</f>
        <v/>
      </c>
      <c r="P20" s="15">
        <f>SUM(J20:O20)</f>
        <v/>
      </c>
      <c r="Q20">
        <f>COUNTIFS(Accounts!$E:$E,CurrentSaaS!Q$1,Accounts!$G:$G,CurrentSaaS!Q$2,Accounts!$F:$F,CurrentSaaS!Q$3,Accounts!$B:$B,"Customer",Accounts!$BJ:$BJ,"Monthly",Accounts!$C:$C,"Customer",Accounts!$H:$H,"&gt;"&amp;60,Accounts!$H:$H,"&lt;="&amp;180)</f>
        <v/>
      </c>
      <c r="R20">
        <f>COUNTIFS(Accounts!$E:$E,CurrentSaaS!R$1,Accounts!$G:$G,CurrentSaaS!R$2,Accounts!$F:$F,CurrentSaaS!R$3,Accounts!$B:$B,"Customer",Accounts!$BJ:$BJ,"Monthly",Accounts!$C:$C,"Customer",Accounts!$H:$H,"&gt;"&amp;60,Accounts!$H:$H,"&lt;="&amp;180)</f>
        <v/>
      </c>
      <c r="S20">
        <f>COUNTIFS(Accounts!$E:$E,CurrentSaaS!S$1,Accounts!$G:$G,CurrentSaaS!S$2,Accounts!$F:$F,CurrentSaaS!S$3,Accounts!$B:$B,"Customer",Accounts!$BJ:$BJ,"Monthly",Accounts!$C:$C,"Customer",Accounts!$H:$H,"&gt;"&amp;60,Accounts!$H:$H,"&lt;="&amp;180)</f>
        <v/>
      </c>
      <c r="T20">
        <f>COUNTIFS(Accounts!$E:$E,CurrentSaaS!T$1,Accounts!$G:$G,CurrentSaaS!T$2,Accounts!$F:$F,CurrentSaaS!T$3,Accounts!$B:$B,"Customer",Accounts!$BJ:$BJ,"Monthly",Accounts!$C:$C,"Customer",Accounts!$H:$H,"&gt;"&amp;60,Accounts!$H:$H,"&lt;="&amp;180)</f>
        <v/>
      </c>
      <c r="U20">
        <f>COUNTIFS(Accounts!$E:$E,CurrentSaaS!U$1,Accounts!$G:$G,CurrentSaaS!U$2,Accounts!$F:$F,CurrentSaaS!U$3,Accounts!$B:$B,"Customer",Accounts!$BJ:$BJ,"Monthly",Accounts!$C:$C,"Customer",Accounts!$H:$H,"&gt;"&amp;60,Accounts!$H:$H,"&lt;="&amp;180)</f>
        <v/>
      </c>
      <c r="V20">
        <f>COUNTIFS(Accounts!$E:$E,CurrentSaaS!V$1,Accounts!$G:$G,CurrentSaaS!V$2,Accounts!$F:$F,CurrentSaaS!V$3,Accounts!$B:$B,"Customer",Accounts!$BJ:$BJ,"Monthly",Accounts!$C:$C,"Customer",Accounts!$H:$H,"&gt;"&amp;60,Accounts!$H:$H,"&lt;="&amp;180)</f>
        <v/>
      </c>
      <c r="W20" s="15">
        <f>SUM(Q20:V20)</f>
        <v/>
      </c>
    </row>
    <row r="21" ht="16" customHeight="1" thickBot="1">
      <c r="A21" s="1" t="inlineStr">
        <is>
          <t xml:space="preserve">   ARPC</t>
        </is>
      </c>
      <c r="B21" s="65">
        <f>IF(B20=0,0,B22/B20)</f>
        <v/>
      </c>
      <c r="C21" s="66">
        <f>IF(C20=0,0,C22/C20)</f>
        <v/>
      </c>
      <c r="D21" s="66">
        <f>IF(D20=0,0,D22/D20)</f>
        <v/>
      </c>
      <c r="E21" s="66">
        <f>IF(E20=0,0,E22/E20)</f>
        <v/>
      </c>
      <c r="F21" s="66">
        <f>IF(F20=0,0,F22/F20)</f>
        <v/>
      </c>
      <c r="G21" s="66">
        <f>IF(G20=0,0,G22/G20)</f>
        <v/>
      </c>
      <c r="H21" s="66">
        <f>IF(H20=0,0,H22/H20)</f>
        <v/>
      </c>
      <c r="I21" s="67">
        <f>IF(I20=0,0,I22/I20)</f>
        <v/>
      </c>
      <c r="J21" s="66">
        <f>IF(J20=0,0,J22/J20)</f>
        <v/>
      </c>
      <c r="K21" s="66">
        <f>IF(K20=0,0,K22/K20)</f>
        <v/>
      </c>
      <c r="L21" s="66">
        <f>IF(L20=0,0,L22/L20)</f>
        <v/>
      </c>
      <c r="M21" s="66">
        <f>IF(M20=0,0,M22/M20)</f>
        <v/>
      </c>
      <c r="N21" s="66">
        <f>IF(N20=0,0,N22/N20)</f>
        <v/>
      </c>
      <c r="O21" s="66">
        <f>IF(O20=0,0,O22/O20)</f>
        <v/>
      </c>
      <c r="P21" s="67">
        <f>IF(P20=0,0,P22/P20)</f>
        <v/>
      </c>
      <c r="Q21" s="66">
        <f>IF(Q20=0,0,Q22/Q20)</f>
        <v/>
      </c>
      <c r="R21" s="66">
        <f>IF(R20=0,0,R22/R20)</f>
        <v/>
      </c>
      <c r="S21" s="66">
        <f>IF(S20=0,0,S22/S20)</f>
        <v/>
      </c>
      <c r="T21" s="66">
        <f>IF(T20=0,0,T22/T20)</f>
        <v/>
      </c>
      <c r="U21" s="66">
        <f>IF(U20=0,0,U22/U20)</f>
        <v/>
      </c>
      <c r="V21" s="66">
        <f>IF(V20=0,0,V22/V20)</f>
        <v/>
      </c>
      <c r="W21" s="67">
        <f>IF(W20=0,0,W22/W20)</f>
        <v/>
      </c>
    </row>
    <row r="22" ht="16" customHeight="1" thickBot="1">
      <c r="A22" s="1" t="inlineStr">
        <is>
          <t xml:space="preserve">   SaaS</t>
        </is>
      </c>
      <c r="B22" s="65">
        <f>I22+P22+W22</f>
        <v/>
      </c>
      <c r="C22" s="66">
        <f>SUMIFS(Accounts!$I:$BH,Accounts!$E:$E,CurrentSaaS!C$1,Accounts!$G:$G,CurrentSaaS!C$2,Accounts!$F:$F,CurrentSaaS!C$3,Accounts!$W:$W,0,Accounts!$C:$C,"Customer",Accounts!$BJ:$BJ,"Monthly",Accounts!$H:$H,"&gt;"&amp;60,Accounts!$H:$H,"&lt;="&amp;180)</f>
        <v/>
      </c>
      <c r="D22" s="66">
        <f>SUMIFS(Accounts!$I:$BH,Accounts!$E:$E,CurrentSaaS!D$1,Accounts!$G:$G,CurrentSaaS!D$2,Accounts!$F:$F,CurrentSaaS!D$3,Accounts!$W:$W,0,Accounts!$C:$C,"Customer",Accounts!$BJ:$BJ,"Monthly",Accounts!$H:$H,"&gt;"&amp;60,Accounts!$H:$H,"&lt;="&amp;180)</f>
        <v/>
      </c>
      <c r="E22" s="66">
        <f>SUMIFS(Accounts!$I:$BH,Accounts!$E:$E,CurrentSaaS!E$1,Accounts!$G:$G,CurrentSaaS!E$2,Accounts!$F:$F,CurrentSaaS!E$3,Accounts!$W:$W,0,Accounts!$C:$C,"Customer",Accounts!$BJ:$BJ,"Monthly",Accounts!$H:$H,"&gt;"&amp;60,Accounts!$H:$H,"&lt;="&amp;180)</f>
        <v/>
      </c>
      <c r="F22" s="66">
        <f>SUMIFS(Accounts!$I:$BH,Accounts!$E:$E,CurrentSaaS!F$1,Accounts!$G:$G,CurrentSaaS!F$2,Accounts!$F:$F,CurrentSaaS!F$3,Accounts!$W:$W,0,Accounts!$C:$C,"Customer",Accounts!$BJ:$BJ,"Monthly",Accounts!$H:$H,"&gt;"&amp;60,Accounts!$H:$H,"&lt;="&amp;180)</f>
        <v/>
      </c>
      <c r="G22" s="66">
        <f>SUMIFS(Accounts!$I:$BH,Accounts!$E:$E,CurrentSaaS!G$1,Accounts!$G:$G,CurrentSaaS!G$2,Accounts!$F:$F,CurrentSaaS!G$3,Accounts!$W:$W,0,Accounts!$C:$C,"Customer",Accounts!$BJ:$BJ,"Monthly",Accounts!$H:$H,"&gt;"&amp;60,Accounts!$H:$H,"&lt;="&amp;180)</f>
        <v/>
      </c>
      <c r="H22" s="66">
        <f>SUMIFS(Accounts!$I:$BH,Accounts!$E:$E,CurrentSaaS!H$1,Accounts!$G:$G,CurrentSaaS!H$2,Accounts!$F:$F,CurrentSaaS!H$3,Accounts!$W:$W,0,Accounts!$C:$C,"Customer",Accounts!$BJ:$BJ,"Monthly",Accounts!$H:$H,"&gt;"&amp;60,Accounts!$H:$H,"&lt;="&amp;180)</f>
        <v/>
      </c>
      <c r="I22" s="67">
        <f>SUM(C22:H22)</f>
        <v/>
      </c>
      <c r="J22" s="66">
        <f>SUMIFS(Accounts!$I:$BH,Accounts!$E:$E,CurrentSaaS!J$1,Accounts!$G:$G,CurrentSaaS!J$2,Accounts!$F:$F,CurrentSaaS!J$3,Accounts!$W:$W,0,Accounts!$C:$C,"Customer",Accounts!$BJ:$BJ,"Monthly",Accounts!$H:$H,"&gt;"&amp;60,Accounts!$H:$H,"&lt;="&amp;180)</f>
        <v/>
      </c>
      <c r="K22" s="66">
        <f>SUMIFS(Accounts!$I:$BH,Accounts!$E:$E,CurrentSaaS!K$1,Accounts!$G:$G,CurrentSaaS!K$2,Accounts!$F:$F,CurrentSaaS!K$3,Accounts!$W:$W,0,Accounts!$C:$C,"Customer",Accounts!$BJ:$BJ,"Monthly",Accounts!$H:$H,"&gt;"&amp;60,Accounts!$H:$H,"&lt;="&amp;180)</f>
        <v/>
      </c>
      <c r="L22" s="66">
        <f>SUMIFS(Accounts!$I:$BH,Accounts!$E:$E,CurrentSaaS!L$1,Accounts!$G:$G,CurrentSaaS!L$2,Accounts!$F:$F,CurrentSaaS!L$3,Accounts!$W:$W,0,Accounts!$C:$C,"Customer",Accounts!$BJ:$BJ,"Monthly",Accounts!$H:$H,"&gt;"&amp;60,Accounts!$H:$H,"&lt;="&amp;180)</f>
        <v/>
      </c>
      <c r="M22" s="66">
        <f>SUMIFS(Accounts!$I:$BH,Accounts!$E:$E,CurrentSaaS!M$1,Accounts!$G:$G,CurrentSaaS!M$2,Accounts!$F:$F,CurrentSaaS!M$3,Accounts!$W:$W,0,Accounts!$C:$C,"Customer",Accounts!$BJ:$BJ,"Monthly",Accounts!$H:$H,"&gt;"&amp;60,Accounts!$H:$H,"&lt;="&amp;180)</f>
        <v/>
      </c>
      <c r="N22" s="66">
        <f>SUMIFS(Accounts!$I:$BH,Accounts!$E:$E,CurrentSaaS!N$1,Accounts!$G:$G,CurrentSaaS!N$2,Accounts!$F:$F,CurrentSaaS!N$3,Accounts!$W:$W,0,Accounts!$C:$C,"Customer",Accounts!$BJ:$BJ,"Monthly",Accounts!$H:$H,"&gt;"&amp;60,Accounts!$H:$H,"&lt;="&amp;180)</f>
        <v/>
      </c>
      <c r="O22" s="66">
        <f>SUMIFS(Accounts!$I:$BH,Accounts!$E:$E,CurrentSaaS!O$1,Accounts!$G:$G,CurrentSaaS!O$2,Accounts!$F:$F,CurrentSaaS!O$3,Accounts!$W:$W,0,Accounts!$C:$C,"Customer",Accounts!$BJ:$BJ,"Monthly",Accounts!$H:$H,"&gt;"&amp;60,Accounts!$H:$H,"&lt;="&amp;180)</f>
        <v/>
      </c>
      <c r="P22" s="67">
        <f>SUM(J22:O22)</f>
        <v/>
      </c>
      <c r="Q22" s="66">
        <f>SUMIFS(Accounts!$I:$BH,Accounts!$E:$E,CurrentSaaS!Q$1,Accounts!$G:$G,CurrentSaaS!Q$2,Accounts!$F:$F,CurrentSaaS!Q$3,Accounts!$W:$W,0,Accounts!$C:$C,"Customer",Accounts!$BJ:$BJ,"Monthly",Accounts!$H:$H,"&gt;"&amp;60,Accounts!$H:$H,"&lt;="&amp;180)</f>
        <v/>
      </c>
      <c r="R22" s="66">
        <f>SUMIFS(Accounts!$I:$BH,Accounts!$E:$E,CurrentSaaS!R$1,Accounts!$G:$G,CurrentSaaS!R$2,Accounts!$F:$F,CurrentSaaS!R$3,Accounts!$W:$W,0,Accounts!$C:$C,"Customer",Accounts!$BJ:$BJ,"Monthly",Accounts!$H:$H,"&gt;"&amp;60,Accounts!$H:$H,"&lt;="&amp;180)</f>
        <v/>
      </c>
      <c r="S22" s="66">
        <f>SUMIFS(Accounts!$I:$BH,Accounts!$E:$E,CurrentSaaS!S$1,Accounts!$G:$G,CurrentSaaS!S$2,Accounts!$F:$F,CurrentSaaS!S$3,Accounts!$W:$W,0,Accounts!$C:$C,"Customer",Accounts!$BJ:$BJ,"Monthly",Accounts!$H:$H,"&gt;"&amp;60,Accounts!$H:$H,"&lt;="&amp;180)</f>
        <v/>
      </c>
      <c r="T22" s="66">
        <f>SUMIFS(Accounts!$I:$BH,Accounts!$E:$E,CurrentSaaS!T$1,Accounts!$G:$G,CurrentSaaS!T$2,Accounts!$F:$F,CurrentSaaS!T$3,Accounts!$W:$W,0,Accounts!$C:$C,"Customer",Accounts!$BJ:$BJ,"Monthly",Accounts!$H:$H,"&gt;"&amp;60,Accounts!$H:$H,"&lt;="&amp;180)</f>
        <v/>
      </c>
      <c r="U22" s="66">
        <f>SUMIFS(Accounts!$I:$BH,Accounts!$E:$E,CurrentSaaS!U$1,Accounts!$G:$G,CurrentSaaS!U$2,Accounts!$F:$F,CurrentSaaS!U$3,Accounts!$W:$W,0,Accounts!$C:$C,"Customer",Accounts!$BJ:$BJ,"Monthly",Accounts!$H:$H,"&gt;"&amp;60,Accounts!$H:$H,"&lt;="&amp;180)</f>
        <v/>
      </c>
      <c r="V22" s="66">
        <f>SUMIFS(Accounts!$I:$BH,Accounts!$E:$E,CurrentSaaS!V$1,Accounts!$G:$G,CurrentSaaS!V$2,Accounts!$F:$F,CurrentSaaS!V$3,Accounts!$W:$W,0,Accounts!$C:$C,"Customer",Accounts!$BJ:$BJ,"Monthly",Accounts!$H:$H,"&gt;"&amp;60,Accounts!$H:$H,"&lt;="&amp;180)</f>
        <v/>
      </c>
      <c r="W22" s="67">
        <f>SUM(Q22:V22)</f>
        <v/>
      </c>
    </row>
    <row r="23" ht="16" customHeight="1" thickBot="1">
      <c r="A23" s="1" t="inlineStr">
        <is>
          <t>180+ day cohort as of BOM</t>
        </is>
      </c>
      <c r="B23" s="65" t="n"/>
      <c r="C23" s="66" t="n"/>
      <c r="D23" s="66" t="n"/>
      <c r="E23" s="66" t="n"/>
      <c r="F23" s="66" t="n"/>
      <c r="G23" s="66" t="n"/>
      <c r="H23" s="66" t="n"/>
      <c r="I23" s="67" t="n"/>
      <c r="J23" s="66" t="n"/>
      <c r="K23" s="66" t="n"/>
      <c r="L23" s="66" t="n"/>
      <c r="M23" s="66" t="n"/>
      <c r="N23" s="66" t="n"/>
      <c r="O23" s="66" t="n"/>
      <c r="P23" s="67" t="n"/>
      <c r="Q23" s="66" t="n"/>
      <c r="R23" s="66" t="n"/>
      <c r="S23" s="66" t="n"/>
      <c r="T23" s="66" t="n"/>
      <c r="U23" s="66" t="n"/>
      <c r="V23" s="66" t="n"/>
      <c r="W23" s="67" t="n"/>
    </row>
    <row r="24" ht="16" customHeight="1" thickBot="1">
      <c r="A24" s="1" t="inlineStr">
        <is>
          <t xml:space="preserve">   Retained Count</t>
        </is>
      </c>
      <c r="B24" s="9">
        <f>I24+P24+W24</f>
        <v/>
      </c>
      <c r="C24">
        <f>COUNTIFS(Accounts!$E:$E,CurrentSaaS!C$1,Accounts!$G:$G,CurrentSaaS!C$2,Accounts!$F:$F,CurrentSaaS!C$3,Accounts!$B:$B,"Customer",Accounts!$BJ:$BJ,"Monthly",Accounts!$C:$C,"Customer",Accounts!$H:$H,"&gt;"&amp;180)</f>
        <v/>
      </c>
      <c r="D24">
        <f>COUNTIFS(Accounts!$E:$E,CurrentSaaS!D$1,Accounts!$G:$G,CurrentSaaS!D$2,Accounts!$F:$F,CurrentSaaS!D$3,Accounts!$B:$B,"Customer",Accounts!$BJ:$BJ,"Monthly",Accounts!$C:$C,"Customer",Accounts!$H:$H,"&gt;"&amp;180)</f>
        <v/>
      </c>
      <c r="E24">
        <f>COUNTIFS(Accounts!$E:$E,CurrentSaaS!E$1,Accounts!$G:$G,CurrentSaaS!E$2,Accounts!$F:$F,CurrentSaaS!E$3,Accounts!$B:$B,"Customer",Accounts!$BJ:$BJ,"Monthly",Accounts!$C:$C,"Customer",Accounts!$H:$H,"&gt;"&amp;180)</f>
        <v/>
      </c>
      <c r="F24">
        <f>COUNTIFS(Accounts!$E:$E,CurrentSaaS!F$1,Accounts!$G:$G,CurrentSaaS!F$2,Accounts!$F:$F,CurrentSaaS!F$3,Accounts!$B:$B,"Customer",Accounts!$BJ:$BJ,"Monthly",Accounts!$C:$C,"Customer",Accounts!$H:$H,"&gt;"&amp;180)</f>
        <v/>
      </c>
      <c r="G24">
        <f>COUNTIFS(Accounts!$E:$E,CurrentSaaS!G$1,Accounts!$G:$G,CurrentSaaS!G$2,Accounts!$F:$F,CurrentSaaS!G$3,Accounts!$B:$B,"Customer",Accounts!$BJ:$BJ,"Monthly",Accounts!$C:$C,"Customer",Accounts!$H:$H,"&gt;"&amp;180)</f>
        <v/>
      </c>
      <c r="H24">
        <f>COUNTIFS(Accounts!$E:$E,CurrentSaaS!H$1,Accounts!$G:$G,CurrentSaaS!H$2,Accounts!$F:$F,CurrentSaaS!H$3,Accounts!$B:$B,"Customer",Accounts!$BJ:$BJ,"Monthly",Accounts!$C:$C,"Customer",Accounts!$H:$H,"&gt;"&amp;180)</f>
        <v/>
      </c>
      <c r="I24" s="15">
        <f>SUM(C24:H24)</f>
        <v/>
      </c>
      <c r="J24">
        <f>COUNTIFS(Accounts!$E:$E,CurrentSaaS!J$1,Accounts!$G:$G,CurrentSaaS!J$2,Accounts!$F:$F,CurrentSaaS!J$3,Accounts!$B:$B,"Customer",Accounts!$BJ:$BJ,"Monthly",Accounts!$C:$C,"Customer",Accounts!$H:$H,"&gt;"&amp;180)</f>
        <v/>
      </c>
      <c r="K24">
        <f>COUNTIFS(Accounts!$E:$E,CurrentSaaS!K$1,Accounts!$G:$G,CurrentSaaS!K$2,Accounts!$F:$F,CurrentSaaS!K$3,Accounts!$B:$B,"Customer",Accounts!$BJ:$BJ,"Monthly",Accounts!$C:$C,"Customer",Accounts!$H:$H,"&gt;"&amp;180)</f>
        <v/>
      </c>
      <c r="L24">
        <f>COUNTIFS(Accounts!$E:$E,CurrentSaaS!L$1,Accounts!$G:$G,CurrentSaaS!L$2,Accounts!$F:$F,CurrentSaaS!L$3,Accounts!$B:$B,"Customer",Accounts!$BJ:$BJ,"Monthly",Accounts!$C:$C,"Customer",Accounts!$H:$H,"&gt;"&amp;180)</f>
        <v/>
      </c>
      <c r="M24">
        <f>COUNTIFS(Accounts!$E:$E,CurrentSaaS!M$1,Accounts!$G:$G,CurrentSaaS!M$2,Accounts!$F:$F,CurrentSaaS!M$3,Accounts!$B:$B,"Customer",Accounts!$BJ:$BJ,"Monthly",Accounts!$C:$C,"Customer",Accounts!$H:$H,"&gt;"&amp;180)</f>
        <v/>
      </c>
      <c r="N24">
        <f>COUNTIFS(Accounts!$E:$E,CurrentSaaS!N$1,Accounts!$G:$G,CurrentSaaS!N$2,Accounts!$F:$F,CurrentSaaS!N$3,Accounts!$B:$B,"Customer",Accounts!$BJ:$BJ,"Monthly",Accounts!$C:$C,"Customer",Accounts!$H:$H,"&gt;"&amp;180)</f>
        <v/>
      </c>
      <c r="O24">
        <f>COUNTIFS(Accounts!$E:$E,CurrentSaaS!O$1,Accounts!$G:$G,CurrentSaaS!O$2,Accounts!$F:$F,CurrentSaaS!O$3,Accounts!$B:$B,"Customer",Accounts!$BJ:$BJ,"Monthly",Accounts!$C:$C,"Customer",Accounts!$H:$H,"&gt;"&amp;180)</f>
        <v/>
      </c>
      <c r="P24" s="15">
        <f>SUM(J24:O24)</f>
        <v/>
      </c>
      <c r="Q24">
        <f>COUNTIFS(Accounts!$E:$E,CurrentSaaS!Q$1,Accounts!$G:$G,CurrentSaaS!Q$2,Accounts!$F:$F,CurrentSaaS!Q$3,Accounts!$B:$B,"Customer",Accounts!$BJ:$BJ,"Monthly",Accounts!$C:$C,"Customer",Accounts!$H:$H,"&gt;"&amp;180)</f>
        <v/>
      </c>
      <c r="R24">
        <f>COUNTIFS(Accounts!$E:$E,CurrentSaaS!R$1,Accounts!$G:$G,CurrentSaaS!R$2,Accounts!$F:$F,CurrentSaaS!R$3,Accounts!$B:$B,"Customer",Accounts!$BJ:$BJ,"Monthly",Accounts!$C:$C,"Customer",Accounts!$H:$H,"&gt;"&amp;180)</f>
        <v/>
      </c>
      <c r="S24">
        <f>COUNTIFS(Accounts!$E:$E,CurrentSaaS!S$1,Accounts!$G:$G,CurrentSaaS!S$2,Accounts!$F:$F,CurrentSaaS!S$3,Accounts!$B:$B,"Customer",Accounts!$BJ:$BJ,"Monthly",Accounts!$C:$C,"Customer",Accounts!$H:$H,"&gt;"&amp;180)</f>
        <v/>
      </c>
      <c r="T24">
        <f>COUNTIFS(Accounts!$E:$E,CurrentSaaS!T$1,Accounts!$G:$G,CurrentSaaS!T$2,Accounts!$F:$F,CurrentSaaS!T$3,Accounts!$B:$B,"Customer",Accounts!$BJ:$BJ,"Monthly",Accounts!$C:$C,"Customer",Accounts!$H:$H,"&gt;"&amp;180)</f>
        <v/>
      </c>
      <c r="U24">
        <f>COUNTIFS(Accounts!$E:$E,CurrentSaaS!U$1,Accounts!$G:$G,CurrentSaaS!U$2,Accounts!$F:$F,CurrentSaaS!U$3,Accounts!$B:$B,"Customer",Accounts!$BJ:$BJ,"Monthly",Accounts!$C:$C,"Customer",Accounts!$H:$H,"&gt;"&amp;180)</f>
        <v/>
      </c>
      <c r="V24">
        <f>COUNTIFS(Accounts!$E:$E,CurrentSaaS!V$1,Accounts!$G:$G,CurrentSaaS!V$2,Accounts!$F:$F,CurrentSaaS!V$3,Accounts!$B:$B,"Customer",Accounts!$BJ:$BJ,"Monthly",Accounts!$C:$C,"Customer",Accounts!$H:$H,"&gt;"&amp;180)</f>
        <v/>
      </c>
      <c r="W24" s="15">
        <f>SUM(Q24:V24)</f>
        <v/>
      </c>
    </row>
    <row r="25" ht="16" customHeight="1" thickBot="1">
      <c r="A25" s="1" t="inlineStr">
        <is>
          <t xml:space="preserve">   ARPC</t>
        </is>
      </c>
      <c r="B25" s="65">
        <f>IF(B24=0,0,B26/B24)</f>
        <v/>
      </c>
      <c r="C25" s="66">
        <f>IF(C24=0,0,C26/C24)</f>
        <v/>
      </c>
      <c r="D25" s="66">
        <f>IF(D24=0,0,D26/D24)</f>
        <v/>
      </c>
      <c r="E25" s="66">
        <f>IF(E24=0,0,E26/E24)</f>
        <v/>
      </c>
      <c r="F25" s="66">
        <f>IF(F24=0,0,F26/F24)</f>
        <v/>
      </c>
      <c r="G25" s="66">
        <f>IF(G24=0,0,G26/G24)</f>
        <v/>
      </c>
      <c r="H25" s="66">
        <f>IF(H24=0,0,H26/H24)</f>
        <v/>
      </c>
      <c r="I25" s="67">
        <f>IF(I24=0,0,I26/I24)</f>
        <v/>
      </c>
      <c r="J25" s="66">
        <f>IF(J24=0,0,J26/J24)</f>
        <v/>
      </c>
      <c r="K25" s="66">
        <f>IF(K24=0,0,K26/K24)</f>
        <v/>
      </c>
      <c r="L25" s="66">
        <f>IF(L24=0,0,L26/L24)</f>
        <v/>
      </c>
      <c r="M25" s="66">
        <f>IF(M24=0,0,M26/M24)</f>
        <v/>
      </c>
      <c r="N25" s="66">
        <f>IF(N24=0,0,N26/N24)</f>
        <v/>
      </c>
      <c r="O25" s="66">
        <f>IF(O24=0,0,O26/O24)</f>
        <v/>
      </c>
      <c r="P25" s="67">
        <f>IF(P24=0,0,P26/P24)</f>
        <v/>
      </c>
      <c r="Q25" s="66">
        <f>IF(Q24=0,0,Q26/Q24)</f>
        <v/>
      </c>
      <c r="R25" s="66">
        <f>IF(R24=0,0,R26/R24)</f>
        <v/>
      </c>
      <c r="S25" s="66">
        <f>IF(S24=0,0,S26/S24)</f>
        <v/>
      </c>
      <c r="T25" s="66">
        <f>IF(T24=0,0,T26/T24)</f>
        <v/>
      </c>
      <c r="U25" s="66">
        <f>IF(U24=0,0,U26/U24)</f>
        <v/>
      </c>
      <c r="V25" s="66">
        <f>IF(V24=0,0,V26/V24)</f>
        <v/>
      </c>
      <c r="W25" s="67">
        <f>IF(W24=0,0,W26/W24)</f>
        <v/>
      </c>
    </row>
    <row r="26" ht="16" customHeight="1" thickBot="1">
      <c r="A26" s="1" t="inlineStr">
        <is>
          <t xml:space="preserve">   SaaS</t>
        </is>
      </c>
      <c r="B26" s="65">
        <f>I26+P26+W26</f>
        <v/>
      </c>
      <c r="C26" s="66">
        <f>SUMIFS(Accounts!$I:$BH,Accounts!$E:$E,CurrentSaaS!C$1,Accounts!$G:$G,CurrentSaaS!C$2,Accounts!$F:$F,CurrentSaaS!C$3,Accounts!$W:$W,0,Accounts!$C:$C,"Customer",Accounts!$BJ:$BJ,"Monthly",Accounts!$C:$C,"Customer",Accounts!$H:$H,"&gt;"&amp;180)</f>
        <v/>
      </c>
      <c r="D26" s="66">
        <f>SUMIFS(Accounts!$I:$BH,Accounts!$E:$E,CurrentSaaS!D$1,Accounts!$G:$G,CurrentSaaS!D$2,Accounts!$F:$F,CurrentSaaS!D$3,Accounts!$W:$W,0,Accounts!$C:$C,"Customer",Accounts!$BJ:$BJ,"Monthly",Accounts!$C:$C,"Customer",Accounts!$H:$H,"&gt;"&amp;180)</f>
        <v/>
      </c>
      <c r="E26" s="66">
        <f>SUMIFS(Accounts!$I:$BH,Accounts!$E:$E,CurrentSaaS!E$1,Accounts!$G:$G,CurrentSaaS!E$2,Accounts!$F:$F,CurrentSaaS!E$3,Accounts!$W:$W,0,Accounts!$C:$C,"Customer",Accounts!$BJ:$BJ,"Monthly",Accounts!$C:$C,"Customer",Accounts!$H:$H,"&gt;"&amp;180)</f>
        <v/>
      </c>
      <c r="F26" s="66">
        <f>SUMIFS(Accounts!$I:$BH,Accounts!$E:$E,CurrentSaaS!F$1,Accounts!$G:$G,CurrentSaaS!F$2,Accounts!$F:$F,CurrentSaaS!F$3,Accounts!$W:$W,0,Accounts!$C:$C,"Customer",Accounts!$BJ:$BJ,"Monthly",Accounts!$C:$C,"Customer",Accounts!$H:$H,"&gt;"&amp;180)</f>
        <v/>
      </c>
      <c r="G26" s="66">
        <f>SUMIFS(Accounts!$I:$BH,Accounts!$E:$E,CurrentSaaS!G$1,Accounts!$G:$G,CurrentSaaS!G$2,Accounts!$F:$F,CurrentSaaS!G$3,Accounts!$W:$W,0,Accounts!$C:$C,"Customer",Accounts!$BJ:$BJ,"Monthly",Accounts!$C:$C,"Customer",Accounts!$H:$H,"&gt;"&amp;180)</f>
        <v/>
      </c>
      <c r="H26" s="66">
        <f>SUMIFS(Accounts!$I:$BH,Accounts!$E:$E,CurrentSaaS!H$1,Accounts!$G:$G,CurrentSaaS!H$2,Accounts!$F:$F,CurrentSaaS!H$3,Accounts!$W:$W,0,Accounts!$C:$C,"Customer",Accounts!$BJ:$BJ,"Monthly",Accounts!$C:$C,"Customer",Accounts!$H:$H,"&gt;"&amp;180)</f>
        <v/>
      </c>
      <c r="I26" s="67">
        <f>SUM(C26:H26)</f>
        <v/>
      </c>
      <c r="J26" s="66">
        <f>SUMIFS(Accounts!$I:$BH,Accounts!$E:$E,CurrentSaaS!J$1,Accounts!$G:$G,CurrentSaaS!J$2,Accounts!$F:$F,CurrentSaaS!J$3,Accounts!$W:$W,0,Accounts!$C:$C,"Customer",Accounts!$BJ:$BJ,"Monthly",Accounts!$C:$C,"Customer",Accounts!$H:$H,"&gt;"&amp;180)</f>
        <v/>
      </c>
      <c r="K26" s="66">
        <f>SUMIFS(Accounts!$I:$BH,Accounts!$E:$E,CurrentSaaS!K$1,Accounts!$G:$G,CurrentSaaS!K$2,Accounts!$F:$F,CurrentSaaS!K$3,Accounts!$W:$W,0,Accounts!$C:$C,"Customer",Accounts!$BJ:$BJ,"Monthly",Accounts!$C:$C,"Customer",Accounts!$H:$H,"&gt;"&amp;180)</f>
        <v/>
      </c>
      <c r="L26" s="66">
        <f>SUMIFS(Accounts!$I:$BH,Accounts!$E:$E,CurrentSaaS!L$1,Accounts!$G:$G,CurrentSaaS!L$2,Accounts!$F:$F,CurrentSaaS!L$3,Accounts!$W:$W,0,Accounts!$C:$C,"Customer",Accounts!$BJ:$BJ,"Monthly",Accounts!$C:$C,"Customer",Accounts!$H:$H,"&gt;"&amp;180)</f>
        <v/>
      </c>
      <c r="M26" s="66">
        <f>SUMIFS(Accounts!$I:$BH,Accounts!$E:$E,CurrentSaaS!M$1,Accounts!$G:$G,CurrentSaaS!M$2,Accounts!$F:$F,CurrentSaaS!M$3,Accounts!$W:$W,0,Accounts!$C:$C,"Customer",Accounts!$BJ:$BJ,"Monthly",Accounts!$C:$C,"Customer",Accounts!$H:$H,"&gt;"&amp;180)</f>
        <v/>
      </c>
      <c r="N26" s="66">
        <f>SUMIFS(Accounts!$I:$BH,Accounts!$E:$E,CurrentSaaS!N$1,Accounts!$G:$G,CurrentSaaS!N$2,Accounts!$F:$F,CurrentSaaS!N$3,Accounts!$W:$W,0,Accounts!$C:$C,"Customer",Accounts!$BJ:$BJ,"Monthly",Accounts!$C:$C,"Customer",Accounts!$H:$H,"&gt;"&amp;180)</f>
        <v/>
      </c>
      <c r="O26" s="66">
        <f>SUMIFS(Accounts!$I:$BH,Accounts!$E:$E,CurrentSaaS!O$1,Accounts!$G:$G,CurrentSaaS!O$2,Accounts!$F:$F,CurrentSaaS!O$3,Accounts!$W:$W,0,Accounts!$C:$C,"Customer",Accounts!$BJ:$BJ,"Monthly",Accounts!$C:$C,"Customer",Accounts!$H:$H,"&gt;"&amp;180)</f>
        <v/>
      </c>
      <c r="P26" s="67">
        <f>SUM(J26:O26)</f>
        <v/>
      </c>
      <c r="Q26" s="66">
        <f>SUMIFS(Accounts!$I:$BH,Accounts!$E:$E,CurrentSaaS!Q$1,Accounts!$G:$G,CurrentSaaS!Q$2,Accounts!$F:$F,CurrentSaaS!Q$3,Accounts!$W:$W,0,Accounts!$C:$C,"Customer",Accounts!$BJ:$BJ,"Monthly",Accounts!$C:$C,"Customer",Accounts!$H:$H,"&gt;"&amp;180)</f>
        <v/>
      </c>
      <c r="R26" s="66">
        <f>SUMIFS(Accounts!$I:$BH,Accounts!$E:$E,CurrentSaaS!R$1,Accounts!$G:$G,CurrentSaaS!R$2,Accounts!$F:$F,CurrentSaaS!R$3,Accounts!$W:$W,0,Accounts!$C:$C,"Customer",Accounts!$BJ:$BJ,"Monthly",Accounts!$C:$C,"Customer",Accounts!$H:$H,"&gt;"&amp;180)</f>
        <v/>
      </c>
      <c r="S26" s="66">
        <f>SUMIFS(Accounts!$I:$BH,Accounts!$E:$E,CurrentSaaS!S$1,Accounts!$G:$G,CurrentSaaS!S$2,Accounts!$F:$F,CurrentSaaS!S$3,Accounts!$W:$W,0,Accounts!$C:$C,"Customer",Accounts!$BJ:$BJ,"Monthly",Accounts!$C:$C,"Customer",Accounts!$H:$H,"&gt;"&amp;180)</f>
        <v/>
      </c>
      <c r="T26" s="66">
        <f>SUMIFS(Accounts!$I:$BH,Accounts!$E:$E,CurrentSaaS!T$1,Accounts!$G:$G,CurrentSaaS!T$2,Accounts!$F:$F,CurrentSaaS!T$3,Accounts!$W:$W,0,Accounts!$C:$C,"Customer",Accounts!$BJ:$BJ,"Monthly",Accounts!$C:$C,"Customer",Accounts!$H:$H,"&gt;"&amp;180)</f>
        <v/>
      </c>
      <c r="U26" s="66">
        <f>SUMIFS(Accounts!$I:$BH,Accounts!$E:$E,CurrentSaaS!U$1,Accounts!$G:$G,CurrentSaaS!U$2,Accounts!$F:$F,CurrentSaaS!U$3,Accounts!$W:$W,0,Accounts!$C:$C,"Customer",Accounts!$BJ:$BJ,"Monthly",Accounts!$C:$C,"Customer",Accounts!$H:$H,"&gt;"&amp;180)</f>
        <v/>
      </c>
      <c r="V26" s="66">
        <f>SUMIFS(Accounts!$I:$BH,Accounts!$E:$E,CurrentSaaS!V$1,Accounts!$G:$G,CurrentSaaS!V$2,Accounts!$F:$F,CurrentSaaS!V$3,Accounts!$W:$W,0,Accounts!$C:$C,"Customer",Accounts!$BJ:$BJ,"Monthly",Accounts!$C:$C,"Customer",Accounts!$H:$H,"&gt;"&amp;180)</f>
        <v/>
      </c>
      <c r="W26" s="67">
        <f>SUM(Q26:V26)</f>
        <v/>
      </c>
    </row>
    <row r="27" ht="16" customHeight="1" thickBot="1">
      <c r="A27" s="1" t="inlineStr">
        <is>
          <t>Monthly Total Retained Count</t>
        </is>
      </c>
      <c r="B27" s="9">
        <f>I27+P27+W27</f>
        <v/>
      </c>
      <c r="C27">
        <f>C12+C16+C20+C24</f>
        <v/>
      </c>
      <c r="D27">
        <f>D12+D16+D20+D24</f>
        <v/>
      </c>
      <c r="E27">
        <f>E12+E16+E20+E24</f>
        <v/>
      </c>
      <c r="F27">
        <f>F12+F16+F20+F24</f>
        <v/>
      </c>
      <c r="G27">
        <f>G12+G16+G20+G24</f>
        <v/>
      </c>
      <c r="H27">
        <f>H12+H16+H20+H24</f>
        <v/>
      </c>
      <c r="I27" s="15">
        <f>SUM(C27:H27)</f>
        <v/>
      </c>
      <c r="J27">
        <f>J12+J16+J20+J24</f>
        <v/>
      </c>
      <c r="K27">
        <f>K12+K16+K20+K24</f>
        <v/>
      </c>
      <c r="L27">
        <f>L12+L16+L20+L24</f>
        <v/>
      </c>
      <c r="M27">
        <f>M12+M16+M20+M24</f>
        <v/>
      </c>
      <c r="N27">
        <f>N12+N16+N20+N24</f>
        <v/>
      </c>
      <c r="O27">
        <f>O12+O16+O20+O24</f>
        <v/>
      </c>
      <c r="P27" s="15">
        <f>SUM(J27:O27)</f>
        <v/>
      </c>
      <c r="Q27">
        <f>Q12+Q16+Q20+Q24</f>
        <v/>
      </c>
      <c r="R27">
        <f>R12+R16+R20+R24</f>
        <v/>
      </c>
      <c r="S27">
        <f>S12+S16+S20+S24</f>
        <v/>
      </c>
      <c r="T27">
        <f>T12+T16+T20+T24</f>
        <v/>
      </c>
      <c r="U27">
        <f>U12+U16+U20+U24</f>
        <v/>
      </c>
      <c r="V27">
        <f>V12+V16+V20+V24</f>
        <v/>
      </c>
      <c r="W27" s="15">
        <f>SUM(Q27:V27)</f>
        <v/>
      </c>
    </row>
    <row r="28" ht="16" customHeight="1" thickBot="1">
      <c r="A28" s="7" t="inlineStr">
        <is>
          <t>SaaS from Retained Monthly Customers</t>
        </is>
      </c>
      <c r="B28" s="65">
        <f>I28+P28+W28</f>
        <v/>
      </c>
      <c r="C28" s="66">
        <f>C14+C18+C22+C26</f>
        <v/>
      </c>
      <c r="D28" s="66">
        <f>D14+D18+D22+D26</f>
        <v/>
      </c>
      <c r="E28" s="66">
        <f>E14+E18+E22+E26</f>
        <v/>
      </c>
      <c r="F28" s="66">
        <f>F14+F18+F22+F26</f>
        <v/>
      </c>
      <c r="G28" s="66">
        <f>G14+G18+G22+G26</f>
        <v/>
      </c>
      <c r="H28" s="66">
        <f>H14+H18+H22+H26</f>
        <v/>
      </c>
      <c r="I28" s="67">
        <f>SUM(C28:H28)</f>
        <v/>
      </c>
      <c r="J28" s="66">
        <f>J14+J18+J22+J26</f>
        <v/>
      </c>
      <c r="K28" s="66">
        <f>K14+K18+K22+K26</f>
        <v/>
      </c>
      <c r="L28" s="66">
        <f>L14+L18+L22+L26</f>
        <v/>
      </c>
      <c r="M28" s="66">
        <f>M14+M18+M22+M26</f>
        <v/>
      </c>
      <c r="N28" s="66">
        <f>N14+N18+N22+N26</f>
        <v/>
      </c>
      <c r="O28" s="66">
        <f>O14+O18+O22+O26</f>
        <v/>
      </c>
      <c r="P28" s="67">
        <f>SUM(J28:O28)</f>
        <v/>
      </c>
      <c r="Q28" s="66">
        <f>Q14+Q18+Q22+Q26</f>
        <v/>
      </c>
      <c r="R28" s="66">
        <f>R14+R18+R22+R26</f>
        <v/>
      </c>
      <c r="S28" s="66">
        <f>S14+S18+S22+S26</f>
        <v/>
      </c>
      <c r="T28" s="66">
        <f>T14+T18+T22+T26</f>
        <v/>
      </c>
      <c r="U28" s="66">
        <f>U14+U18+U22+U26</f>
        <v/>
      </c>
      <c r="V28" s="66">
        <f>V14+V18+V22+V26</f>
        <v/>
      </c>
      <c r="W28" s="67">
        <f>SUM(Q28:V28)</f>
        <v/>
      </c>
    </row>
    <row r="29" ht="16" customHeight="1" thickBot="1">
      <c r="B29" s="9" t="n"/>
    </row>
    <row r="30" ht="16" customHeight="1" thickBot="1">
      <c r="A30" s="1" t="inlineStr">
        <is>
          <t>Prepay Retained</t>
        </is>
      </c>
      <c r="B30" s="9">
        <f>I30+P30+W30</f>
        <v/>
      </c>
      <c r="C30">
        <f>COUNTIFS(Accounts!$E:$E,CurrentSaaS!C$1,Accounts!$G:$G,CurrentSaaS!C$2,Accounts!$F:$F,CurrentSaaS!C$3,Accounts!$B:$B,"Customer",Accounts!$BJ:$BJ,"Prepay",Accounts!$C:$C,"Customer")</f>
        <v/>
      </c>
      <c r="D30">
        <f>COUNTIFS(Accounts!$E:$E,CurrentSaaS!D$1,Accounts!$G:$G,CurrentSaaS!D$2,Accounts!$F:$F,CurrentSaaS!D$3,Accounts!$B:$B,"Customer",Accounts!$BJ:$BJ,"Prepay",Accounts!$C:$C,"Customer")</f>
        <v/>
      </c>
      <c r="E30">
        <f>COUNTIFS(Accounts!$E:$E,CurrentSaaS!E$1,Accounts!$G:$G,CurrentSaaS!E$2,Accounts!$F:$F,CurrentSaaS!E$3,Accounts!$B:$B,"Customer",Accounts!$BJ:$BJ,"Prepay",Accounts!$C:$C,"Customer")</f>
        <v/>
      </c>
      <c r="F30">
        <f>COUNTIFS(Accounts!$E:$E,CurrentSaaS!F$1,Accounts!$G:$G,CurrentSaaS!F$2,Accounts!$F:$F,CurrentSaaS!F$3,Accounts!$B:$B,"Customer",Accounts!$BJ:$BJ,"Prepay",Accounts!$C:$C,"Customer")</f>
        <v/>
      </c>
      <c r="G30">
        <f>COUNTIFS(Accounts!$E:$E,CurrentSaaS!G$1,Accounts!$G:$G,CurrentSaaS!G$2,Accounts!$F:$F,CurrentSaaS!G$3,Accounts!$B:$B,"Customer",Accounts!$BJ:$BJ,"Prepay",Accounts!$C:$C,"Customer")</f>
        <v/>
      </c>
      <c r="H30">
        <f>COUNTIFS(Accounts!$E:$E,CurrentSaaS!H$1,Accounts!$G:$G,CurrentSaaS!H$2,Accounts!$F:$F,CurrentSaaS!H$3,Accounts!$B:$B,"Customer",Accounts!$BJ:$BJ,"Prepay",Accounts!$C:$C,"Customer")</f>
        <v/>
      </c>
      <c r="I30" s="15">
        <f>SUM(C30:H30)</f>
        <v/>
      </c>
      <c r="J30">
        <f>COUNTIFS(Accounts!$E:$E,CurrentSaaS!J$1,Accounts!$G:$G,CurrentSaaS!J$2,Accounts!$F:$F,CurrentSaaS!J$3,Accounts!$B:$B,"Customer",Accounts!$BJ:$BJ,"Prepay",Accounts!$C:$C,"Customer")</f>
        <v/>
      </c>
      <c r="K30">
        <f>COUNTIFS(Accounts!$E:$E,CurrentSaaS!K$1,Accounts!$G:$G,CurrentSaaS!K$2,Accounts!$F:$F,CurrentSaaS!K$3,Accounts!$B:$B,"Customer",Accounts!$BJ:$BJ,"Prepay",Accounts!$C:$C,"Customer")</f>
        <v/>
      </c>
      <c r="L30">
        <f>COUNTIFS(Accounts!$E:$E,CurrentSaaS!L$1,Accounts!$G:$G,CurrentSaaS!L$2,Accounts!$F:$F,CurrentSaaS!L$3,Accounts!$B:$B,"Customer",Accounts!$BJ:$BJ,"Prepay",Accounts!$C:$C,"Customer")</f>
        <v/>
      </c>
      <c r="M30">
        <f>COUNTIFS(Accounts!$E:$E,CurrentSaaS!M$1,Accounts!$G:$G,CurrentSaaS!M$2,Accounts!$F:$F,CurrentSaaS!M$3,Accounts!$B:$B,"Customer",Accounts!$BJ:$BJ,"Prepay",Accounts!$C:$C,"Customer")</f>
        <v/>
      </c>
      <c r="N30">
        <f>COUNTIFS(Accounts!$E:$E,CurrentSaaS!N$1,Accounts!$G:$G,CurrentSaaS!N$2,Accounts!$F:$F,CurrentSaaS!N$3,Accounts!$B:$B,"Customer",Accounts!$BJ:$BJ,"Prepay",Accounts!$C:$C,"Customer")</f>
        <v/>
      </c>
      <c r="O30">
        <f>COUNTIFS(Accounts!$E:$E,CurrentSaaS!O$1,Accounts!$G:$G,CurrentSaaS!O$2,Accounts!$F:$F,CurrentSaaS!O$3,Accounts!$B:$B,"Customer",Accounts!$BJ:$BJ,"Prepay",Accounts!$C:$C,"Customer")</f>
        <v/>
      </c>
      <c r="P30" s="15">
        <f>SUM(J30:O30)</f>
        <v/>
      </c>
      <c r="Q30">
        <f>COUNTIFS(Accounts!$E:$E,CurrentSaaS!Q$1,Accounts!$G:$G,CurrentSaaS!Q$2,Accounts!$F:$F,CurrentSaaS!Q$3,Accounts!$B:$B,"Customer",Accounts!$BJ:$BJ,"Prepay",Accounts!$C:$C,"Customer")</f>
        <v/>
      </c>
      <c r="R30">
        <f>COUNTIFS(Accounts!$E:$E,CurrentSaaS!R$1,Accounts!$G:$G,CurrentSaaS!R$2,Accounts!$F:$F,CurrentSaaS!R$3,Accounts!$B:$B,"Customer",Accounts!$BJ:$BJ,"Prepay",Accounts!$C:$C,"Customer")</f>
        <v/>
      </c>
      <c r="S30">
        <f>COUNTIFS(Accounts!$E:$E,CurrentSaaS!S$1,Accounts!$G:$G,CurrentSaaS!S$2,Accounts!$F:$F,CurrentSaaS!S$3,Accounts!$B:$B,"Customer",Accounts!$BJ:$BJ,"Prepay",Accounts!$C:$C,"Customer")</f>
        <v/>
      </c>
      <c r="T30">
        <f>COUNTIFS(Accounts!$E:$E,CurrentSaaS!T$1,Accounts!$G:$G,CurrentSaaS!T$2,Accounts!$F:$F,CurrentSaaS!T$3,Accounts!$B:$B,"Customer",Accounts!$BJ:$BJ,"Prepay",Accounts!$C:$C,"Customer")</f>
        <v/>
      </c>
      <c r="U30">
        <f>COUNTIFS(Accounts!$E:$E,CurrentSaaS!U$1,Accounts!$G:$G,CurrentSaaS!U$2,Accounts!$F:$F,CurrentSaaS!U$3,Accounts!$B:$B,"Customer",Accounts!$BJ:$BJ,"Prepay",Accounts!$C:$C,"Customer")</f>
        <v/>
      </c>
      <c r="V30">
        <f>COUNTIFS(Accounts!$E:$E,CurrentSaaS!V$1,Accounts!$G:$G,CurrentSaaS!V$2,Accounts!$F:$F,CurrentSaaS!V$3,Accounts!$B:$B,"Customer",Accounts!$BJ:$BJ,"Prepay",Accounts!$C:$C,"Customer")</f>
        <v/>
      </c>
      <c r="W30" s="15">
        <f>SUM(Q30:V30)</f>
        <v/>
      </c>
    </row>
    <row r="31" ht="16" customHeight="1" thickBot="1">
      <c r="A31" s="1" t="inlineStr">
        <is>
          <t>Total before discount</t>
        </is>
      </c>
      <c r="B31" s="65">
        <f>I31+P31+W31</f>
        <v/>
      </c>
      <c r="C31" s="66">
        <f>SUMIFS(Accounts!$I:$BH,Accounts!$E:$E,CurrentSaaS!C$1,Accounts!$G:$G,CurrentSaaS!C$2,Accounts!$F:$F,CurrentSaaS!C$3,Accounts!$W:$W,0,Accounts!$C:$C,"Customer",Accounts!$BJ:$BJ,"Prepay")</f>
        <v/>
      </c>
      <c r="D31" s="66">
        <f>SUMIFS(Accounts!$I:$BH,Accounts!$E:$E,CurrentSaaS!D$1,Accounts!$G:$G,CurrentSaaS!D$2,Accounts!$F:$F,CurrentSaaS!D$3,Accounts!$W:$W,0,Accounts!$C:$C,"Customer",Accounts!$BJ:$BJ,"Prepay")</f>
        <v/>
      </c>
      <c r="E31" s="66">
        <f>SUMIFS(Accounts!$I:$BH,Accounts!$E:$E,CurrentSaaS!E$1,Accounts!$G:$G,CurrentSaaS!E$2,Accounts!$F:$F,CurrentSaaS!E$3,Accounts!$W:$W,0,Accounts!$C:$C,"Customer",Accounts!$BJ:$BJ,"Prepay")</f>
        <v/>
      </c>
      <c r="F31" s="66">
        <f>SUMIFS(Accounts!$I:$BH,Accounts!$E:$E,CurrentSaaS!F$1,Accounts!$G:$G,CurrentSaaS!F$2,Accounts!$F:$F,CurrentSaaS!F$3,Accounts!$W:$W,0,Accounts!$C:$C,"Customer",Accounts!$BJ:$BJ,"Prepay")</f>
        <v/>
      </c>
      <c r="G31" s="66">
        <f>SUMIFS(Accounts!$I:$BH,Accounts!$E:$E,CurrentSaaS!G$1,Accounts!$G:$G,CurrentSaaS!G$2,Accounts!$F:$F,CurrentSaaS!G$3,Accounts!$W:$W,0,Accounts!$C:$C,"Customer",Accounts!$BJ:$BJ,"Prepay")</f>
        <v/>
      </c>
      <c r="H31" s="66">
        <f>SUMIFS(Accounts!$I:$BH,Accounts!$E:$E,CurrentSaaS!H$1,Accounts!$G:$G,CurrentSaaS!H$2,Accounts!$F:$F,CurrentSaaS!H$3,Accounts!$W:$W,0,Accounts!$C:$C,"Customer",Accounts!$BJ:$BJ,"Prepay")</f>
        <v/>
      </c>
      <c r="I31" s="67">
        <f>SUM(C31:H31)</f>
        <v/>
      </c>
      <c r="J31" s="66">
        <f>SUMIFS(Accounts!$I:$BH,Accounts!$E:$E,CurrentSaaS!J$1,Accounts!$G:$G,CurrentSaaS!J$2,Accounts!$F:$F,CurrentSaaS!J$3,Accounts!$W:$W,0,Accounts!$C:$C,"Customer",Accounts!$BJ:$BJ,"Prepay")</f>
        <v/>
      </c>
      <c r="K31" s="66">
        <f>SUMIFS(Accounts!$I:$BH,Accounts!$E:$E,CurrentSaaS!K$1,Accounts!$G:$G,CurrentSaaS!K$2,Accounts!$F:$F,CurrentSaaS!K$3,Accounts!$W:$W,0,Accounts!$C:$C,"Customer",Accounts!$BJ:$BJ,"Prepay")</f>
        <v/>
      </c>
      <c r="L31" s="66">
        <f>SUMIFS(Accounts!$I:$BH,Accounts!$E:$E,CurrentSaaS!L$1,Accounts!$G:$G,CurrentSaaS!L$2,Accounts!$F:$F,CurrentSaaS!L$3,Accounts!$W:$W,0,Accounts!$C:$C,"Customer",Accounts!$BJ:$BJ,"Prepay")</f>
        <v/>
      </c>
      <c r="M31" s="66">
        <f>SUMIFS(Accounts!$I:$BH,Accounts!$E:$E,CurrentSaaS!M$1,Accounts!$G:$G,CurrentSaaS!M$2,Accounts!$F:$F,CurrentSaaS!M$3,Accounts!$W:$W,0,Accounts!$C:$C,"Customer",Accounts!$BJ:$BJ,"Prepay")</f>
        <v/>
      </c>
      <c r="N31" s="66">
        <f>SUMIFS(Accounts!$I:$BH,Accounts!$E:$E,CurrentSaaS!N$1,Accounts!$G:$G,CurrentSaaS!N$2,Accounts!$F:$F,CurrentSaaS!N$3,Accounts!$W:$W,0,Accounts!$C:$C,"Customer",Accounts!$BJ:$BJ,"Prepay")</f>
        <v/>
      </c>
      <c r="O31" s="66">
        <f>SUMIFS(Accounts!$I:$BH,Accounts!$E:$E,CurrentSaaS!O$1,Accounts!$G:$G,CurrentSaaS!O$2,Accounts!$F:$F,CurrentSaaS!O$3,Accounts!$W:$W,0,Accounts!$C:$C,"Customer",Accounts!$BJ:$BJ,"Prepay")</f>
        <v/>
      </c>
      <c r="P31" s="67">
        <f>SUM(J31:O31)</f>
        <v/>
      </c>
      <c r="Q31" s="66">
        <f>SUMIFS(Accounts!$I:$BH,Accounts!$E:$E,CurrentSaaS!Q$1,Accounts!$G:$G,CurrentSaaS!Q$2,Accounts!$F:$F,CurrentSaaS!Q$3,Accounts!$W:$W,0,Accounts!$C:$C,"Customer",Accounts!$BJ:$BJ,"Prepay")</f>
        <v/>
      </c>
      <c r="R31" s="66">
        <f>SUMIFS(Accounts!$I:$BH,Accounts!$E:$E,CurrentSaaS!R$1,Accounts!$G:$G,CurrentSaaS!R$2,Accounts!$F:$F,CurrentSaaS!R$3,Accounts!$W:$W,0,Accounts!$C:$C,"Customer",Accounts!$BJ:$BJ,"Prepay")</f>
        <v/>
      </c>
      <c r="S31" s="66">
        <f>SUMIFS(Accounts!$I:$BH,Accounts!$E:$E,CurrentSaaS!S$1,Accounts!$G:$G,CurrentSaaS!S$2,Accounts!$F:$F,CurrentSaaS!S$3,Accounts!$W:$W,0,Accounts!$C:$C,"Customer",Accounts!$BJ:$BJ,"Prepay")</f>
        <v/>
      </c>
      <c r="T31" s="66">
        <f>SUMIFS(Accounts!$I:$BH,Accounts!$E:$E,CurrentSaaS!T$1,Accounts!$G:$G,CurrentSaaS!T$2,Accounts!$F:$F,CurrentSaaS!T$3,Accounts!$W:$W,0,Accounts!$C:$C,"Customer",Accounts!$BJ:$BJ,"Prepay")</f>
        <v/>
      </c>
      <c r="U31" s="66">
        <f>SUMIFS(Accounts!$I:$BH,Accounts!$E:$E,CurrentSaaS!U$1,Accounts!$G:$G,CurrentSaaS!U$2,Accounts!$F:$F,CurrentSaaS!U$3,Accounts!$W:$W,0,Accounts!$C:$C,"Customer",Accounts!$BJ:$BJ,"Prepay")</f>
        <v/>
      </c>
      <c r="V31" s="66">
        <f>SUMIFS(Accounts!$I:$BH,Accounts!$E:$E,CurrentSaaS!V$1,Accounts!$G:$G,CurrentSaaS!V$2,Accounts!$F:$F,CurrentSaaS!V$3,Accounts!$W:$W,0,Accounts!$C:$C,"Customer",Accounts!$BJ:$BJ,"Prepay")</f>
        <v/>
      </c>
      <c r="W31" s="67">
        <f>SUM(Q31:V31)</f>
        <v/>
      </c>
    </row>
    <row r="32" ht="16" customHeight="1" thickBot="1">
      <c r="A32" s="1" t="inlineStr">
        <is>
          <t>Approximate discount</t>
        </is>
      </c>
      <c r="B32" s="65">
        <f>IF(B30=0,0,B31/B30)</f>
        <v/>
      </c>
      <c r="C32" s="66">
        <f>C31*0.1</f>
        <v/>
      </c>
      <c r="D32" s="66">
        <f>D31*0.1</f>
        <v/>
      </c>
      <c r="E32" s="66">
        <f>E31*0.1</f>
        <v/>
      </c>
      <c r="F32" s="66">
        <f>F31*0.1</f>
        <v/>
      </c>
      <c r="G32" s="66">
        <f>G31*0.1</f>
        <v/>
      </c>
      <c r="H32" s="66">
        <f>H31*0.1</f>
        <v/>
      </c>
      <c r="I32" s="67">
        <f>SUM(C32:H32)</f>
        <v/>
      </c>
      <c r="J32" s="66">
        <f>J31*0.1</f>
        <v/>
      </c>
      <c r="K32" s="66">
        <f>K31*0.1</f>
        <v/>
      </c>
      <c r="L32" s="66">
        <f>L31*0.1</f>
        <v/>
      </c>
      <c r="M32" s="66">
        <f>M31*0.1</f>
        <v/>
      </c>
      <c r="N32" s="66">
        <f>N31*0.1</f>
        <v/>
      </c>
      <c r="O32" s="66">
        <f>O31*0.1</f>
        <v/>
      </c>
      <c r="P32" s="67">
        <f>SUM(J32:O32)</f>
        <v/>
      </c>
      <c r="Q32" s="66">
        <f>Q31*0.1</f>
        <v/>
      </c>
      <c r="R32" s="66">
        <f>R31*0.1</f>
        <v/>
      </c>
      <c r="S32" s="66">
        <f>S31*0.1</f>
        <v/>
      </c>
      <c r="T32" s="66">
        <f>T31*0.1</f>
        <v/>
      </c>
      <c r="U32" s="66">
        <f>U31*0.1</f>
        <v/>
      </c>
      <c r="V32" s="66">
        <f>V31*0.1</f>
        <v/>
      </c>
      <c r="W32" s="67">
        <f>SUM(Q32:V32)</f>
        <v/>
      </c>
    </row>
    <row r="33" ht="16" customHeight="1" thickBot="1">
      <c r="A33" s="7" t="inlineStr">
        <is>
          <t>SaaS from Retained Prepay Customers</t>
        </is>
      </c>
      <c r="B33" s="65">
        <f>I33+P33+W33</f>
        <v/>
      </c>
      <c r="C33" s="66">
        <f>C31-C32</f>
        <v/>
      </c>
      <c r="D33" s="66">
        <f>D31-D32</f>
        <v/>
      </c>
      <c r="E33" s="66">
        <f>E31-E32</f>
        <v/>
      </c>
      <c r="F33" s="66">
        <f>F31-F32</f>
        <v/>
      </c>
      <c r="G33" s="66">
        <f>G31-G32</f>
        <v/>
      </c>
      <c r="H33" s="66">
        <f>H31-H32</f>
        <v/>
      </c>
      <c r="I33" s="67">
        <f>I31-I32</f>
        <v/>
      </c>
      <c r="J33" s="66">
        <f>J31-J32</f>
        <v/>
      </c>
      <c r="K33" s="66">
        <f>K31-K32</f>
        <v/>
      </c>
      <c r="L33" s="66" t="n"/>
      <c r="M33" s="66">
        <f>M31-M32</f>
        <v/>
      </c>
      <c r="N33" s="66">
        <f>N31-N32</f>
        <v/>
      </c>
      <c r="O33" s="66">
        <f>O31-O32</f>
        <v/>
      </c>
      <c r="P33" s="67">
        <f>P31-P32</f>
        <v/>
      </c>
      <c r="Q33" s="66">
        <f>Q31-Q32</f>
        <v/>
      </c>
      <c r="R33" s="66">
        <f>R31-R32</f>
        <v/>
      </c>
      <c r="S33" s="66" t="n"/>
      <c r="T33" s="66">
        <f>T31-T32</f>
        <v/>
      </c>
      <c r="U33" s="66">
        <f>U31-U32</f>
        <v/>
      </c>
      <c r="V33" s="66">
        <f>V31-V32</f>
        <v/>
      </c>
      <c r="W33" s="67">
        <f>W31-W32</f>
        <v/>
      </c>
    </row>
    <row r="34" ht="16" customHeight="1" thickBot="1">
      <c r="A34" s="1" t="inlineStr">
        <is>
          <t>ARPC Prepay</t>
        </is>
      </c>
      <c r="B34" s="65">
        <f>IF(B30=0,0,B33/B30)</f>
        <v/>
      </c>
      <c r="C34" s="66">
        <f>IF(C30=0,0,C33/C30)</f>
        <v/>
      </c>
      <c r="D34" s="66">
        <f>IF(D30=0,0,D33/D30)</f>
        <v/>
      </c>
      <c r="E34" s="66">
        <f>IF(E30=0,0,E33/E30)</f>
        <v/>
      </c>
      <c r="F34" s="66">
        <f>IF(F30=0,0,F33/F30)</f>
        <v/>
      </c>
      <c r="G34" s="66">
        <f>IF(G30=0,0,G33/G30)</f>
        <v/>
      </c>
      <c r="H34" s="66">
        <f>IF(H30=0,0,H33/H30)</f>
        <v/>
      </c>
      <c r="I34" s="67">
        <f>IF(I30=0,0,I33/I30)</f>
        <v/>
      </c>
      <c r="J34" s="66">
        <f>IF(J30=0,0,J33/J30)</f>
        <v/>
      </c>
      <c r="K34" s="66">
        <f>IF(K30=0,0,K33/K30)</f>
        <v/>
      </c>
      <c r="L34" s="66">
        <f>IF(L30=0,0,L33/L30)</f>
        <v/>
      </c>
      <c r="M34" s="66">
        <f>IF(M30=0,0,M33/M30)</f>
        <v/>
      </c>
      <c r="N34" s="66">
        <f>IF(N30=0,0,N33/N30)</f>
        <v/>
      </c>
      <c r="O34" s="66">
        <f>IF(O30=0,0,O33/O30)</f>
        <v/>
      </c>
      <c r="P34" s="67">
        <f>IF(P30=0,0,P33/P30)</f>
        <v/>
      </c>
      <c r="Q34" s="66">
        <f>IF(Q30=0,0,Q33/Q30)</f>
        <v/>
      </c>
      <c r="R34" s="66">
        <f>IF(R30=0,0,R33/R30)</f>
        <v/>
      </c>
      <c r="S34" s="66">
        <f>IF(S30=0,0,S33/S30)</f>
        <v/>
      </c>
      <c r="T34" s="66">
        <f>IF(T30=0,0,T33/T30)</f>
        <v/>
      </c>
      <c r="U34" s="66">
        <f>IF(U30=0,0,U33/U30)</f>
        <v/>
      </c>
      <c r="V34" s="66">
        <f>IF(V30=0,0,V33/V30)</f>
        <v/>
      </c>
      <c r="W34" s="67">
        <f>IF(W30=0,0,W33/W30)</f>
        <v/>
      </c>
    </row>
    <row r="35" ht="16" customHeight="1" thickBot="1">
      <c r="A35" s="1" t="n"/>
    </row>
    <row r="36" ht="16" customHeight="1" thickBot="1">
      <c r="A36" s="1" t="inlineStr">
        <is>
          <t>SaaS from Trialers (Gross)</t>
        </is>
      </c>
      <c r="B36" s="66">
        <f>I36+P36+W36</f>
        <v/>
      </c>
      <c r="C36" s="66">
        <f>C8</f>
        <v/>
      </c>
      <c r="D36" s="66">
        <f>D8</f>
        <v/>
      </c>
      <c r="E36" s="66">
        <f>E8</f>
        <v/>
      </c>
      <c r="F36" s="66">
        <f>F8</f>
        <v/>
      </c>
      <c r="G36" s="66">
        <f>G8</f>
        <v/>
      </c>
      <c r="H36" s="66">
        <f>H8</f>
        <v/>
      </c>
      <c r="I36" s="67">
        <f>SUM(C36:H36)</f>
        <v/>
      </c>
      <c r="J36" s="66">
        <f>J8</f>
        <v/>
      </c>
      <c r="K36" s="66">
        <f>K8</f>
        <v/>
      </c>
      <c r="L36" s="66">
        <f>L8</f>
        <v/>
      </c>
      <c r="M36" s="66">
        <f>M8</f>
        <v/>
      </c>
      <c r="N36" s="66">
        <f>N8</f>
        <v/>
      </c>
      <c r="O36" s="66">
        <f>O8</f>
        <v/>
      </c>
      <c r="P36" s="67">
        <f>SUM(J36:O36)</f>
        <v/>
      </c>
      <c r="Q36" s="66">
        <f>Q8</f>
        <v/>
      </c>
      <c r="R36" s="66">
        <f>R8</f>
        <v/>
      </c>
      <c r="S36" s="66">
        <f>S8</f>
        <v/>
      </c>
      <c r="T36" s="66">
        <f>T8</f>
        <v/>
      </c>
      <c r="U36" s="66">
        <f>U8</f>
        <v/>
      </c>
      <c r="V36" s="66">
        <f>V8</f>
        <v/>
      </c>
      <c r="W36" s="67">
        <f>SUM(Q36:V36)</f>
        <v/>
      </c>
    </row>
    <row r="37" ht="16" customHeight="1" thickBot="1">
      <c r="A37" s="1" t="inlineStr">
        <is>
          <t>SaaS from Retained Customers (Gross)</t>
        </is>
      </c>
      <c r="B37" s="66">
        <f>I37+P37+W37</f>
        <v/>
      </c>
      <c r="C37" s="66">
        <f>C28+C33</f>
        <v/>
      </c>
      <c r="D37" s="66">
        <f>D28+D33</f>
        <v/>
      </c>
      <c r="E37" s="66">
        <f>E28+E33</f>
        <v/>
      </c>
      <c r="F37" s="66">
        <f>F28+F33</f>
        <v/>
      </c>
      <c r="G37" s="66">
        <f>G28+G33</f>
        <v/>
      </c>
      <c r="H37" s="66">
        <f>H28+H33</f>
        <v/>
      </c>
      <c r="I37" s="67">
        <f>SUM(C37:H37)</f>
        <v/>
      </c>
      <c r="J37" s="66">
        <f>J28+J33</f>
        <v/>
      </c>
      <c r="K37" s="66">
        <f>K28+K33</f>
        <v/>
      </c>
      <c r="L37" s="66">
        <f>L28+L33</f>
        <v/>
      </c>
      <c r="M37" s="66">
        <f>M28+M33</f>
        <v/>
      </c>
      <c r="N37" s="66">
        <f>N28+N33</f>
        <v/>
      </c>
      <c r="O37" s="66">
        <f>O28+O33</f>
        <v/>
      </c>
      <c r="P37" s="67">
        <f>SUM(J37:O37)</f>
        <v/>
      </c>
      <c r="Q37" s="66">
        <f>Q28+Q33</f>
        <v/>
      </c>
      <c r="R37" s="66">
        <f>R28+R33</f>
        <v/>
      </c>
      <c r="S37" s="66">
        <f>S28+S33</f>
        <v/>
      </c>
      <c r="T37" s="66">
        <f>T28+T33</f>
        <v/>
      </c>
      <c r="U37" s="66">
        <f>U28+U33</f>
        <v/>
      </c>
      <c r="V37" s="66">
        <f>V28+V33</f>
        <v/>
      </c>
      <c r="W37" s="67">
        <f>SUM(Q37:V37)</f>
        <v/>
      </c>
    </row>
    <row r="38" ht="16" customHeight="1" thickBot="1">
      <c r="A38" s="1" t="inlineStr">
        <is>
          <t>Paying Customers Count</t>
        </is>
      </c>
      <c r="B38" s="25">
        <f>B30+B24+B20+B16+B12+B6</f>
        <v/>
      </c>
      <c r="C38" s="25">
        <f>C30+C24+C20+C16+C12+C6</f>
        <v/>
      </c>
      <c r="D38" s="25">
        <f>D30+D24+D20+D16+D12+D6</f>
        <v/>
      </c>
      <c r="E38" s="25">
        <f>E30+E24+E20+E16+E12+E6</f>
        <v/>
      </c>
      <c r="F38" s="25">
        <f>F30+F24+F20+F16+F12+F6</f>
        <v/>
      </c>
      <c r="G38" s="25">
        <f>G30+G24+G20+G16+G12+G6</f>
        <v/>
      </c>
      <c r="H38" s="25">
        <f>H30+H24+H20+H16+H12+H6</f>
        <v/>
      </c>
      <c r="I38" s="64">
        <f>I30+I24+I20+I16+I12+I6</f>
        <v/>
      </c>
      <c r="J38" s="25">
        <f>J30+J24+J20+J16+J12+J6</f>
        <v/>
      </c>
      <c r="K38" s="25">
        <f>K30+K24+K20+K16+K12+K6</f>
        <v/>
      </c>
      <c r="L38" s="25">
        <f>L30+L24+L20+L16+L12+L6</f>
        <v/>
      </c>
      <c r="M38" s="25">
        <f>M30+M24+M20+M16+M12+M6</f>
        <v/>
      </c>
      <c r="N38" s="25">
        <f>N30+N24+N20+N16+N12+N6</f>
        <v/>
      </c>
      <c r="O38" s="25">
        <f>O30+O24+O20+O16+O12+O6</f>
        <v/>
      </c>
      <c r="P38" s="64">
        <f>P30+P24+P20+P16+P12+P6</f>
        <v/>
      </c>
      <c r="Q38" s="25">
        <f>Q30+Q24+Q20+Q16+Q12+Q6</f>
        <v/>
      </c>
      <c r="R38" s="25">
        <f>R30+R24+R20+R16+R12+R6</f>
        <v/>
      </c>
      <c r="S38" s="25">
        <f>S30+S24+S20+S16+S12+S6</f>
        <v/>
      </c>
      <c r="T38" s="25">
        <f>T30+T24+T20+T16+T12+T6</f>
        <v/>
      </c>
      <c r="U38" s="25">
        <f>U30+U24+U20+U16+U12+U6</f>
        <v/>
      </c>
      <c r="V38" s="25">
        <f>V30+V24+V20+V16+V12+V6</f>
        <v/>
      </c>
      <c r="W38" s="64">
        <f>W30+W24+W20+W16+W12+W6</f>
        <v/>
      </c>
    </row>
  </sheetData>
  <pageMargins left="0.7" right="0.7" top="0.75" bottom="0.75" header="0.3" footer="0.3"/>
  <pageSetup orientation="portrait" paperSize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D3" sqref="D3"/>
    </sheetView>
  </sheetViews>
  <sheetFormatPr baseColWidth="10" defaultColWidth="8.83203125" defaultRowHeight="15"/>
  <cols>
    <col width="11.6640625" bestFit="1" customWidth="1" min="4" max="4"/>
  </cols>
  <sheetData>
    <row r="1">
      <c r="A1" s="15" t="inlineStr">
        <is>
          <t>Prepay Affect on Cash</t>
        </is>
      </c>
    </row>
    <row r="2"/>
    <row r="3">
      <c r="A3" t="inlineStr">
        <is>
          <t>Prepay Contracts (cash in)</t>
        </is>
      </c>
      <c r="D3" s="69">
        <f>SUMIFS(INDIRECT("Invoices!N2:N" &amp; CountsForFormulas!$D$4 &amp; ""),INDIRECT("Invoices!F2:F" &amp; CountsForFormulas!$D$4 &amp; ""),"PrepayContract")</f>
        <v/>
      </c>
    </row>
    <row r="4">
      <c r="A4" t="inlineStr">
        <is>
          <t>Prepay Applied to Invoices</t>
        </is>
      </c>
      <c r="D4" s="70">
        <f>SUMIFS(INDIRECT("Invoices!N2:N" &amp; CountsForFormulas!$D$4 &amp; ""),INDIRECT("Invoices!F2:F" &amp; CountsForFormulas!$D$4 &amp; ""),"SaaS")</f>
        <v/>
      </c>
    </row>
    <row r="5">
      <c r="A5" t="inlineStr">
        <is>
          <t>Net</t>
        </is>
      </c>
      <c r="D5" s="66">
        <f>D3+D4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C12" sqref="C12"/>
    </sheetView>
  </sheetViews>
  <sheetFormatPr baseColWidth="10" defaultColWidth="8.83203125" defaultRowHeight="15"/>
  <cols>
    <col width="8.83203125" customWidth="1" style="71" min="3" max="3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2"/>
  <sheetViews>
    <sheetView topLeftCell="AZ1" workbookViewId="0">
      <pane ySplit="1" topLeftCell="A2" activePane="bottomLeft" state="frozenSplit"/>
      <selection pane="bottomLeft" activeCell="BJ3" sqref="BJ3"/>
    </sheetView>
  </sheetViews>
  <sheetFormatPr baseColWidth="10" defaultColWidth="8.83203125" defaultRowHeight="15"/>
  <cols>
    <col width="18.6640625" customWidth="1" style="71" min="20" max="20"/>
    <col width="24.83203125" customWidth="1" style="71" min="21" max="21"/>
    <col width="19.1640625" customWidth="1" style="71" min="22" max="22"/>
    <col width="13.83203125" customWidth="1" min="23" max="23"/>
    <col width="36.83203125" customWidth="1" min="45" max="45"/>
    <col width="61.33203125" customWidth="1" min="46" max="46"/>
    <col width="13.1640625" customWidth="1" min="47" max="47"/>
    <col width="13.1640625" customWidth="1" style="71" min="48" max="49"/>
    <col width="20.6640625" customWidth="1" min="50" max="50"/>
    <col width="16.5" customWidth="1" style="72" min="51" max="51"/>
    <col width="13.1640625" customWidth="1" min="52" max="55"/>
    <col width="22.6640625" customWidth="1" style="71" min="56" max="56"/>
  </cols>
  <sheetData>
    <row r="1">
      <c r="A1" t="inlineStr">
        <is>
          <t>CompanyAccount</t>
        </is>
      </c>
      <c r="B1" t="inlineStr">
        <is>
          <t>BOMCustomerGrouping</t>
        </is>
      </c>
      <c r="C1" t="inlineStr">
        <is>
          <t>EOMCustomerGrouping</t>
        </is>
      </c>
      <c r="D1" t="inlineStr">
        <is>
          <t>SaaSPayType</t>
        </is>
      </c>
      <c r="E1" t="inlineStr">
        <is>
          <t>SyncType</t>
        </is>
      </c>
      <c r="F1" t="inlineStr">
        <is>
          <t>Channel</t>
        </is>
      </c>
      <c r="G1" t="inlineStr">
        <is>
          <t>Platform</t>
        </is>
      </c>
      <c r="H1" t="inlineStr">
        <is>
          <t>AgeAtBOM</t>
        </is>
      </c>
      <c r="I1" t="inlineStr">
        <is>
          <t>SaaSIncomeAmount</t>
        </is>
      </c>
      <c r="J1" t="inlineStr">
        <is>
          <t>SaasExpense</t>
        </is>
      </c>
      <c r="K1" t="inlineStr">
        <is>
          <t>SaaSInvoiceCount</t>
        </is>
      </c>
      <c r="L1" t="inlineStr">
        <is>
          <t>PackPaidCount</t>
        </is>
      </c>
      <c r="M1" t="inlineStr">
        <is>
          <t>UserPaidCount</t>
        </is>
      </c>
      <c r="N1" t="inlineStr">
        <is>
          <t>PSIncomeAmount</t>
        </is>
      </c>
      <c r="O1" t="inlineStr">
        <is>
          <t>PSExpenseAmount</t>
        </is>
      </c>
      <c r="P1" t="inlineStr">
        <is>
          <t>LiabilityPortion</t>
        </is>
      </c>
      <c r="Q1" t="inlineStr">
        <is>
          <t>Partner</t>
        </is>
      </c>
      <c r="R1" t="inlineStr">
        <is>
          <t>IsPartnerManaged</t>
        </is>
      </c>
      <c r="S1" t="inlineStr">
        <is>
          <t>IsActive</t>
        </is>
      </c>
      <c r="T1" s="71" t="inlineStr">
        <is>
          <t>MethodSignUpDate</t>
        </is>
      </c>
      <c r="U1" s="71" t="inlineStr">
        <is>
          <t>FirstSaaSInvoiceTxnDate</t>
        </is>
      </c>
      <c r="V1" s="71" t="inlineStr">
        <is>
          <t>MethodCancellationDate</t>
        </is>
      </c>
      <c r="W1" t="inlineStr">
        <is>
          <t>IsNewPayer</t>
        </is>
      </c>
      <c r="X1" t="inlineStr">
        <is>
          <t>MethodRep</t>
        </is>
      </c>
      <c r="Y1" t="inlineStr">
        <is>
          <t>Offering</t>
        </is>
      </c>
      <c r="Z1" t="inlineStr">
        <is>
          <t>Att_Direct</t>
        </is>
      </c>
      <c r="AA1" t="inlineStr">
        <is>
          <t>Att_SEO</t>
        </is>
      </c>
      <c r="AB1" t="inlineStr">
        <is>
          <t>Att_OPN_Other_Peoples_Networks</t>
        </is>
      </c>
      <c r="AC1" t="inlineStr">
        <is>
          <t>Att_Pay_Per_Click</t>
        </is>
      </c>
      <c r="AD1" t="inlineStr">
        <is>
          <t>Att_Partners</t>
        </is>
      </c>
      <c r="AE1" t="inlineStr">
        <is>
          <t>Att_Email</t>
        </is>
      </c>
      <c r="AF1" t="inlineStr">
        <is>
          <t>Att_Remarketing</t>
        </is>
      </c>
      <c r="AG1" t="inlineStr">
        <is>
          <t>Att_Social</t>
        </is>
      </c>
      <c r="AH1" t="inlineStr">
        <is>
          <t>Att_Help_Center</t>
        </is>
      </c>
      <c r="AI1" t="inlineStr">
        <is>
          <t>Att_Online_Chat_Tool</t>
        </is>
      </c>
      <c r="AJ1" t="inlineStr">
        <is>
          <t>Att_Content</t>
        </is>
      </c>
      <c r="AK1" t="inlineStr">
        <is>
          <t>Att_Banner_Ads</t>
        </is>
      </c>
      <c r="AL1" t="inlineStr">
        <is>
          <t>Att_Seminar_Conference</t>
        </is>
      </c>
      <c r="AM1" t="inlineStr">
        <is>
          <t>Att_Referral_Program</t>
        </is>
      </c>
      <c r="AN1" t="inlineStr">
        <is>
          <t>Att_Referral_Link</t>
        </is>
      </c>
      <c r="AO1" t="inlineStr">
        <is>
          <t>Att_Backlinks</t>
        </is>
      </c>
      <c r="AP1" t="inlineStr">
        <is>
          <t>Att_Other</t>
        </is>
      </c>
      <c r="AQ1" t="inlineStr">
        <is>
          <t>Att_None</t>
        </is>
      </c>
      <c r="AR1" t="inlineStr">
        <is>
          <t>SyncTypeRegion</t>
        </is>
      </c>
      <c r="AS1" t="inlineStr">
        <is>
          <t>Vertical</t>
        </is>
      </c>
      <c r="AT1" t="inlineStr">
        <is>
          <t>Sector</t>
        </is>
      </c>
      <c r="AU1" t="inlineStr">
        <is>
          <t>CustDatIndustry</t>
        </is>
      </c>
      <c r="AV1" s="71" t="inlineStr">
        <is>
          <t>CustDatFirstSyncCompleted</t>
        </is>
      </c>
      <c r="AW1" s="71" t="inlineStr">
        <is>
          <t>CustDatLastRefreshed</t>
        </is>
      </c>
      <c r="AX1" t="inlineStr">
        <is>
          <t>CustDatCountOfEmployees</t>
        </is>
      </c>
      <c r="AY1" s="72" t="inlineStr">
        <is>
          <t>CustDatAnnualSales</t>
        </is>
      </c>
      <c r="AZ1" t="inlineStr">
        <is>
          <t>CustDatCountOfCustomers</t>
        </is>
      </c>
      <c r="BA1" t="inlineStr">
        <is>
          <t>LicenseCount</t>
        </is>
      </c>
      <c r="BB1" t="inlineStr">
        <is>
          <t>CountOfCustomScreens</t>
        </is>
      </c>
      <c r="BC1" t="inlineStr">
        <is>
          <t>CountOfCustomScreensMN</t>
        </is>
      </c>
      <c r="BD1" s="71" t="inlineStr">
        <is>
          <t>FromDateFilter</t>
        </is>
      </c>
      <c r="BE1" t="inlineStr">
        <is>
          <t>ToDateFilter</t>
        </is>
      </c>
      <c r="BF1" t="inlineStr">
        <is>
          <t>ConversionException</t>
        </is>
      </c>
      <c r="BG1" t="inlineStr">
        <is>
          <t>ChurnException</t>
        </is>
      </c>
      <c r="BH1" t="inlineStr">
        <is>
          <t>Custdatlastsaasamount</t>
        </is>
      </c>
      <c r="BI1" t="inlineStr">
        <is>
          <t>Custdatpreviouslastsaasamount</t>
        </is>
      </c>
      <c r="BJ1" t="inlineStr">
        <is>
          <t>SaaSPayTypeCurrent</t>
        </is>
      </c>
    </row>
    <row r="2">
      <c r="A2" t="inlineStr">
        <is>
          <t>freedupsolutions</t>
        </is>
      </c>
      <c r="B2" t="inlineStr">
        <is>
          <t>Customer</t>
        </is>
      </c>
      <c r="C2" t="inlineStr">
        <is>
          <t>Customer</t>
        </is>
      </c>
      <c r="D2" t="inlineStr">
        <is>
          <t>Monthly</t>
        </is>
      </c>
      <c r="E2" t="inlineStr">
        <is>
          <t>QBDT</t>
        </is>
      </c>
      <c r="F2" t="inlineStr">
        <is>
          <t>Direct</t>
        </is>
      </c>
      <c r="G2" t="inlineStr">
        <is>
          <t>New</t>
        </is>
      </c>
      <c r="H2" t="n">
        <v>3378</v>
      </c>
      <c r="I2" t="n">
        <v>0</v>
      </c>
      <c r="J2" t="n">
        <v>0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R2" t="b">
        <v>0</v>
      </c>
      <c r="S2" t="b">
        <v>1</v>
      </c>
      <c r="T2" s="71" t="n">
        <v>39722.66666666666</v>
      </c>
      <c r="U2" s="71" t="n">
        <v>41244.70833333334</v>
      </c>
      <c r="V2" s="71" t="n">
        <v>0</v>
      </c>
      <c r="W2">
        <f>IF(IF(B2="none",1,IF(B2="Trialer",1,0))+IF(C2="Customer",1,IF(C2="Lost",1,0))=2,1,0)</f>
        <v/>
      </c>
      <c r="X2" t="inlineStr">
        <is>
          <t>MaBin</t>
        </is>
      </c>
      <c r="Y2" t="inlineStr">
        <is>
          <t>Method CRM Pro for QB Desktop</t>
        </is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1</v>
      </c>
      <c r="AR2" t="inlineStr">
        <is>
          <t>US</t>
        </is>
      </c>
      <c r="AS2" t="inlineStr">
        <is>
          <t>Accounting and Bookkeeping</t>
        </is>
      </c>
      <c r="AT2" t="inlineStr">
        <is>
          <t>accounting_bookkeeping</t>
        </is>
      </c>
      <c r="AU2" t="inlineStr">
        <is>
          <t>accounting_bookkeeping</t>
        </is>
      </c>
      <c r="AV2" s="71" t="n">
        <v>40542</v>
      </c>
      <c r="AW2" s="71" t="n">
        <v>43391.0875</v>
      </c>
      <c r="AX2" t="n">
        <v>0</v>
      </c>
      <c r="AY2" t="n">
        <v>0</v>
      </c>
      <c r="AZ2" t="n">
        <v>577</v>
      </c>
      <c r="BA2" t="n">
        <v>2</v>
      </c>
      <c r="BB2" t="n">
        <v>63</v>
      </c>
      <c r="BC2" t="n">
        <v>27</v>
      </c>
      <c r="BD2" s="71" t="inlineStr">
        <is>
          <t>2020-Apr-01 04:00</t>
        </is>
      </c>
      <c r="BE2" t="inlineStr">
        <is>
          <t>2020-May-01 04:00</t>
        </is>
      </c>
      <c r="BF2" t="b">
        <v>0</v>
      </c>
      <c r="BG2" t="b">
        <v>0</v>
      </c>
      <c r="BH2" t="n">
        <v>0</v>
      </c>
      <c r="BI2" t="n">
        <v>0</v>
      </c>
      <c r="BJ2" t="inlineStr">
        <is>
          <t>Monthly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T1" workbookViewId="0">
      <pane ySplit="1" topLeftCell="A54" activePane="bottomLeft" state="frozen"/>
      <selection pane="bottomLeft" activeCell="K21" sqref="K2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8.83203125" customWidth="1" min="1" max="1"/>
    <col width="16.5" customWidth="1" min="2" max="2"/>
    <col width="17" customWidth="1" style="71" min="3" max="3"/>
    <col width="8.83203125" customWidth="1" min="4" max="4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8.83203125" customWidth="1" min="1" max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T2626"/>
  <sheetViews>
    <sheetView zoomScale="110" zoomScaleNormal="110" workbookViewId="0">
      <selection activeCell="D10" sqref="D10"/>
    </sheetView>
  </sheetViews>
  <sheetFormatPr baseColWidth="10" defaultColWidth="11.5" defaultRowHeight="15"/>
  <cols>
    <col width="22.6640625" customWidth="1" min="1" max="1"/>
    <col width="22.6640625" customWidth="1" style="73" min="2" max="2"/>
    <col width="22.6640625" customWidth="1" style="25" min="3" max="3"/>
    <col width="22.6640625" customWidth="1" min="4" max="434"/>
  </cols>
  <sheetData>
    <row r="1" ht="102" customFormat="1" customHeight="1" s="28">
      <c r="A1" s="28" t="inlineStr">
        <is>
          <t>SyncType</t>
        </is>
      </c>
      <c r="B1" s="74" t="inlineStr">
        <is>
          <t>Date</t>
        </is>
      </c>
      <c r="C1" s="30" t="inlineStr">
        <is>
          <t>Days in Month</t>
        </is>
      </c>
      <c r="D1" s="28" t="inlineStr">
        <is>
          <t>Trials</t>
        </is>
      </c>
      <c r="E1" s="28" t="inlineStr">
        <is>
          <t>Total Customers BOM</t>
        </is>
      </c>
      <c r="F1" s="28" t="inlineStr">
        <is>
          <t>Total Customers EOM</t>
        </is>
      </c>
      <c r="G1" s="28" t="inlineStr">
        <is>
          <t>Lost Customers</t>
        </is>
      </c>
      <c r="H1" s="28" t="inlineStr">
        <is>
          <t>Same Month Trials to Customers</t>
        </is>
      </c>
      <c r="I1" s="28" t="inlineStr">
        <is>
          <t>Same Month Trial to Customer Conversion Rate</t>
        </is>
      </c>
      <c r="J1" s="28" t="inlineStr">
        <is>
          <t>30 -Day Conversions</t>
        </is>
      </c>
      <c r="K1" s="28" t="inlineStr">
        <is>
          <t>60-Day Conversions</t>
        </is>
      </c>
      <c r="L1" s="28" t="inlineStr">
        <is>
          <t>90-Day Conversions</t>
        </is>
      </c>
      <c r="M1" s="28" t="inlineStr">
        <is>
          <t>Linear Conversions</t>
        </is>
      </c>
      <c r="N1" s="28" t="inlineStr">
        <is>
          <t>Linear Conversion Rate</t>
        </is>
      </c>
      <c r="O1" s="28" t="inlineStr">
        <is>
          <t>ARPC. First Invoice</t>
        </is>
      </c>
      <c r="P1" s="28" t="inlineStr">
        <is>
          <t>Revenue from Trials</t>
        </is>
      </c>
      <c r="Q1" s="28" t="inlineStr">
        <is>
          <t>Saas Revenue</t>
        </is>
      </c>
      <c r="R1" s="28" t="inlineStr">
        <is>
          <t>PS Revenue</t>
        </is>
      </c>
      <c r="S1" s="28" t="inlineStr">
        <is>
          <t>ARPC</t>
        </is>
      </c>
      <c r="T1" s="28" t="inlineStr">
        <is>
          <t>MRR</t>
        </is>
      </c>
      <c r="U1" s="28" t="inlineStr">
        <is>
          <t>Same Month Conversions SEO</t>
        </is>
      </c>
      <c r="V1" s="28" t="inlineStr">
        <is>
          <t>Same Month Conversions SEM</t>
        </is>
      </c>
      <c r="W1" s="28" t="inlineStr">
        <is>
          <t>Same Month Conversions Intuit</t>
        </is>
      </c>
      <c r="X1" s="28" t="inlineStr">
        <is>
          <t>Same Month Conversions Partner</t>
        </is>
      </c>
      <c r="Y1" s="28" t="inlineStr">
        <is>
          <t>Same Month Conversions Owned</t>
        </is>
      </c>
      <c r="Z1" s="28" t="inlineStr">
        <is>
          <t>Same Month Conversions Email</t>
        </is>
      </c>
      <c r="AA1" s="28" t="inlineStr">
        <is>
          <t>Same Month Conversions Direct</t>
        </is>
      </c>
      <c r="AB1" s="28" t="inlineStr">
        <is>
          <t>Same Month Conversions Social</t>
        </is>
      </c>
      <c r="AC1" s="28" t="inlineStr">
        <is>
          <t>Same Month Conversions Unkown</t>
        </is>
      </c>
      <c r="AD1" s="28" t="inlineStr">
        <is>
          <t>30-Day Conversions SEO</t>
        </is>
      </c>
      <c r="AE1" s="28" t="inlineStr">
        <is>
          <t>30-Day Conversions SEM</t>
        </is>
      </c>
      <c r="AF1" s="28" t="inlineStr">
        <is>
          <t>30-Day Conversions Intuit</t>
        </is>
      </c>
      <c r="AG1" s="28" t="inlineStr">
        <is>
          <t>30-Day Conversions Partner</t>
        </is>
      </c>
      <c r="AH1" s="28" t="inlineStr">
        <is>
          <t>30-Day Conversions Email</t>
        </is>
      </c>
      <c r="AI1" s="28" t="inlineStr">
        <is>
          <t>30-Day Conversions Direct</t>
        </is>
      </c>
      <c r="AJ1" s="28" t="inlineStr">
        <is>
          <t>30-Day Conversions Social</t>
        </is>
      </c>
      <c r="AK1" s="28" t="inlineStr">
        <is>
          <t>30-Day Conversions Unkown</t>
        </is>
      </c>
      <c r="AL1" s="28" t="inlineStr">
        <is>
          <t>60-Day Conversions SEO</t>
        </is>
      </c>
      <c r="AM1" s="28" t="inlineStr">
        <is>
          <t>60-Day Conversions SEM</t>
        </is>
      </c>
      <c r="AN1" s="28" t="inlineStr">
        <is>
          <t>60-Day Conversions Intuit</t>
        </is>
      </c>
      <c r="AO1" s="28" t="inlineStr">
        <is>
          <t>60-Day Conversions Partner</t>
        </is>
      </c>
      <c r="AP1" s="28" t="inlineStr">
        <is>
          <t>60-Day Conversions Email</t>
        </is>
      </c>
      <c r="AQ1" s="28" t="inlineStr">
        <is>
          <t>60-Day Conversions Direct</t>
        </is>
      </c>
      <c r="AR1" s="28" t="inlineStr">
        <is>
          <t>60-Day Conversions Social</t>
        </is>
      </c>
      <c r="AS1" s="28" t="inlineStr">
        <is>
          <t>60-Day Conversions Unkown</t>
        </is>
      </c>
      <c r="AT1" s="28" t="inlineStr">
        <is>
          <t>Linear Conversion Rate SEO</t>
        </is>
      </c>
      <c r="AU1" s="28" t="inlineStr">
        <is>
          <t>Linear Conversion Rate SEM</t>
        </is>
      </c>
      <c r="AV1" s="28" t="inlineStr">
        <is>
          <t>Linear Conversion Rate Intuit</t>
        </is>
      </c>
      <c r="AW1" s="28" t="inlineStr">
        <is>
          <t>Linear Conversion Rate Partner</t>
        </is>
      </c>
      <c r="AX1" s="28" t="inlineStr">
        <is>
          <t>Linear Conversion Rate Owned</t>
        </is>
      </c>
      <c r="AY1" s="28" t="inlineStr">
        <is>
          <t>Linear Conversion Rate Email</t>
        </is>
      </c>
      <c r="AZ1" s="28" t="inlineStr">
        <is>
          <t>Linear Conversion Rate Direct</t>
        </is>
      </c>
      <c r="BA1" s="28" t="inlineStr">
        <is>
          <t>Linear Conversion Rate Social</t>
        </is>
      </c>
      <c r="BB1" s="28" t="inlineStr">
        <is>
          <t>Linear Conversion Rate Unkown</t>
        </is>
      </c>
      <c r="BC1" s="28" t="inlineStr">
        <is>
          <t>Overall Monthly Churn</t>
        </is>
      </c>
      <c r="BD1" s="28" t="inlineStr">
        <is>
          <t>Overall Churn SEO</t>
        </is>
      </c>
      <c r="BE1" s="28" t="inlineStr">
        <is>
          <t>Overall Churn SEM</t>
        </is>
      </c>
      <c r="BF1" s="28" t="inlineStr">
        <is>
          <t>Overall Churn Intuit</t>
        </is>
      </c>
      <c r="BG1" s="28" t="inlineStr">
        <is>
          <t>Overall Churn Partner</t>
        </is>
      </c>
      <c r="BH1" s="28" t="inlineStr">
        <is>
          <t>Overall Churn Owned</t>
        </is>
      </c>
      <c r="BI1" s="28" t="inlineStr">
        <is>
          <t>Overall Churn Email</t>
        </is>
      </c>
      <c r="BJ1" s="28" t="inlineStr">
        <is>
          <t>Overall Churn Direct</t>
        </is>
      </c>
      <c r="BK1" s="28" t="inlineStr">
        <is>
          <t>Overall Churn Social</t>
        </is>
      </c>
      <c r="BL1" s="28" t="inlineStr">
        <is>
          <t>Overall Churn Unknown</t>
        </is>
      </c>
      <c r="BM1" s="28" t="inlineStr">
        <is>
          <t>Trials SEO</t>
        </is>
      </c>
      <c r="BN1" s="28" t="inlineStr">
        <is>
          <t>Trials SEM</t>
        </is>
      </c>
      <c r="BO1" s="28" t="inlineStr">
        <is>
          <t>Trials Intuit</t>
        </is>
      </c>
      <c r="BP1" s="28" t="inlineStr">
        <is>
          <t>Trials Partners</t>
        </is>
      </c>
      <c r="BQ1" s="28" t="inlineStr">
        <is>
          <t>Trials Email</t>
        </is>
      </c>
      <c r="BR1" s="28" t="inlineStr">
        <is>
          <t>Trials Owned</t>
        </is>
      </c>
      <c r="BS1" s="28" t="inlineStr">
        <is>
          <t>Trials Direct</t>
        </is>
      </c>
      <c r="BT1" s="28" t="inlineStr">
        <is>
          <t>Trials Social</t>
        </is>
      </c>
      <c r="BU1" s="28" t="inlineStr">
        <is>
          <t>Trials Unknown</t>
        </is>
      </c>
      <c r="BV1" s="28" t="inlineStr">
        <is>
          <t>MRR SEO</t>
        </is>
      </c>
      <c r="BW1" s="28" t="inlineStr">
        <is>
          <t>MRR SEM</t>
        </is>
      </c>
      <c r="BX1" s="28" t="inlineStr">
        <is>
          <t>MRR Intuit</t>
        </is>
      </c>
      <c r="BY1" s="28" t="inlineStr">
        <is>
          <t>MRR Partners</t>
        </is>
      </c>
      <c r="BZ1" s="28" t="inlineStr">
        <is>
          <t>MRR Owned</t>
        </is>
      </c>
      <c r="CA1" s="28" t="inlineStr">
        <is>
          <t>MRR Email</t>
        </is>
      </c>
      <c r="CB1" s="28" t="inlineStr">
        <is>
          <t>MRR Direct</t>
        </is>
      </c>
      <c r="CC1" s="28" t="inlineStr">
        <is>
          <t>MRR Social</t>
        </is>
      </c>
      <c r="CD1" s="28" t="inlineStr">
        <is>
          <t>MRR Unknown</t>
        </is>
      </c>
      <c r="CE1" s="28" t="inlineStr">
        <is>
          <t>ARPC SEO</t>
        </is>
      </c>
      <c r="CF1" s="28" t="inlineStr">
        <is>
          <t>ARPC SEM</t>
        </is>
      </c>
      <c r="CG1" s="28" t="inlineStr">
        <is>
          <t>ARPC Intuit</t>
        </is>
      </c>
      <c r="CH1" s="28" t="inlineStr">
        <is>
          <t>ARPC Partners</t>
        </is>
      </c>
      <c r="CI1" s="28" t="inlineStr">
        <is>
          <t>ARPC Owned</t>
        </is>
      </c>
      <c r="CJ1" s="28" t="inlineStr">
        <is>
          <t>ARPC Email</t>
        </is>
      </c>
      <c r="CK1" s="28" t="inlineStr">
        <is>
          <t>ARPC Direct</t>
        </is>
      </c>
      <c r="CL1" s="28" t="inlineStr">
        <is>
          <t>ARPC Social</t>
        </is>
      </c>
      <c r="CM1" s="28" t="inlineStr">
        <is>
          <t>ARPC Unknown</t>
        </is>
      </c>
      <c r="CN1" s="28" t="inlineStr">
        <is>
          <t>LTR SEO</t>
        </is>
      </c>
      <c r="CO1" s="28" t="inlineStr">
        <is>
          <t>LTR SEM</t>
        </is>
      </c>
      <c r="CP1" s="28" t="inlineStr">
        <is>
          <t>LTR Intuit</t>
        </is>
      </c>
      <c r="CQ1" s="28" t="inlineStr">
        <is>
          <t>LTR Partners</t>
        </is>
      </c>
      <c r="CR1" s="28" t="inlineStr">
        <is>
          <t>LTR Owned</t>
        </is>
      </c>
      <c r="CS1" s="28" t="inlineStr">
        <is>
          <t>LTR Email</t>
        </is>
      </c>
      <c r="CT1" s="28" t="inlineStr">
        <is>
          <t>LTR Direct</t>
        </is>
      </c>
      <c r="CU1" s="28" t="inlineStr">
        <is>
          <t>LTR Social</t>
        </is>
      </c>
      <c r="CV1" s="28" t="inlineStr">
        <is>
          <t>LTR Unknown</t>
        </is>
      </c>
      <c r="CW1" s="28" t="inlineStr">
        <is>
          <t>Churn Manufacturing</t>
        </is>
      </c>
      <c r="CX1" s="28" t="inlineStr">
        <is>
          <t>Trials  Manufacturing</t>
        </is>
      </c>
      <c r="CY1" s="28" t="inlineStr">
        <is>
          <t>BOM Manufacturing</t>
        </is>
      </c>
      <c r="CZ1" s="28" t="inlineStr">
        <is>
          <t>Saas Revenue Manufacturing</t>
        </is>
      </c>
      <c r="DA1" s="28" t="inlineStr">
        <is>
          <t>PS Revenue Manufacturing</t>
        </is>
      </c>
      <c r="DB1" s="28" t="inlineStr">
        <is>
          <t>MRR Manufacturing</t>
        </is>
      </c>
      <c r="DC1" s="28" t="inlineStr">
        <is>
          <t>ARPC Manufacturing</t>
        </is>
      </c>
      <c r="DD1" s="28" t="inlineStr">
        <is>
          <t>LTR Manufacturing</t>
        </is>
      </c>
      <c r="DE1" s="28" t="inlineStr">
        <is>
          <t>Customer Average Annual Revenue -  Manufacturing</t>
        </is>
      </c>
      <c r="DF1" s="28" t="inlineStr">
        <is>
          <t>Customer Average Number of Employees - Manufacturing</t>
        </is>
      </c>
      <c r="DG1" s="28" t="inlineStr">
        <is>
          <t>Trials Average Annual Revenue -  Manufacturing</t>
        </is>
      </c>
      <c r="DH1" s="28" t="inlineStr">
        <is>
          <t>Trials Average Number of Employees - Manufacturing</t>
        </is>
      </c>
      <c r="DI1" s="28" t="inlineStr">
        <is>
          <t>BOM - SEO Manufacturing</t>
        </is>
      </c>
      <c r="DJ1" s="28" t="inlineStr">
        <is>
          <t>BOM - SEM Manufacturing</t>
        </is>
      </c>
      <c r="DK1" s="28" t="inlineStr">
        <is>
          <t>BOM - Intuit Manufacturing</t>
        </is>
      </c>
      <c r="DL1" s="28" t="inlineStr">
        <is>
          <t>BOM - Partner Manufacturing</t>
        </is>
      </c>
      <c r="DM1" s="28" t="inlineStr">
        <is>
          <t>BOM - Email Manufacturing</t>
        </is>
      </c>
      <c r="DN1" s="28" t="inlineStr">
        <is>
          <t>BOM - Direct Manufacturing</t>
        </is>
      </c>
      <c r="DO1" s="28" t="inlineStr">
        <is>
          <t>BOM -  Social Manufacturing</t>
        </is>
      </c>
      <c r="DP1" s="28" t="inlineStr">
        <is>
          <t>BOM - Unknown Manufacturing</t>
        </is>
      </c>
      <c r="DQ1" s="28" t="inlineStr">
        <is>
          <t>Trials - SEO Manufacturing</t>
        </is>
      </c>
      <c r="DR1" s="28" t="inlineStr">
        <is>
          <t>Trials - SEM Manufacturing</t>
        </is>
      </c>
      <c r="DS1" s="28" t="inlineStr">
        <is>
          <t>Trials - Intuit Manufacturing</t>
        </is>
      </c>
      <c r="DT1" s="28" t="inlineStr">
        <is>
          <t>Trials - Partner Manufacturing</t>
        </is>
      </c>
      <c r="DU1" s="28" t="inlineStr">
        <is>
          <t>Trials Email Manufacturing</t>
        </is>
      </c>
      <c r="DV1" s="28" t="inlineStr">
        <is>
          <t>Trials - Direct Manufacturing</t>
        </is>
      </c>
      <c r="DW1" s="28" t="inlineStr">
        <is>
          <t>Trials Social Manufacturing</t>
        </is>
      </c>
      <c r="DX1" s="28" t="inlineStr">
        <is>
          <t>Trials - Unknown Manufacturing</t>
        </is>
      </c>
      <c r="DY1" s="28" t="inlineStr">
        <is>
          <t>Churn Wholesale and distribution</t>
        </is>
      </c>
      <c r="DZ1" s="28" t="inlineStr">
        <is>
          <t>Trials  Wholesale and distribution</t>
        </is>
      </c>
      <c r="EA1" s="28" t="inlineStr">
        <is>
          <t>BOM Wholesale and distribution</t>
        </is>
      </c>
      <c r="EB1" s="28" t="inlineStr">
        <is>
          <t>Saas Revenue Wholesale and distribution</t>
        </is>
      </c>
      <c r="EC1" s="28" t="inlineStr">
        <is>
          <t>PS Revenue Wholesale and distribution</t>
        </is>
      </c>
      <c r="ED1" s="28" t="inlineStr">
        <is>
          <t>MRR Wholesale and distribution</t>
        </is>
      </c>
      <c r="EE1" s="28" t="inlineStr">
        <is>
          <t>ARPC Wholesale and distribution</t>
        </is>
      </c>
      <c r="EF1" s="28" t="inlineStr">
        <is>
          <t>LTR Wholesale and distribution</t>
        </is>
      </c>
      <c r="EG1" s="28" t="inlineStr">
        <is>
          <t>Customer Average Annual Revenue -  Wholesale and distribution</t>
        </is>
      </c>
      <c r="EH1" s="28" t="inlineStr">
        <is>
          <t>Customer Average Number of Employees - Wholesale and distribution</t>
        </is>
      </c>
      <c r="EI1" s="28" t="inlineStr">
        <is>
          <t>Trials Average Annual Revenue -  Wholesale and distribution</t>
        </is>
      </c>
      <c r="EJ1" s="28" t="inlineStr">
        <is>
          <t>Trials Average Number of Employees - Wholesale and distribution</t>
        </is>
      </c>
      <c r="EK1" s="28" t="inlineStr">
        <is>
          <t>BOM - SEO Wholesale and distribution</t>
        </is>
      </c>
      <c r="EL1" s="28" t="inlineStr">
        <is>
          <t>BOM - SEM Wholesale and distribution</t>
        </is>
      </c>
      <c r="EM1" s="28" t="inlineStr">
        <is>
          <t>BOM - Intuit Wholesale and distribution</t>
        </is>
      </c>
      <c r="EN1" s="28" t="inlineStr">
        <is>
          <t>BOM - Partner Wholesale and distribution</t>
        </is>
      </c>
      <c r="EO1" s="28" t="inlineStr">
        <is>
          <t>BOM - Email Wholesale and distribution</t>
        </is>
      </c>
      <c r="EP1" s="28" t="inlineStr">
        <is>
          <t>BOM - Direct Wholesale and distribution</t>
        </is>
      </c>
      <c r="EQ1" s="28" t="inlineStr">
        <is>
          <t>BOM -  Social Wholesale and distribution</t>
        </is>
      </c>
      <c r="ER1" s="28" t="inlineStr">
        <is>
          <t>BOM - Unknown Wholesale and distribution</t>
        </is>
      </c>
      <c r="ES1" s="28" t="inlineStr">
        <is>
          <t>Trials - SEO Wholesale and distribution</t>
        </is>
      </c>
      <c r="ET1" s="28" t="inlineStr">
        <is>
          <t>Trials - SEM Wholesale and distribution</t>
        </is>
      </c>
      <c r="EU1" s="28" t="inlineStr">
        <is>
          <t>Trials - Intuit Wholesale and distribution</t>
        </is>
      </c>
      <c r="EV1" s="28" t="inlineStr">
        <is>
          <t>Trials - Partner Wholesale and distribution</t>
        </is>
      </c>
      <c r="EW1" s="28" t="inlineStr">
        <is>
          <t>Trials Email Wholesale and distribution</t>
        </is>
      </c>
      <c r="EX1" s="28" t="inlineStr">
        <is>
          <t>Trials - Direct Wholesale and distribution</t>
        </is>
      </c>
      <c r="EY1" s="28" t="inlineStr">
        <is>
          <t>Trials Social Wholesale and distribution</t>
        </is>
      </c>
      <c r="EZ1" s="28" t="inlineStr">
        <is>
          <t>Trials - Unknown Wholesale and distribution</t>
        </is>
      </c>
      <c r="FA1" s="28" t="inlineStr">
        <is>
          <t>Churn Construction</t>
        </is>
      </c>
      <c r="FB1" s="28" t="inlineStr">
        <is>
          <t>Trials  Construction</t>
        </is>
      </c>
      <c r="FC1" s="28" t="inlineStr">
        <is>
          <t>BOM Construction</t>
        </is>
      </c>
      <c r="FD1" s="28" t="inlineStr">
        <is>
          <t>Saas Revenue Construction</t>
        </is>
      </c>
      <c r="FE1" s="28" t="inlineStr">
        <is>
          <t>PS Revenue Construction</t>
        </is>
      </c>
      <c r="FF1" s="28" t="inlineStr">
        <is>
          <t>MRR Construction</t>
        </is>
      </c>
      <c r="FG1" s="28" t="inlineStr">
        <is>
          <t>ARPC Construction</t>
        </is>
      </c>
      <c r="FH1" s="28" t="inlineStr">
        <is>
          <t>LTR Construction</t>
        </is>
      </c>
      <c r="FI1" s="28" t="inlineStr">
        <is>
          <t>Customer Average Annual Revenue -  Construction</t>
        </is>
      </c>
      <c r="FJ1" s="28" t="inlineStr">
        <is>
          <t>Customer Average Number of Employees - Construction</t>
        </is>
      </c>
      <c r="FK1" s="28" t="inlineStr">
        <is>
          <t>Trials Average Annual Revenue -  Construction</t>
        </is>
      </c>
      <c r="FL1" s="28" t="inlineStr">
        <is>
          <t>Trials Average Number of Employees - Construction</t>
        </is>
      </c>
      <c r="FM1" s="28" t="inlineStr">
        <is>
          <t>BOM - SEO Construction</t>
        </is>
      </c>
      <c r="FN1" s="28" t="inlineStr">
        <is>
          <t>BOM - SEM Construction</t>
        </is>
      </c>
      <c r="FO1" s="28" t="inlineStr">
        <is>
          <t>BOM - Intuit Construction</t>
        </is>
      </c>
      <c r="FP1" s="28" t="inlineStr">
        <is>
          <t>BOM - Partner Construction</t>
        </is>
      </c>
      <c r="FQ1" s="28" t="inlineStr">
        <is>
          <t>BOM - Email Construction</t>
        </is>
      </c>
      <c r="FR1" s="28" t="inlineStr">
        <is>
          <t>BOM - Direct Construction</t>
        </is>
      </c>
      <c r="FS1" s="28" t="inlineStr">
        <is>
          <t>BOM -  Social Construction</t>
        </is>
      </c>
      <c r="FT1" s="28" t="inlineStr">
        <is>
          <t>BOM - Unknown Construction</t>
        </is>
      </c>
      <c r="FU1" s="28" t="inlineStr">
        <is>
          <t>Trials - SEO Construction</t>
        </is>
      </c>
      <c r="FV1" s="28" t="inlineStr">
        <is>
          <t>Trials - SEM Construction</t>
        </is>
      </c>
      <c r="FW1" s="28" t="inlineStr">
        <is>
          <t>Trials - Intuit Construction</t>
        </is>
      </c>
      <c r="FX1" s="28" t="inlineStr">
        <is>
          <t>Trials - Partner Construction</t>
        </is>
      </c>
      <c r="FY1" s="28" t="inlineStr">
        <is>
          <t>Trials Email Construction</t>
        </is>
      </c>
      <c r="FZ1" s="28" t="inlineStr">
        <is>
          <t>Trials - Direct Construction</t>
        </is>
      </c>
      <c r="GA1" s="28" t="inlineStr">
        <is>
          <t>Trials Social Construction</t>
        </is>
      </c>
      <c r="GB1" s="28" t="inlineStr">
        <is>
          <t>Trials - Unknown Construction</t>
        </is>
      </c>
      <c r="GC1" s="28" t="inlineStr">
        <is>
          <t>Churn Field Services</t>
        </is>
      </c>
      <c r="GD1" s="28" t="inlineStr">
        <is>
          <t>Trials  Field Services</t>
        </is>
      </c>
      <c r="GE1" s="28" t="inlineStr">
        <is>
          <t>BOM Field Services</t>
        </is>
      </c>
      <c r="GF1" s="28" t="inlineStr">
        <is>
          <t>Saas Revenue Field Services</t>
        </is>
      </c>
      <c r="GG1" s="28" t="inlineStr">
        <is>
          <t>PS Revenue Field Services</t>
        </is>
      </c>
      <c r="GH1" s="28" t="inlineStr">
        <is>
          <t>MRR Field Services</t>
        </is>
      </c>
      <c r="GI1" s="28" t="inlineStr">
        <is>
          <t>ARPC Field Services</t>
        </is>
      </c>
      <c r="GJ1" s="28" t="inlineStr">
        <is>
          <t>LTR Field Services</t>
        </is>
      </c>
      <c r="GK1" s="28" t="inlineStr">
        <is>
          <t>Customer Average Annual Revenue -  Field Services</t>
        </is>
      </c>
      <c r="GL1" s="28" t="inlineStr">
        <is>
          <t>Customer Average Number of Employees - Field Services</t>
        </is>
      </c>
      <c r="GM1" s="28" t="inlineStr">
        <is>
          <t>Trials Average Annual Revenue -  Field Services</t>
        </is>
      </c>
      <c r="GN1" s="28" t="inlineStr">
        <is>
          <t>Trials Average Number of Employees - Field Services</t>
        </is>
      </c>
      <c r="GO1" s="28" t="inlineStr">
        <is>
          <t>BOM - SEO Field Services</t>
        </is>
      </c>
      <c r="GP1" s="28" t="inlineStr">
        <is>
          <t>BOM - SEM Field Services</t>
        </is>
      </c>
      <c r="GQ1" s="28" t="inlineStr">
        <is>
          <t>BOM - Intuit Field Services</t>
        </is>
      </c>
      <c r="GR1" s="28" t="inlineStr">
        <is>
          <t>BOM - Partner Field Services</t>
        </is>
      </c>
      <c r="GS1" s="28" t="inlineStr">
        <is>
          <t>BOM - Email Field Services</t>
        </is>
      </c>
      <c r="GT1" s="28" t="inlineStr">
        <is>
          <t>BOM - Direct Field Services</t>
        </is>
      </c>
      <c r="GU1" s="28" t="inlineStr">
        <is>
          <t>BOM -  Social Field Services</t>
        </is>
      </c>
      <c r="GV1" s="28" t="inlineStr">
        <is>
          <t>BOM - Unknown Field Services</t>
        </is>
      </c>
      <c r="GW1" s="28" t="inlineStr">
        <is>
          <t>Trials - SEO Field Services</t>
        </is>
      </c>
      <c r="GX1" s="28" t="inlineStr">
        <is>
          <t>Trials - SEM Field Services</t>
        </is>
      </c>
      <c r="GY1" s="28" t="inlineStr">
        <is>
          <t>Trials - Intuit Field Services</t>
        </is>
      </c>
      <c r="GZ1" s="28" t="inlineStr">
        <is>
          <t>Trials - Partner Field Services</t>
        </is>
      </c>
      <c r="HA1" s="28" t="inlineStr">
        <is>
          <t>Trials Email Field Services</t>
        </is>
      </c>
      <c r="HB1" s="28" t="inlineStr">
        <is>
          <t>Trials - Direct Field Services</t>
        </is>
      </c>
      <c r="HC1" s="28" t="inlineStr">
        <is>
          <t>Trials Social Field Services</t>
        </is>
      </c>
      <c r="HD1" s="28" t="inlineStr">
        <is>
          <t>Trials - Unknown Field Services</t>
        </is>
      </c>
      <c r="HE1" s="28" t="inlineStr">
        <is>
          <t>Churn Consulting and Professional Services</t>
        </is>
      </c>
      <c r="HF1" s="28" t="inlineStr">
        <is>
          <t>Trials  Consulting and Professional Services</t>
        </is>
      </c>
      <c r="HG1" s="28" t="inlineStr">
        <is>
          <t>BOM Consulting and Professional Services</t>
        </is>
      </c>
      <c r="HH1" s="28" t="inlineStr">
        <is>
          <t>Saas Revenue Consulting and Professional Services</t>
        </is>
      </c>
      <c r="HI1" s="28" t="inlineStr">
        <is>
          <t>PS Revenue Consulting and Professional Services</t>
        </is>
      </c>
      <c r="HJ1" s="28" t="inlineStr">
        <is>
          <t>MRR Consulting and Professional Services</t>
        </is>
      </c>
      <c r="HK1" s="28" t="inlineStr">
        <is>
          <t>ARPC Consulting and Professional Services</t>
        </is>
      </c>
      <c r="HL1" s="28" t="inlineStr">
        <is>
          <t>LTR Consulting and Professional Services</t>
        </is>
      </c>
      <c r="HM1" s="28" t="inlineStr">
        <is>
          <t>Customer Average Annual Revenue -  Consulting and Professional Services</t>
        </is>
      </c>
      <c r="HN1" s="28" t="inlineStr">
        <is>
          <t>Customer Average Number of Employees - Consulting and Professional Services</t>
        </is>
      </c>
      <c r="HO1" s="28" t="inlineStr">
        <is>
          <t>Trials Average Annual Revenue -  Consulting and Professional Services</t>
        </is>
      </c>
      <c r="HP1" s="28" t="inlineStr">
        <is>
          <t>Trials Average Number of Employees - Consulting and Professional Services</t>
        </is>
      </c>
      <c r="HQ1" s="28" t="inlineStr">
        <is>
          <t>BOM - SEO Consulting and Professional Services</t>
        </is>
      </c>
      <c r="HR1" s="28" t="inlineStr">
        <is>
          <t>BOM - SEM Consulting and Professional Services</t>
        </is>
      </c>
      <c r="HS1" s="28" t="inlineStr">
        <is>
          <t>BOM - Intuit Consulting and Professional Services</t>
        </is>
      </c>
      <c r="HT1" s="28" t="inlineStr">
        <is>
          <t>BOM - Partner Consulting and Professional Services</t>
        </is>
      </c>
      <c r="HU1" s="28" t="inlineStr">
        <is>
          <t>BOM - Email Consulting and Professional Services</t>
        </is>
      </c>
      <c r="HV1" s="28" t="inlineStr">
        <is>
          <t>BOM - Direct Consulting and Professional Services</t>
        </is>
      </c>
      <c r="HW1" s="28" t="inlineStr">
        <is>
          <t>BOM -  Social Consulting and Professional Services</t>
        </is>
      </c>
      <c r="HX1" s="28" t="inlineStr">
        <is>
          <t>BOM - Unknown Consulting and Professional Services</t>
        </is>
      </c>
      <c r="HY1" s="28" t="inlineStr">
        <is>
          <t>Trials - SEO Consulting and Professional Services</t>
        </is>
      </c>
      <c r="HZ1" s="28" t="inlineStr">
        <is>
          <t>Trials - SEM Consulting and Professional Services</t>
        </is>
      </c>
      <c r="IA1" s="28" t="inlineStr">
        <is>
          <t>Trials - Intuit Consulting and Professional Services</t>
        </is>
      </c>
      <c r="IB1" s="28" t="inlineStr">
        <is>
          <t>Trials - Partner Consulting and Professional Services</t>
        </is>
      </c>
      <c r="IC1" s="28" t="inlineStr">
        <is>
          <t>Trials Email Consulting and Professional Services</t>
        </is>
      </c>
      <c r="ID1" s="28" t="inlineStr">
        <is>
          <t>Trials - Direct Consulting and Professional Services</t>
        </is>
      </c>
      <c r="IE1" s="28" t="inlineStr">
        <is>
          <t>Trials Social Consulting and Professional Services</t>
        </is>
      </c>
      <c r="IF1" s="28" t="inlineStr">
        <is>
          <t>Trials - Unknown Consulting and Professional Services</t>
        </is>
      </c>
      <c r="IG1" s="28" t="inlineStr">
        <is>
          <t>Churn Retail</t>
        </is>
      </c>
      <c r="IH1" s="28" t="inlineStr">
        <is>
          <t>Trials  Retail</t>
        </is>
      </c>
      <c r="II1" s="28" t="inlineStr">
        <is>
          <t>BOM Retail</t>
        </is>
      </c>
      <c r="IJ1" s="28" t="inlineStr">
        <is>
          <t>Saas Revenue Retail</t>
        </is>
      </c>
      <c r="IK1" s="28" t="inlineStr">
        <is>
          <t>PS Revenue Retail</t>
        </is>
      </c>
      <c r="IL1" s="28" t="inlineStr">
        <is>
          <t>MRR Retail</t>
        </is>
      </c>
      <c r="IM1" s="28" t="inlineStr">
        <is>
          <t>ARPC Retail</t>
        </is>
      </c>
      <c r="IN1" s="28" t="inlineStr">
        <is>
          <t>LTR Retail</t>
        </is>
      </c>
      <c r="IO1" s="28" t="inlineStr">
        <is>
          <t>Customer Average Annual Revenue -  Retail</t>
        </is>
      </c>
      <c r="IP1" s="28" t="inlineStr">
        <is>
          <t>Customer Average Number of Employees - Retail</t>
        </is>
      </c>
      <c r="IQ1" s="28" t="inlineStr">
        <is>
          <t>Trials Average Annual Revenue -  Retail</t>
        </is>
      </c>
      <c r="IR1" s="28" t="inlineStr">
        <is>
          <t>Trials Average Number of Employees - Retail</t>
        </is>
      </c>
      <c r="IS1" s="28" t="inlineStr">
        <is>
          <t>BOM - SEO Retail</t>
        </is>
      </c>
      <c r="IT1" s="28" t="inlineStr">
        <is>
          <t>BOM - SEM Retail</t>
        </is>
      </c>
      <c r="IU1" s="28" t="inlineStr">
        <is>
          <t>BOM - Intuit Retail</t>
        </is>
      </c>
      <c r="IV1" s="28" t="inlineStr">
        <is>
          <t>BOM - Partner Retail</t>
        </is>
      </c>
      <c r="IW1" s="28" t="inlineStr">
        <is>
          <t>BOM - Email Retail</t>
        </is>
      </c>
      <c r="IX1" s="28" t="inlineStr">
        <is>
          <t>BOM - Direct Retail</t>
        </is>
      </c>
      <c r="IY1" s="28" t="inlineStr">
        <is>
          <t>BOM -  Social Retail</t>
        </is>
      </c>
      <c r="IZ1" s="28" t="inlineStr">
        <is>
          <t>BOM - Unknown Retail</t>
        </is>
      </c>
      <c r="JA1" s="28" t="inlineStr">
        <is>
          <t>Trials - SEO Retail</t>
        </is>
      </c>
      <c r="JB1" s="28" t="inlineStr">
        <is>
          <t>Trials - SEM Retail</t>
        </is>
      </c>
      <c r="JC1" s="28" t="inlineStr">
        <is>
          <t>Trials - Intuit Retail</t>
        </is>
      </c>
      <c r="JD1" s="28" t="inlineStr">
        <is>
          <t>Trials - Partner Retail</t>
        </is>
      </c>
      <c r="JE1" s="28" t="inlineStr">
        <is>
          <t>Trials Email Retail</t>
        </is>
      </c>
      <c r="JF1" s="28" t="inlineStr">
        <is>
          <t>Trials - Direct Retail</t>
        </is>
      </c>
      <c r="JG1" s="28" t="inlineStr">
        <is>
          <t>Trials Social Retail</t>
        </is>
      </c>
      <c r="JH1" s="28" t="inlineStr">
        <is>
          <t>Trials - Unknown Retail</t>
        </is>
      </c>
      <c r="JI1" s="28" t="inlineStr">
        <is>
          <t>Churn Non-profit, govt or religious organization</t>
        </is>
      </c>
      <c r="JJ1" s="28" t="inlineStr">
        <is>
          <t>Trials  Non-profit, govt or religious organization</t>
        </is>
      </c>
      <c r="JK1" s="28" t="inlineStr">
        <is>
          <t>BOM Non-profit, govt or religious organization</t>
        </is>
      </c>
      <c r="JL1" s="28" t="inlineStr">
        <is>
          <t>Saas Revenue Non-profit, govt or religious organization</t>
        </is>
      </c>
      <c r="JM1" s="28" t="inlineStr">
        <is>
          <t>PS Revenue Non-profit, govt or religious organization</t>
        </is>
      </c>
      <c r="JN1" s="28" t="inlineStr">
        <is>
          <t>MRR Non-profit, govt or religious organization</t>
        </is>
      </c>
      <c r="JO1" s="28" t="inlineStr">
        <is>
          <t>ARPC Non-profit, govt or religious organization</t>
        </is>
      </c>
      <c r="JP1" s="28" t="inlineStr">
        <is>
          <t>LTR Non-profit, govt or religious organization</t>
        </is>
      </c>
      <c r="JQ1" s="28" t="inlineStr">
        <is>
          <t>Customer Average Annual Revenue -  Non-profit, govt or religious organization</t>
        </is>
      </c>
      <c r="JR1" s="28" t="inlineStr">
        <is>
          <t>Customer Average Number of Employees - Non-profit, govt or religious organization</t>
        </is>
      </c>
      <c r="JS1" s="28" t="inlineStr">
        <is>
          <t>Trials Average Annual Revenue -  Non-profit, govt or religious organization</t>
        </is>
      </c>
      <c r="JT1" s="28" t="inlineStr">
        <is>
          <t>Trials Average Number of Employees - Non-profit, govt or religious organization</t>
        </is>
      </c>
      <c r="JU1" s="28" t="inlineStr">
        <is>
          <t>BOM - SEO Non-profit, govt or religious organization</t>
        </is>
      </c>
      <c r="JV1" s="28" t="inlineStr">
        <is>
          <t>BOM - SEM Non-profit, govt or religious organization</t>
        </is>
      </c>
      <c r="JW1" s="28" t="inlineStr">
        <is>
          <t>BOM - Intuit Non-profit, govt or religious organization</t>
        </is>
      </c>
      <c r="JX1" s="28" t="inlineStr">
        <is>
          <t>BOM - Partner Non-profit, govt or religious organization</t>
        </is>
      </c>
      <c r="JY1" s="28" t="inlineStr">
        <is>
          <t>BOM - Email Non-profit, govt or religious organization</t>
        </is>
      </c>
      <c r="JZ1" s="28" t="inlineStr">
        <is>
          <t>BOM - Direct Non-profit, govt or religious organization</t>
        </is>
      </c>
      <c r="KA1" s="28" t="inlineStr">
        <is>
          <t>BOM -  Social Non-profit, govt or religious organization</t>
        </is>
      </c>
      <c r="KB1" s="28" t="inlineStr">
        <is>
          <t>BOM - Unknown Non-profit, govt or religious organization</t>
        </is>
      </c>
      <c r="KC1" s="28" t="inlineStr">
        <is>
          <t>Trials - SEO Non-profit, govt or religious organization</t>
        </is>
      </c>
      <c r="KD1" s="28" t="inlineStr">
        <is>
          <t>Trials - SEM Non-profit, govt or religious organization</t>
        </is>
      </c>
      <c r="KE1" s="28" t="inlineStr">
        <is>
          <t>Trials - Intuit Non-profit, govt or religious organization</t>
        </is>
      </c>
      <c r="KF1" s="28" t="inlineStr">
        <is>
          <t>Trials - Partner Non-profit, govt or religious organization</t>
        </is>
      </c>
      <c r="KG1" s="28" t="inlineStr">
        <is>
          <t>Trials Email Non-profit, govt or religious organization</t>
        </is>
      </c>
      <c r="KH1" s="28" t="inlineStr">
        <is>
          <t>Trials - Direct Non-profit, govt or religious organization</t>
        </is>
      </c>
      <c r="KI1" s="28" t="inlineStr">
        <is>
          <t>Trials Social Non-profit, govt or religious organization</t>
        </is>
      </c>
      <c r="KJ1" s="28" t="inlineStr">
        <is>
          <t>Trials - Unknown Non-profit, govt or religious organization</t>
        </is>
      </c>
      <c r="KK1" s="28" t="inlineStr">
        <is>
          <t>Churn Communications, Entertainment and Media</t>
        </is>
      </c>
      <c r="KL1" s="28" t="inlineStr">
        <is>
          <t>Trials  Communications, Entertainment and Media</t>
        </is>
      </c>
      <c r="KM1" s="28" t="inlineStr">
        <is>
          <t>BOM Communications, Entertainment and Media</t>
        </is>
      </c>
      <c r="KN1" s="28" t="inlineStr">
        <is>
          <t>Saas Revenue Communications, Entertainment and Media</t>
        </is>
      </c>
      <c r="KO1" s="28" t="inlineStr">
        <is>
          <t>PS Revenue Communications, Entertainment and Media</t>
        </is>
      </c>
      <c r="KP1" s="28" t="inlineStr">
        <is>
          <t>MRR Communications, Entertainment and Media</t>
        </is>
      </c>
      <c r="KQ1" s="28" t="inlineStr">
        <is>
          <t>ARPC Communications, Entertainment and Media</t>
        </is>
      </c>
      <c r="KR1" s="28" t="inlineStr">
        <is>
          <t>LTR Communications, Entertainment and Media</t>
        </is>
      </c>
      <c r="KS1" s="28" t="inlineStr">
        <is>
          <t>Customer Average Annual Revenue -  Communications, Entertainment and Media</t>
        </is>
      </c>
      <c r="KT1" s="28" t="inlineStr">
        <is>
          <t>Customer Average Number of Employees - Communications, Entertainment and Media</t>
        </is>
      </c>
      <c r="KU1" s="28" t="inlineStr">
        <is>
          <t>Trials Average Annual Revenue -  Communications, Entertainment and Media</t>
        </is>
      </c>
      <c r="KV1" s="28" t="inlineStr">
        <is>
          <t>Trials Average Number of Employees - Communications, Entertainment and Media</t>
        </is>
      </c>
      <c r="KW1" s="28" t="inlineStr">
        <is>
          <t>BOM - SEO Communications, Entertainment and Media</t>
        </is>
      </c>
      <c r="KX1" s="28" t="inlineStr">
        <is>
          <t>BOM - SEM Communications, Entertainment and Media</t>
        </is>
      </c>
      <c r="KY1" s="28" t="inlineStr">
        <is>
          <t>BOM - Intuit Communications, Entertainment and Media</t>
        </is>
      </c>
      <c r="KZ1" s="28" t="inlineStr">
        <is>
          <t>BOM - Partner Communications, Entertainment and Media</t>
        </is>
      </c>
      <c r="LA1" s="28" t="inlineStr">
        <is>
          <t>BOM - Email Communications, Entertainment and Media</t>
        </is>
      </c>
      <c r="LB1" s="28" t="inlineStr">
        <is>
          <t>BOM - Direct Communications, Entertainment and Media</t>
        </is>
      </c>
      <c r="LC1" s="28" t="inlineStr">
        <is>
          <t>BOM -  Social Communications, Entertainment and Media</t>
        </is>
      </c>
      <c r="LD1" s="28" t="inlineStr">
        <is>
          <t>BOM - Unknown Communications, Entertainment and Media</t>
        </is>
      </c>
      <c r="LE1" s="28" t="inlineStr">
        <is>
          <t>Trials - SEO Communications, Entertainment and Media</t>
        </is>
      </c>
      <c r="LF1" s="28" t="inlineStr">
        <is>
          <t>Trials - SEM Communications, Entertainment and Media</t>
        </is>
      </c>
      <c r="LG1" s="28" t="inlineStr">
        <is>
          <t>Trials - Intuit Communications, Entertainment and Media</t>
        </is>
      </c>
      <c r="LH1" s="28" t="inlineStr">
        <is>
          <t>Trials - Partner Communications, Entertainment and Media</t>
        </is>
      </c>
      <c r="LI1" s="28" t="inlineStr">
        <is>
          <t>Trials Email Communications, Entertainment and Media</t>
        </is>
      </c>
      <c r="LJ1" s="28" t="inlineStr">
        <is>
          <t>Trials - Direct Communications, Entertainment and Media</t>
        </is>
      </c>
      <c r="LK1" s="28" t="inlineStr">
        <is>
          <t>Trials Social Communications, Entertainment and Media</t>
        </is>
      </c>
      <c r="LL1" s="28" t="inlineStr">
        <is>
          <t>Trials - Unknown Communications, Entertainment and Media</t>
        </is>
      </c>
      <c r="LM1" s="28" t="inlineStr">
        <is>
          <t>Churn IT and computer related</t>
        </is>
      </c>
      <c r="LN1" s="28" t="inlineStr">
        <is>
          <t>Trials  IT and computer related</t>
        </is>
      </c>
      <c r="LO1" s="28" t="inlineStr">
        <is>
          <t>BOM IT and computer related</t>
        </is>
      </c>
      <c r="LP1" s="28" t="inlineStr">
        <is>
          <t>Saas Revenue IT and computer related</t>
        </is>
      </c>
      <c r="LQ1" s="28" t="inlineStr">
        <is>
          <t>PS Revenue IT and computer related</t>
        </is>
      </c>
      <c r="LR1" s="28" t="inlineStr">
        <is>
          <t>MRR IT and computer related</t>
        </is>
      </c>
      <c r="LS1" s="28" t="inlineStr">
        <is>
          <t>ARPC IT and computer related</t>
        </is>
      </c>
      <c r="LT1" s="28" t="inlineStr">
        <is>
          <t>LTR IT and computer related</t>
        </is>
      </c>
      <c r="LU1" s="28" t="inlineStr">
        <is>
          <t>Customer Average Annual Revenue -  IT and computer related</t>
        </is>
      </c>
      <c r="LV1" s="28" t="inlineStr">
        <is>
          <t>Customer Average Number of Employees - IT and computer related</t>
        </is>
      </c>
      <c r="LW1" s="28" t="inlineStr">
        <is>
          <t>Trials Average Annual Revenue -  IT and computer related</t>
        </is>
      </c>
      <c r="LX1" s="28" t="inlineStr">
        <is>
          <t>Trials Average Number of Employees - IT and computer related</t>
        </is>
      </c>
      <c r="LY1" s="28" t="inlineStr">
        <is>
          <t>BOM - SEO IT and computer related</t>
        </is>
      </c>
      <c r="LZ1" s="28" t="inlineStr">
        <is>
          <t>BOM - SEM IT and computer related</t>
        </is>
      </c>
      <c r="MA1" s="28" t="inlineStr">
        <is>
          <t>BOM - Intuit IT and computer related</t>
        </is>
      </c>
      <c r="MB1" s="28" t="inlineStr">
        <is>
          <t>BOM - Partner IT and computer related</t>
        </is>
      </c>
      <c r="MC1" s="28" t="inlineStr">
        <is>
          <t>BOM - Email IT and computer related</t>
        </is>
      </c>
      <c r="MD1" s="28" t="inlineStr">
        <is>
          <t>BOM - Direct IT and computer related</t>
        </is>
      </c>
      <c r="ME1" s="28" t="inlineStr">
        <is>
          <t>BOM -  Social IT and computer related</t>
        </is>
      </c>
      <c r="MF1" s="28" t="inlineStr">
        <is>
          <t>BOM - Unknown IT and computer related</t>
        </is>
      </c>
      <c r="MG1" s="28" t="inlineStr">
        <is>
          <t>Trials - SEO IT and computer related</t>
        </is>
      </c>
      <c r="MH1" s="28" t="inlineStr">
        <is>
          <t>Trials - SEM IT and computer related</t>
        </is>
      </c>
      <c r="MI1" s="28" t="inlineStr">
        <is>
          <t>Trials - Intuit IT and computer related</t>
        </is>
      </c>
      <c r="MJ1" s="28" t="inlineStr">
        <is>
          <t>Trials - Partner IT and computer related</t>
        </is>
      </c>
      <c r="MK1" s="28" t="inlineStr">
        <is>
          <t>Trials Email IT and computer related</t>
        </is>
      </c>
      <c r="ML1" s="28" t="inlineStr">
        <is>
          <t>Trials - Direct IT and computer related</t>
        </is>
      </c>
      <c r="MM1" s="28" t="inlineStr">
        <is>
          <t>Trials Social IT and computer related</t>
        </is>
      </c>
      <c r="MN1" s="28" t="inlineStr">
        <is>
          <t>Trials - Unknown IT and computer related</t>
        </is>
      </c>
      <c r="MO1" s="28" t="inlineStr">
        <is>
          <t>Churn General service based</t>
        </is>
      </c>
      <c r="MP1" s="28" t="inlineStr">
        <is>
          <t>Trials  General service based</t>
        </is>
      </c>
      <c r="MQ1" s="28" t="inlineStr">
        <is>
          <t>BOM General service based</t>
        </is>
      </c>
      <c r="MR1" s="28" t="inlineStr">
        <is>
          <t>Saas Revenue General service based</t>
        </is>
      </c>
      <c r="MS1" s="28" t="inlineStr">
        <is>
          <t>PS Revenue General service based</t>
        </is>
      </c>
      <c r="MT1" s="28" t="inlineStr">
        <is>
          <t>MRR General service based</t>
        </is>
      </c>
      <c r="MU1" s="28" t="inlineStr">
        <is>
          <t>ARPC General service based</t>
        </is>
      </c>
      <c r="MV1" s="28" t="inlineStr">
        <is>
          <t>LTR General service based</t>
        </is>
      </c>
      <c r="MW1" s="28" t="inlineStr">
        <is>
          <t>Customer Average Annual Revenue -  General service based</t>
        </is>
      </c>
      <c r="MX1" s="28" t="inlineStr">
        <is>
          <t>Customer Average Number of Employees - General service based</t>
        </is>
      </c>
      <c r="MY1" s="28" t="inlineStr">
        <is>
          <t>Trials Average Annual Revenue -  General service based</t>
        </is>
      </c>
      <c r="MZ1" s="28" t="inlineStr">
        <is>
          <t>Trials Average Number of Employees - General service based</t>
        </is>
      </c>
      <c r="NA1" s="28" t="inlineStr">
        <is>
          <t>BOM - SEO General service based</t>
        </is>
      </c>
      <c r="NB1" s="28" t="inlineStr">
        <is>
          <t>BOM - SEM General service based</t>
        </is>
      </c>
      <c r="NC1" s="28" t="inlineStr">
        <is>
          <t>BOM - Intuit General service based</t>
        </is>
      </c>
      <c r="ND1" s="28" t="inlineStr">
        <is>
          <t>BOM - Partner General service based</t>
        </is>
      </c>
      <c r="NE1" s="28" t="inlineStr">
        <is>
          <t>BOM - Email General service based</t>
        </is>
      </c>
      <c r="NF1" s="28" t="inlineStr">
        <is>
          <t>BOM - Direct General service based</t>
        </is>
      </c>
      <c r="NG1" s="28" t="inlineStr">
        <is>
          <t>BOM -  Social General service based</t>
        </is>
      </c>
      <c r="NH1" s="28" t="inlineStr">
        <is>
          <t>BOM - Unknown General service based</t>
        </is>
      </c>
      <c r="NI1" s="28" t="inlineStr">
        <is>
          <t>Trials - SEO General service based</t>
        </is>
      </c>
      <c r="NJ1" s="28" t="inlineStr">
        <is>
          <t>Trials - SEM General service based</t>
        </is>
      </c>
      <c r="NK1" s="28" t="inlineStr">
        <is>
          <t>Trials - Intuit General service based</t>
        </is>
      </c>
      <c r="NL1" s="28" t="inlineStr">
        <is>
          <t>Trials - Partner General service based</t>
        </is>
      </c>
      <c r="NM1" s="28" t="inlineStr">
        <is>
          <t>Trials Email General service based</t>
        </is>
      </c>
      <c r="NN1" s="28" t="inlineStr">
        <is>
          <t>Trials - Direct General service based</t>
        </is>
      </c>
      <c r="NO1" s="28" t="inlineStr">
        <is>
          <t>Trials Social General service based</t>
        </is>
      </c>
      <c r="NP1" s="28" t="inlineStr">
        <is>
          <t>Trials - Unknown General service based</t>
        </is>
      </c>
      <c r="NQ1" s="28" t="inlineStr">
        <is>
          <t>Churn Other</t>
        </is>
      </c>
      <c r="NR1" s="28" t="inlineStr">
        <is>
          <t>Trials  Other</t>
        </is>
      </c>
      <c r="NS1" s="28" t="inlineStr">
        <is>
          <t>BOM Other</t>
        </is>
      </c>
      <c r="NT1" s="28" t="inlineStr">
        <is>
          <t>Saas Revenue Other</t>
        </is>
      </c>
      <c r="NU1" s="28" t="inlineStr">
        <is>
          <t>PS Revenue Other</t>
        </is>
      </c>
      <c r="NV1" s="28" t="inlineStr">
        <is>
          <t>MRR Other</t>
        </is>
      </c>
      <c r="NW1" s="28" t="inlineStr">
        <is>
          <t>ARPC Other</t>
        </is>
      </c>
      <c r="NX1" s="28" t="inlineStr">
        <is>
          <t>LTR Other</t>
        </is>
      </c>
      <c r="NY1" s="28" t="inlineStr">
        <is>
          <t>Customer Average Annual Revenue -  Other</t>
        </is>
      </c>
      <c r="NZ1" s="28" t="inlineStr">
        <is>
          <t>Customer Average Number of Employees - Other</t>
        </is>
      </c>
      <c r="OA1" s="28" t="inlineStr">
        <is>
          <t>Trials Average Annual Revenue -  Other</t>
        </is>
      </c>
      <c r="OB1" s="28" t="inlineStr">
        <is>
          <t>Trials Average Number of Employees - Other</t>
        </is>
      </c>
      <c r="OC1" s="28" t="inlineStr">
        <is>
          <t>BOM - SEO Other</t>
        </is>
      </c>
      <c r="OD1" s="28" t="inlineStr">
        <is>
          <t>BOM - SEM Other</t>
        </is>
      </c>
      <c r="OE1" s="28" t="inlineStr">
        <is>
          <t>BOM - Intuit Other</t>
        </is>
      </c>
      <c r="OF1" s="28" t="inlineStr">
        <is>
          <t>BOM - Partner Other</t>
        </is>
      </c>
      <c r="OG1" s="28" t="inlineStr">
        <is>
          <t>BOM - Email Other</t>
        </is>
      </c>
      <c r="OH1" s="28" t="inlineStr">
        <is>
          <t>BOM - Direct Other</t>
        </is>
      </c>
      <c r="OI1" s="28" t="inlineStr">
        <is>
          <t>BOM -  Social Other</t>
        </is>
      </c>
      <c r="OJ1" s="28" t="inlineStr">
        <is>
          <t>BOM - Unknown Other</t>
        </is>
      </c>
      <c r="OK1" s="28" t="inlineStr">
        <is>
          <t>Trials - SEO Other</t>
        </is>
      </c>
      <c r="OL1" s="28" t="inlineStr">
        <is>
          <t>Trials - SEM Other</t>
        </is>
      </c>
      <c r="OM1" s="28" t="inlineStr">
        <is>
          <t>Trials - Intuit Other</t>
        </is>
      </c>
      <c r="ON1" s="28" t="inlineStr">
        <is>
          <t>Trials - Partner Other</t>
        </is>
      </c>
      <c r="OO1" s="28" t="inlineStr">
        <is>
          <t>Trials Email Other</t>
        </is>
      </c>
      <c r="OP1" s="28" t="inlineStr">
        <is>
          <t>Trials - Direct Other</t>
        </is>
      </c>
      <c r="OQ1" s="28" t="inlineStr">
        <is>
          <t>Trials Social Other</t>
        </is>
      </c>
      <c r="OR1" s="28" t="inlineStr">
        <is>
          <t>Trials - Unknown Other</t>
        </is>
      </c>
      <c r="OS1" s="28" t="inlineStr">
        <is>
          <t>Churn Accounting and Bookkeeping</t>
        </is>
      </c>
      <c r="OT1" s="28" t="inlineStr">
        <is>
          <t>Trials  Accounting and Bookkeeping</t>
        </is>
      </c>
      <c r="OU1" s="28" t="inlineStr">
        <is>
          <t>BOM Accounting and Bookkeeping</t>
        </is>
      </c>
      <c r="OV1" s="28" t="inlineStr">
        <is>
          <t>Saas Revenue Accounting and Bookkeeping</t>
        </is>
      </c>
      <c r="OW1" s="28" t="inlineStr">
        <is>
          <t>PS Revenue Accounting and Bookkeeping</t>
        </is>
      </c>
      <c r="OX1" s="28" t="inlineStr">
        <is>
          <t>MRR Accounting and Bookkeeping</t>
        </is>
      </c>
      <c r="OY1" s="28" t="inlineStr">
        <is>
          <t>ARPC Accounting and Bookkeeping</t>
        </is>
      </c>
      <c r="OZ1" s="28" t="inlineStr">
        <is>
          <t>LTR Accounting and Bookkeeping</t>
        </is>
      </c>
      <c r="PA1" s="28" t="inlineStr">
        <is>
          <t>Customer Average Annual Revenue -  Accounting and Bookkeeping</t>
        </is>
      </c>
      <c r="PB1" s="28" t="inlineStr">
        <is>
          <t>Customer Average Number of Employees - Accounting and Bookkeeping</t>
        </is>
      </c>
      <c r="PC1" s="28" t="inlineStr">
        <is>
          <t>Trials Average Annual Revenue -  Accounting and Bookkeeping</t>
        </is>
      </c>
      <c r="PD1" s="28" t="inlineStr">
        <is>
          <t>Trials Average Number of Employees - Accounting and Bookkeeping</t>
        </is>
      </c>
      <c r="PE1" s="28" t="inlineStr">
        <is>
          <t>BOM - SEO Accounting and Bookkeeping</t>
        </is>
      </c>
      <c r="PF1" s="28" t="inlineStr">
        <is>
          <t>BOM - SEM Accounting and Bookkeeping</t>
        </is>
      </c>
      <c r="PG1" s="28" t="inlineStr">
        <is>
          <t>BOM - Intuit Accounting and Bookkeeping</t>
        </is>
      </c>
      <c r="PH1" s="28" t="inlineStr">
        <is>
          <t>BOM - Partner Accounting and Bookkeeping</t>
        </is>
      </c>
      <c r="PI1" s="28" t="inlineStr">
        <is>
          <t>BOM - Email Accounting and Bookkeeping</t>
        </is>
      </c>
      <c r="PJ1" s="28" t="inlineStr">
        <is>
          <t>BOM - Direct Accounting and Bookkeeping</t>
        </is>
      </c>
      <c r="PK1" s="28" t="inlineStr">
        <is>
          <t>BOM -  Social Accounting and Bookkeeping</t>
        </is>
      </c>
      <c r="PL1" s="28" t="inlineStr">
        <is>
          <t>BOM - Unknown Accounting and Bookkeeping</t>
        </is>
      </c>
      <c r="PM1" s="28" t="inlineStr">
        <is>
          <t>Trials - SEO Accounting and Bookkeeping</t>
        </is>
      </c>
      <c r="PN1" s="28" t="inlineStr">
        <is>
          <t>Trials - SEM Accounting and Bookkeeping</t>
        </is>
      </c>
      <c r="PO1" s="28" t="inlineStr">
        <is>
          <t>Trials - Intuit Accounting and Bookkeeping</t>
        </is>
      </c>
      <c r="PP1" s="28" t="inlineStr">
        <is>
          <t>Trials - Partner Accounting and Bookkeeping</t>
        </is>
      </c>
      <c r="PQ1" s="28" t="inlineStr">
        <is>
          <t>Trials Email Accounting and Bookkeeping</t>
        </is>
      </c>
      <c r="PR1" s="28" t="inlineStr">
        <is>
          <t>Trials - Direct Accounting and Bookkeeping</t>
        </is>
      </c>
      <c r="PS1" s="28" t="inlineStr">
        <is>
          <t>Trials Social Accounting and Bookkeeping</t>
        </is>
      </c>
      <c r="PT1" s="28" t="inlineStr">
        <is>
          <t>Trials - Unknown Accounting and Bookkeeping</t>
        </is>
      </c>
    </row>
    <row r="2" ht="16" customFormat="1" customHeight="1" s="31">
      <c r="A2" s="31" t="inlineStr">
        <is>
          <t>All</t>
        </is>
      </c>
      <c r="B2" s="75">
        <f>Accounts!$BD$2</f>
        <v/>
      </c>
      <c r="C2" s="33">
        <f>DAY(EOMONTH(B2,0))</f>
        <v/>
      </c>
      <c r="D2" s="33">
        <f>COUNTIFS(Accounts!$B:$B,"none",Accounts!$BF:$BF,"FALSE")</f>
        <v/>
      </c>
      <c r="E2" s="33">
        <f>COUNTIF(Accounts!$B:$B,"Customer")</f>
        <v/>
      </c>
      <c r="F2" s="33">
        <f>COUNTIF(Accounts!$C:$C,"Customer")</f>
        <v/>
      </c>
      <c r="G2" s="33">
        <f>COUNTIFS(Accounts!$B:$B,"Customer",Accounts!$C:$C,"Lost")</f>
        <v/>
      </c>
      <c r="H2" s="33">
        <f>COUNTIFS(Accounts!$B:$B,"none",Accounts!$C:$C,"Customer")</f>
        <v/>
      </c>
      <c r="I2" s="34">
        <f>H2/D2</f>
        <v/>
      </c>
      <c r="J2" s="59">
        <f>COUNTIFS(Accounts!$T:$T,"&gt;="&amp;DATE($C$10,$C$11,1),Accounts!$T:$T,"&lt;"&amp;DATE($C$7,$C$8,1),Accounts!$B:$B,"Trialer",Accounts!$C:$C,"Customer")</f>
        <v/>
      </c>
      <c r="K2" s="59">
        <f>COUNTIFS(Accounts!$T:$T,"&gt;="&amp;DATE($C$13,$C$14,1),Accounts!$T:$T,"&lt;"&amp;DATE($C$10,$C$11,1),Accounts!$B:$B,"Trialer",Accounts!$C:$C,"Customer")</f>
        <v/>
      </c>
      <c r="L2" s="59">
        <f>COUNTIFS(Accounts!$T:$T,"&gt;="&amp;DATE($C$16,$C$17,1),Accounts!$T:$T,"&lt;"&amp;DATE($C$13,$C$14,1),Accounts!$B:$B,"Trialer",Accounts!$C:$C,"Customer")</f>
        <v/>
      </c>
      <c r="M2" s="33">
        <f>SUM(COUNTIFS(Accounts!$B:$B,{"Trialer","none"},Accounts!$C:$C,"Customer"))</f>
        <v/>
      </c>
      <c r="N2" s="34">
        <f>$M$2/$D$2</f>
        <v/>
      </c>
      <c r="O2" s="76">
        <f>P2/(COUNTIFS(Accounts!$W:$W,1))</f>
        <v/>
      </c>
      <c r="P2" s="76">
        <f>SUMIFS(Accounts!$I:$I,Accounts!$W:$W,1)</f>
        <v/>
      </c>
      <c r="Q2" s="76">
        <f>SUM(Accounts!$I:$I)</f>
        <v/>
      </c>
      <c r="R2" s="76">
        <f>SUM(Accounts!$N:$N)</f>
        <v/>
      </c>
      <c r="S2" s="76">
        <f>($Q$2+R2)/($BC$7+$BC10)</f>
        <v/>
      </c>
      <c r="T2" s="76">
        <f>$Q$2/($BC$7+$BC10)</f>
        <v/>
      </c>
      <c r="U2" s="61">
        <f>SUMIFS(Accounts!$AA:$AA,Accounts!$B:$B,"none",Accounts!$C:$C,"Customer") + SUMIFS(Accounts!$AH:$AH,Accounts!$B:$B,"none",Accounts!$C:$C,"Customer") + SUMIFS(Accounts!$AJ:$AJ,Accounts!$B:$B,"none",Accounts!$C:$C,"Customer") + SUMIFS(Accounts!$AI:$AI,Accounts!$B:$B,"none",Accounts!$C:$C,"Customer") + SUMIFS(Accounts!$AO:$AO,Accounts!$B:$B,"none",Accounts!$C:$C,"Customer")</f>
        <v/>
      </c>
      <c r="V2" s="61">
        <f>SUMIFS(Accounts!$AC:$AC,Accounts!$B:$B,"none",Accounts!$C:$C,"Customer")+SUMIFS(Accounts!$AF:$AF,Accounts!$B:$B,"none",Accounts!$C:$C,"Customer")+SUMIFS(Accounts!$AK:$AK,Accounts!$B:$B,"none",Accounts!$C:$C,"Customer")</f>
        <v/>
      </c>
      <c r="W2" s="61">
        <f>SUMIFS(Accounts!$AB:$AB,Accounts!$B:$B,"none",Accounts!$C:$C,"Customer")</f>
        <v/>
      </c>
      <c r="X2" s="61">
        <f>SUMIFS(Accounts!$AD:$AD,Accounts!$B:$B,"none",Accounts!$C:$C,"Customer")+SUMIFS(Accounts!$AM:$AM,Accounts!$B:$B,"none",Accounts!$C:$C,"Customer")+SUMIFS(Accounts!$AN:$AN,Accounts!$B:$B,"none",Accounts!$C:$C,"Customer")</f>
        <v/>
      </c>
      <c r="Y2" s="33">
        <f>SUM(Z2:AB2)</f>
        <v/>
      </c>
      <c r="Z2" s="61">
        <f>SUMIFS(Accounts!$AE:$AE,Accounts!$B:$B,"none",Accounts!$C:$C,"Customer") + SUMIFS(Accounts!$AP:$AP,Accounts!$B:$B,"none",Accounts!$C:$C,"Customer")</f>
        <v/>
      </c>
      <c r="AA2" s="61">
        <f>SUMIFS(Accounts!$Z:$Z,Accounts!$B:$B,"none",Accounts!$C:$C,"Customer")</f>
        <v/>
      </c>
      <c r="AB2" s="61">
        <f>SUMIFS(Accounts!$AG:$AG,Accounts!$B:$B,"none",Accounts!$C:$C,"Customer") + SUMIFS(Accounts!$AL:$AL,Accounts!$B:$B,"none",Accounts!$C:$C,"Customer")</f>
        <v/>
      </c>
      <c r="AC2" s="61">
        <f>SUMIFS(Accounts!$AQ:$AQ,Accounts!$B:$B,"none",Accounts!$C:$C,"Customer")</f>
        <v/>
      </c>
      <c r="AD2" s="61">
        <f>SUMIFS(Accounts!$AA:$AA,Accounts!$T:$T,"&gt;="&amp;DATE($C$10,$C$11,1),Accounts!$T:$T,"&lt;"&amp;DATE($C$7,$C$8,1),Accounts!$B:$B,"Trialer",Accounts!$C:$C,"Customer") + SUMIFS(Accounts!$AH:$AH,Accounts!$T:$T,"&gt;="&amp;DATE($C$10,$C$11,1),Accounts!$T:$T,"&lt;"&amp;DATE($C$7,$C$8,1),Accounts!$B:$B,"Trialer",Accounts!$C:$C,"Customer") + SUMIFS(Accounts!$AJ:$AJ,Accounts!$T:$T,"&gt;="&amp;DATE($C$10,$C$11,1),Accounts!$T:$T,"&lt;"&amp;DATE($C$7,$C$8,1),Accounts!$B:$B,"Trialer",Accounts!$C:$C,"Customer") + SUMIFS(Accounts!$AI:$AI,Accounts!$T:$T,"&gt;="&amp;DATE($C$10,$C$11,1),Accounts!$T:$T,"&lt;"&amp;DATE($C$7,$C$8,1),Accounts!$B:$B,"Trialer",Accounts!$C:$C,"Customer") + SUMIFS(Accounts!$AO:$AO,Accounts!$T:$T,"&gt;="&amp;DATE($C$10,$C$11,1),Accounts!$T:$T,"&lt;"&amp;DATE($C$7,$C$8,1),Accounts!$B:$B,"Trialer",Accounts!$C:$C,"Customer")</f>
        <v/>
      </c>
      <c r="AE2" s="61">
        <f>SUMIFS(Accounts!$AC:$AC,Accounts!$T:$T,"&gt;="&amp;DATE($C$10,$C$11,1),Accounts!$T:$T,"&lt;"&amp;DATE($C$7,$C$8,1),Accounts!$B:$B,"Trialer",Accounts!$C:$C,"Customer")+SUMIFS(Accounts!$AF:$AF,Accounts!$T:$T,"&gt;="&amp;DATE($C$10,$C$11,1),Accounts!$T:$T,"&lt;"&amp;DATE($C$7,$C$8,1),Accounts!$B:$B,"Trialer",Accounts!$C:$C,"Customer")+SUMIFS(Accounts!$AK:$AK,Accounts!$T:$T,"&gt;="&amp;DATE($C$10,$C$11,1),Accounts!$T:$T,"&lt;"&amp;DATE($C$7,$C$8,1),Accounts!$B:$B,"Trialer",Accounts!$C:$C,"Customer")</f>
        <v/>
      </c>
      <c r="AF2" s="61">
        <f>SUMIFS(Accounts!$AB:$AB,Accounts!$T:$T,"&gt;="&amp;DATE($C$10,$C$11,1),Accounts!$T:$T,"&lt;"&amp;DATE($C$7,$C$8,1),Accounts!$B:$B,"Trialer",Accounts!$C:$C,"Customer")</f>
        <v/>
      </c>
      <c r="AG2" s="61">
        <f>SUMIFS(Accounts!$AD:$AD,Accounts!$T:$T,"&gt;="&amp;DATE($C$10,$C$11,1),Accounts!$T:$T,"&lt;"&amp;DATE($C$7,$C$8,1),Accounts!$B:$B,"Trialer",Accounts!$C:$C,"Customer")+SUMIFS(Accounts!$AM:$AM,Accounts!$T:$T,"&gt;="&amp;DATE($C$10,$C$11,1),Accounts!$T:$T,"&lt;"&amp;DATE($C$7,$C$8,1),Accounts!$B:$B,"Trialer",Accounts!$C:$C,"Customer")+SUMIFS(Accounts!$AN:$AN,Accounts!$T:$T,"&gt;="&amp;DATE($C$10,$C$11,1),Accounts!$T:$T,"&lt;"&amp;DATE($C$7,$C$8,1),Accounts!$B:$B,"Trialer",Accounts!$C:$C,"Customer")</f>
        <v/>
      </c>
      <c r="AH2" s="61">
        <f>SUMIFS(Accounts!$AE:$AE,Accounts!$T:$T,"&gt;="&amp;DATE($C$10,$C$11,1),Accounts!$T:$T,"&lt;"&amp;DATE($C$7,$C$8,1),Accounts!$B:$B,"Trialer",Accounts!$C:$C,"Customer") + SUMIFS(Accounts!$AP:$AP,Accounts!$T:$T,"&gt;="&amp;DATE($C$10,$C$11,1),Accounts!$T:$T,"&lt;"&amp;DATE($C$7,$C$8,1),Accounts!$B:$B,"Trialer",Accounts!$C:$C,"Customer")</f>
        <v/>
      </c>
      <c r="AI2" s="61">
        <f>SUMIFS(Accounts!$Z:$Z,Accounts!$T:$T,"&gt;="&amp;DATE($C$10,$C$11,1),Accounts!$T:$T,"&lt;"&amp;DATE($C$7,$C$8,1),Accounts!$B:$B,"Trialer",Accounts!$C:$C,"Customer")</f>
        <v/>
      </c>
      <c r="AJ2" s="61">
        <f>SUMIFS(Accounts!$AG:$AG,Accounts!$T:$T,"&gt;="&amp;DATE($C$10,$C$11,1),Accounts!$T:$T,"&lt;"&amp;DATE($C$7,$C$8,1),Accounts!$B:$B,"Trialer",Accounts!$C:$C,"Customer") + SUMIFS(Accounts!$AL:$AL,Accounts!$T:$T,"&gt;="&amp;DATE($C$10,$C$11,1),Accounts!$T:$T,"&lt;"&amp;DATE($C$7,$C$8,1),Accounts!$B:$B,"Trialer",Accounts!$C:$C,"Customer")</f>
        <v/>
      </c>
      <c r="AK2" s="61">
        <f>SUMIFS(Accounts!$AQ:$AQ,Accounts!$T:$T,"&gt;="&amp;DATE($C$10,$C$11,1),Accounts!$T:$T,"&lt;"&amp;DATE($C$7,$C$8,1),Accounts!$B:$B,"Trialer",Accounts!$C:$C,"Customer")</f>
        <v/>
      </c>
      <c r="AL2" s="61">
        <f>SUMIFS(Accounts!$AA:$AA,Accounts!$T:$T,"&gt;="&amp;DATE($C$13,$C$14,1),Accounts!$T:$T,"&lt;"&amp;DATE($C$10,$C$11,1),Accounts!$B:$B,"Trialer",Accounts!$C:$C,"Customer") + SUMIFS(Accounts!$AH:$AH,Accounts!$T:$T,"&gt;="&amp;DATE($C$13,$C$14,1),Accounts!$T:$T,"&lt;"&amp;DATE($C$10,$C$11,1),Accounts!$B:$B,"Trialer",Accounts!$C:$C,"Customer") + SUMIFS(Accounts!$AJ:$AJ,Accounts!$T:$T,"&gt;="&amp;DATE($C$13,$C$14,1),Accounts!$T:$T,"&lt;"&amp;DATE($C$10,$C$11,1),Accounts!$B:$B,"Trialer",Accounts!$C:$C,"Customer") + SUMIFS(Accounts!$AI:$AI,Accounts!$T:$T,"&gt;="&amp;DATE($C$13,$C$14,1),Accounts!$T:$T,"&lt;"&amp;DATE($C$10,$C$11,1),Accounts!$B:$B,"Trialer",Accounts!$C:$C,"Customer") + SUMIFS(Accounts!$AO:$AO,Accounts!$T:$T,"&gt;="&amp;DATE($C$13,$C$14,1),Accounts!$T:$T,"&lt;"&amp;DATE($C$10,$C$11,1),Accounts!$B:$B,"Trialer",Accounts!$C:$C,"Customer")</f>
        <v/>
      </c>
      <c r="AM2" s="61">
        <f>SUMIFS(Accounts!$AC:$AC,Accounts!$T:$T,"&gt;="&amp;DATE($C$13,$C$14,1),Accounts!$T:$T,"&lt;"&amp;DATE($C$10,$C$11,1),Accounts!$B:$B,"Trialer",Accounts!$C:$C,"Customer")+SUMIFS(Accounts!$AF:$AF,Accounts!$T:$T,"&gt;="&amp;DATE($C$13,$C$14,1),Accounts!$T:$T,"&lt;"&amp;DATE($C$10,$C$11,1),Accounts!$B:$B,"Trialer",Accounts!$C:$C,"Customer")+SUMIFS(Accounts!$AK:$AK,Accounts!$T:$T,"&gt;="&amp;DATE($C$13,$C$14,1),Accounts!$T:$T,"&lt;"&amp;DATE($C$10,$C$11,1),Accounts!$B:$B,"Trialer",Accounts!$C:$C,"Customer")</f>
        <v/>
      </c>
      <c r="AN2" s="61">
        <f>SUMIFS(Accounts!$AB:$AB,Accounts!$T:$T,"&gt;="&amp;DATE($C$13,$C$14,1),Accounts!$T:$T,"&lt;"&amp;DATE($C$10,$C$11,1),Accounts!$B:$B,"Trialer",Accounts!$C:$C,"Customer")</f>
        <v/>
      </c>
      <c r="AO2" s="61">
        <f>SUMIFS(Accounts!$AD:$AD,Accounts!$T:$T,"&gt;="&amp;DATE($C$13,$C$14,1),Accounts!$T:$T,"&lt;"&amp;DATE($C$10,$C$11,1),Accounts!$B:$B,"Trialer",Accounts!$C:$C,"Customer")+SUMIFS(Accounts!$AM:$AM,Accounts!$T:$T,"&gt;="&amp;DATE($C$13,$C$14,1),Accounts!$T:$T,"&lt;"&amp;DATE($C$10,$C$11,1),Accounts!$B:$B,"Trialer",Accounts!$C:$C,"Customer")+SUMIFS(Accounts!$AN:$AN,Accounts!$T:$T,"&gt;="&amp;DATE($C$13,$C$14,1),Accounts!$T:$T,"&lt;"&amp;DATE($C$10,$C$11,1),Accounts!$B:$B,"Trialer",Accounts!$C:$C,"Customer")</f>
        <v/>
      </c>
      <c r="AP2" s="61">
        <f>SUMIFS(Accounts!$AE:$AE,Accounts!$T:$T,"&gt;="&amp;DATE($C$13,$C$14,1),Accounts!$T:$T,"&lt;"&amp;DATE($C$10,$C$11,1),Accounts!$B:$B,"Trialer",Accounts!$C:$C,"Customer") + SUMIFS(Accounts!$AP:$AP,Accounts!$T:$T,"&gt;="&amp;DATE($C$13,$C$14,1),Accounts!$T:$T,"&lt;"&amp;DATE($C$10,$C$11,1),Accounts!$B:$B,"Trialer",Accounts!$C:$C,"Customer")</f>
        <v/>
      </c>
      <c r="AQ2" s="61">
        <f>SUMIFS(Accounts!$Z:$Z,Accounts!$T:$T,"&gt;="&amp;DATE($C$13,$C$14,1),Accounts!$T:$T,"&lt;"&amp;DATE($C$10,$C$11,1),Accounts!$B:$B,"Trialer",Accounts!$C:$C,"Customer")</f>
        <v/>
      </c>
      <c r="AR2" s="61">
        <f>SUMIFS(Accounts!$AG:$AG,Accounts!$T:$T,"&gt;="&amp;DATE($C$13,$C$14,1),Accounts!$T:$T,"&lt;"&amp;DATE($C$10,$C$11,1),Accounts!$B:$B,"Trialer",Accounts!$C:$C,"Customer") + SUMIFS(Accounts!$AL:$AL,Accounts!$T:$T,"&gt;="&amp;DATE($C$13,$C$14,1),Accounts!$T:$T,"&lt;"&amp;DATE($C$10,$C$11,1),Accounts!$B:$B,"Trialer",Accounts!$C:$C,"Customer")</f>
        <v/>
      </c>
      <c r="AS2" s="61">
        <f>SUMIFS(Accounts!$AQ:$AQ,Accounts!$T:$T,"&gt;="&amp;DATE($C$13,$C$14,1),Accounts!$T:$T,"&lt;"&amp;DATE($C$10,$C$11,1),Accounts!$B:$B,"Trialer",Accounts!$C:$C,"Customer")</f>
        <v/>
      </c>
      <c r="AT2" s="19">
        <f>IFERROR((SUMPRODUCT(SUMIFS(Accounts!$AA:$AA,Accounts!$B:$B,{"Trialer","none"},Accounts!$C:$C,"Customer")) + SUMPRODUCT(SUMIFS(Accounts!$AH:$AH,Accounts!$B:$B,{"Trialer","none"},Accounts!$C:$C,"Customer")) + SUMPRODUCT(SUMIFS(Accounts!$AJ:$AJ,Accounts!$B:$B,{"Trialer","none"},Accounts!$C:$C,"Customer")) + SUMPRODUCT(SUMIFS(Accounts!$AI:$AI,Accounts!$B:$B,{"Trialer","none"},Accounts!$C:$C,"Customer")) + SUMPRODUCT(SUMIFS(Accounts!$AO:$AO,Accounts!$B:$B,{"Trialer","none"},Accounts!$C:$C,"Customer")))/BM2,0)</f>
        <v/>
      </c>
      <c r="AU2" s="19">
        <f>IFERROR((SUMPRODUCT(SUMIFS(Accounts!$AC:$AC,Accounts!$B:$B,{"Trialer","none"},Accounts!$C:$C,"Customer"))+SUMPRODUCT(SUMIFS(Accounts!$AF:$AF,Accounts!$B:$B,{"Trialer","none"},Accounts!$C:$C,"Customer"))+SUMPRODUCT(SUMIFS(Accounts!$AK:$AK,Accounts!$B:$B,{"Trialer","none"},Accounts!$C:$C,"Customer")))/BN2,0)</f>
        <v/>
      </c>
      <c r="AV2" s="19">
        <f>IFERROR((SUMPRODUCT(SUMIFS(Accounts!$AB:$AB,Accounts!$B:$B,{"Trialer","none"},Accounts!$C:$C,"Customer")))/BO2,0)</f>
        <v/>
      </c>
      <c r="AW2" s="19">
        <f>IFERROR((SUMPRODUCT(SUMIFS(Accounts!$AD:$AD,Accounts!$B:$B,{"Trialer","none"},Accounts!$C:$C,"Customer"))+SUMPRODUCT(SUMIFS(Accounts!$AM:$AM,Accounts!$B:$B,{"Trialer","none"},Accounts!$C:$C,"Customer"))+SUMPRODUCT(SUMIFS(Accounts!$AN:$AN,Accounts!$B:$B,{"Trialer","none"},Accounts!$C:$C,"Customer")))/BP2,0)</f>
        <v/>
      </c>
      <c r="AX2" s="19">
        <f>IFERROR((
SUMPRODUCT(SUMIFS(Accounts!$AP:$AP,Accounts!$B:$B,{"Trialer","none"},Accounts!$C:$C,"Customer"))+
SUMPRODUCT(SUMIFS(Accounts!$AE:$AE,Accounts!$B:$B,{"Trialer","none"},Accounts!$C:$C,"Customer"))+
SUMPRODUCT(SUMIFS(Accounts!$Z:$Z,Accounts!$B:$B,{"Trialer","none"},Accounts!$C:$C,"Customer"))+
SUMPRODUCT(SUMIFS(Accounts!$AG:$AG,Accounts!$B:$B,{"Trialer","none"},Accounts!$C:$C,"Customer"))+
SUMPRODUCT(SUMIFS(Accounts!$AL:$AL,Accounts!$B:$B,{"Trialer","none"},Accounts!$C:$C,"Customer"))
)
/(BQ2+BS2+BT2),0
)</f>
        <v/>
      </c>
      <c r="AY2" s="19">
        <f>IFERROR((
SUMPRODUCT(SUMIFS(Accounts!$AP:$AP,Accounts!$B:$B,{"Trialer","none"},Accounts!$C:$C,"Customer"))+
SUMPRODUCT(SUMIFS(Accounts!$AE:$AE,Accounts!$B:$B,{"Trialer","none"},Accounts!$C:$C,"Customer"))
)
/BQ2,0
)</f>
        <v/>
      </c>
      <c r="AZ2" s="19">
        <f>IFERROR(SUMPRODUCT(SUMIFS(Accounts!$Z:$Z,Accounts!$B:$B,{"Trialer","none"},Accounts!$C:$C,"Customer"))/BS2,0)</f>
        <v/>
      </c>
      <c r="BA2" s="19">
        <f>IFERROR((SUMPRODUCT(SUMIFS(Accounts!$AG:$AG,Accounts!$B:$B,{"Trialer","none"},Accounts!$C:$C,"Customer")) + SUMPRODUCT(SUMIFS(Accounts!$AL:$AL,Accounts!$B:$B,{"Trialer","none"},Accounts!$C:$C,"Customer")))/BT2,0)</f>
        <v/>
      </c>
      <c r="BB2" s="19">
        <f>IFERROR(SUMPRODUCT(SUMIFS(Accounts!$AQ:$AQ,Accounts!$B:$B,{"Trialer","none"},Accounts!$C:$C,"Customer"))/BU2,0)</f>
        <v/>
      </c>
      <c r="BC2" s="34">
        <f>((BC8+BC11)/(((BC7*$C$2)+(0.5*BC10*$C$2)))*$C$2)</f>
        <v/>
      </c>
      <c r="BD2" s="34">
        <f>(($BD$8+$BD$11)/((($BD$7*$C$2)+(0.5*$BD$10*$C$2)))*$C$2)</f>
        <v/>
      </c>
      <c r="BE2" s="34">
        <f>((BE8+BE11)/((BE7*$C$2)+(0.5*BE10*$C$2)))*$C$2</f>
        <v/>
      </c>
      <c r="BF2" s="34">
        <f>((BF8+BF11)/((BF7*$C$2)+(0.5*BF10*$C$2)))*$C$2</f>
        <v/>
      </c>
      <c r="BG2" s="34">
        <f>((BG8+BG11)/((BG7*$C$2)+(0.5*BG10*$C$2)))*$C$2</f>
        <v/>
      </c>
      <c r="BH2" s="34">
        <f>((BH8+BH11)/((BH7*$C$2)+(0.5*BH10*$C$2)))*$C$2</f>
        <v/>
      </c>
      <c r="BI2" s="34">
        <f>((BI8+BI11)/((BI7*$C$2)+(0.5*BI10*$C$2)))*$C$2</f>
        <v/>
      </c>
      <c r="BJ2" s="34">
        <f>((BJ8+BJ11)/((BJ7*$C$2)+(0.5*BJ10*$C$2)))*$C$2</f>
        <v/>
      </c>
      <c r="BK2" s="34">
        <f>((BK8+BK11)/((BK7*$C$2)+(0.5*BK10*$C$2)))*$C$2</f>
        <v/>
      </c>
      <c r="BL2" s="34">
        <f>((BL8+BL11)/((BL7*$C$2)+(0.5*BL10*$C$2)))*$C$2</f>
        <v/>
      </c>
      <c r="BM2" s="39">
        <f>SUMIFS(Accounts!$AA:$AA,Accounts!$B:$B,"none") + SUMIFS(Accounts!$AH:$AH,Accounts!$B:$B,"none") + SUMIFS(Accounts!$AJ:$AJ,Accounts!$B:$B,"none") + SUMIFS(Accounts!$AI:$AI,Accounts!$B:$B,"none") + SUMIFS(Accounts!$AO:$AO,Accounts!$B:$B,"none")</f>
        <v/>
      </c>
      <c r="BN2" s="39">
        <f>SUMIFS(Accounts!$AC:$AC,Accounts!$B:$B,"none") + SUMIFS(Accounts!$AF:$AF,Accounts!$B:$B,"none") + SUMIFS(Accounts!$AK:$AK,Accounts!$B:$B,"none")</f>
        <v/>
      </c>
      <c r="BO2" s="39">
        <f>SUMIFS(Accounts!$AB:$AB,Accounts!$B:$B,"none")</f>
        <v/>
      </c>
      <c r="BP2" s="39">
        <f>SUMIFS(Accounts!$AD:$AD,Accounts!$B:$B,"none") + SUMIFS(Accounts!$AM:$AM,Accounts!$B:$B,"none") + SUMIFS(Accounts!$AN:$AN,Accounts!$B:$B,"none")</f>
        <v/>
      </c>
      <c r="BQ2" s="39">
        <f>SUMIFS(Accounts!$AE:$AE,Accounts!$B:$B,"none") + SUMIFS(Accounts!$AP:$AP,Accounts!$B:$B,"none")</f>
        <v/>
      </c>
      <c r="BR2" s="39">
        <f>SUM(BS2:BT2,BQ2)</f>
        <v/>
      </c>
      <c r="BS2" s="39">
        <f>SUMIFS(Accounts!$Z:$Z,Accounts!$B:$B,"none")</f>
        <v/>
      </c>
      <c r="BT2" s="39">
        <f>SUMIFS(Accounts!$AG:$AG,Accounts!$B:$B,"none") + SUMIFS(Accounts!$AL:$AL,Accounts!$B:$B,"none")</f>
        <v/>
      </c>
      <c r="BU2" s="39">
        <f>SUMIFS(Accounts!$AQ:$AQ,Accounts!$B:$B,"none")</f>
        <v/>
      </c>
      <c r="BV2" s="76">
        <f>$B$31/($BD$7+$BD$10)</f>
        <v/>
      </c>
      <c r="BW2" s="76">
        <f>$C$31/($BE$7+$BE$10)</f>
        <v/>
      </c>
      <c r="BX2" s="76">
        <f>$D$31/($BF$7+$BF$10)</f>
        <v/>
      </c>
      <c r="BY2" s="76">
        <f>$E$31/($BG$7+$BG$10)</f>
        <v/>
      </c>
      <c r="BZ2" s="76">
        <f>($F$31+$G$31+$H$31)/($BI$7+$BJ$7+$BK$7+$BI$10+$BJ$10+$BK$10)</f>
        <v/>
      </c>
      <c r="CA2" s="76">
        <f>$F$31/($BI$7+$BI$10)</f>
        <v/>
      </c>
      <c r="CB2" s="76">
        <f>$G$31/($BJ$7+$BJ$10)</f>
        <v/>
      </c>
      <c r="CC2" s="76">
        <f>$H$31/($BK$7+$BK$10)</f>
        <v/>
      </c>
      <c r="CD2" s="76">
        <f>$I$31/($BL$7+$BL$10)</f>
        <v/>
      </c>
      <c r="CE2" s="76">
        <f>($B$31+$J$31)/($BD$7+$BD$10)</f>
        <v/>
      </c>
      <c r="CF2" s="76">
        <f>($C$31+$K$31)/($BE$7+$BE$10)</f>
        <v/>
      </c>
      <c r="CG2" s="76">
        <f>($D$31+$L$31)/($BF$7+$BF$10)</f>
        <v/>
      </c>
      <c r="CH2" s="76">
        <f>($E$31+$M$31)/($BG$7+$BG$10)</f>
        <v/>
      </c>
      <c r="CI2" s="76">
        <f>($F$31+$N$31+G31+H31+O31+P31)/($BI$7+$BI$10+BJ7+BK7+BJ10+BK10)</f>
        <v/>
      </c>
      <c r="CJ2" s="76">
        <f>($F$31+$N$31)/($BI$7+$BI$10)</f>
        <v/>
      </c>
      <c r="CK2" s="76">
        <f>($G$31+$O$31)/($BJ$7+$BJ$10)</f>
        <v/>
      </c>
      <c r="CL2" s="76">
        <f>($H$31+$P$31)/($BK$7+$BK$10)</f>
        <v/>
      </c>
      <c r="CM2" s="76">
        <f>($I$31+$Q$31)/($BL$7+$BL$10)</f>
        <v/>
      </c>
      <c r="CN2" s="76">
        <f>$BV$2*$BD$6</f>
        <v/>
      </c>
      <c r="CO2" s="76">
        <f>$BW$2*$BE$6</f>
        <v/>
      </c>
      <c r="CP2" s="76">
        <f>$BX$2*$BF$6</f>
        <v/>
      </c>
      <c r="CQ2" s="76">
        <f>$BY$2*$BG$6</f>
        <v/>
      </c>
      <c r="CR2" s="76">
        <f>$BZ$2*$BH$6</f>
        <v/>
      </c>
      <c r="CS2" s="76">
        <f>$CA$2*$BI$6</f>
        <v/>
      </c>
      <c r="CT2" s="76">
        <f>$CB$2*$BJ$6</f>
        <v/>
      </c>
      <c r="CU2" s="76">
        <f>$CC$2*$BK$6</f>
        <v/>
      </c>
      <c r="CV2" s="76">
        <f>$CD$2*$BL$6</f>
        <v/>
      </c>
      <c r="CW2" s="34">
        <f>((CW8+CW11)/((CW7*$C$2)+(0.5*CW10*$C$2)))*$C$2</f>
        <v/>
      </c>
      <c r="CX2" s="39">
        <f>COUNTIFS(Accounts!$AS:$AS, "Manufacturing (MWD)",Accounts!$B:$B,"none")</f>
        <v/>
      </c>
      <c r="CY2" s="33">
        <f>COUNTIFS(Accounts!$AS:$AS, "Manufacturing (MWD)",Accounts!$B:$B,"Customer")</f>
        <v/>
      </c>
      <c r="CZ2" s="76">
        <f>SUMIFS(Accounts!$I:$I,Accounts!$AS:$AS, "Manufacturing (MWD)")</f>
        <v/>
      </c>
      <c r="DA2" s="76">
        <f>SUMIFS(Accounts!$N:$N,Accounts!$AS:$AS, "Manufacturing (MWD)")</f>
        <v/>
      </c>
      <c r="DB2" s="76">
        <f>CZ2/(CY2+CW10)</f>
        <v/>
      </c>
      <c r="DC2" s="76">
        <f>(CZ2+DA2)/(CY2+CW10)</f>
        <v/>
      </c>
      <c r="DD2" s="76">
        <f>CW6*DB2</f>
        <v/>
      </c>
      <c r="DE2" s="76">
        <f>AVERAGEIFS(Accounts!$AY:$AY,Accounts!$AS:$AS, "Manufacturing (MWD)",Accounts!$B:$B,"Customer",Accounts!$AY:$AY,"&gt;0")</f>
        <v/>
      </c>
      <c r="DF2" s="33">
        <f>AVERAGEIFS(Accounts!$AX:$AX,Accounts!$AS:$AS, "Manufacturing (MWD)",Accounts!$B:$B,"Customer",Accounts!$AX:$AX,"&gt;0")</f>
        <v/>
      </c>
      <c r="DG2" s="76">
        <f>AVERAGEIFS(Accounts!$AY:$AY,Accounts!$AS:$AS, "Manufacturing (MWD)",Accounts!$B:$B,"none",Accounts!$AY:$AY,"&gt;0")</f>
        <v/>
      </c>
      <c r="DH2" s="33">
        <f>AVERAGEIFS(Accounts!$AX:$AX,Accounts!$AS:$AS, "Manufacturing (MWD)",Accounts!$B:$B,"none",Accounts!$AX:$AX,"&gt;0")</f>
        <v/>
      </c>
      <c r="DI2" s="55">
        <f>SUMIFS(Accounts!$AA:$AA,Accounts!$B:$B,"Customer",Accounts!$AS:$AS, "Manufacturing (MWD)") + SUMIFS(Accounts!$AH:$AH,Accounts!$B:$B,"Customer",Accounts!$AS:$AS, "Manufacturing (MWD)") + SUMIFS(Accounts!$AJ:$AJ,Accounts!$B:$B,"Customer",Accounts!$AS:$AS, "Manufacturing (MWD)") + SUMIFS(Accounts!$AI:$AI,Accounts!$B:$B,"Customer",Accounts!$AS:$AS, "Manufacturing (MWD)") + SUMIFS(Accounts!$AO:$AO,Accounts!$B:$B,"Customer",Accounts!$AS:$AS, "Manufacturing (MWD)")</f>
        <v/>
      </c>
      <c r="DJ2" s="55">
        <f>(SUMIFS(Accounts!$AC:$AC,Accounts!$B:$B,"Customer",Accounts!$AS:$AS, "Manufacturing (MWD)")+SUMIFS(Accounts!$AF:$AF,Accounts!$B:$B,"Customer",Accounts!$AS:$AS, "Manufacturing (MWD)")+SUMIFS(Accounts!$AK:$AK,Accounts!$B:$B,"Customer",Accounts!$AS:$AS, "Manufacturing (MWD)"))</f>
        <v/>
      </c>
      <c r="DK2" s="55">
        <f>SUMIFS(Accounts!$AB:$AB,Accounts!$B:$B,"Customer",Accounts!$AS:$AS, "Manufacturing (MWD)")</f>
        <v/>
      </c>
      <c r="DL2" s="55">
        <f>SUMIFS(Accounts!$AD:$AD,Accounts!$B:$B,"Customer",Accounts!$AS:$AS, "Manufacturing (MWD)")+SUMIFS(Accounts!$AM:$AM,Accounts!$B:$B,"Customer",Accounts!$AS:$AS, "Manufacturing (MWD)")+SUMIFS(Accounts!$AN:$AN,Accounts!$B:$B,"Customer",Accounts!$AS:$AS, "Manufacturing (MWD)")</f>
        <v/>
      </c>
      <c r="DM2" s="55">
        <f>SUMIFS(Accounts!$AE:$AE,Accounts!$B:$B,"Customer",Accounts!$AS:$AS, "Manufacturing (MWD)") + SUMIFS(Accounts!$AP:$AP,Accounts!$B:$B,"Customer",Accounts!$AS:$AS, "Manufacturing (MWD)")</f>
        <v/>
      </c>
      <c r="DN2" s="55">
        <f>SUMIFS(Accounts!$Z:$Z,Accounts!$B:$B,"Customer",Accounts!$AS:$AS, "Manufacturing (MWD)")</f>
        <v/>
      </c>
      <c r="DO2" s="55">
        <f>SUMIFS(Accounts!$AG:$AG,Accounts!$B:$B,"Customer",Accounts!$AS:$AS, "Manufacturing (MWD)") + SUMIFS(Accounts!$AL:$AL,Accounts!$B:$B,"Customer",Accounts!$AS:$AS, "Manufacturing (MWD)")</f>
        <v/>
      </c>
      <c r="DP2" s="55">
        <f>SUMIFS(Accounts!$AQ:$AQ,Accounts!$B:$B,"Customer",Accounts!$AS:$AS, "Manufacturing (MWD)")</f>
        <v/>
      </c>
      <c r="DQ2" s="55">
        <f>SUMIFS(Accounts!$AA:$AA,Accounts!$B:$B,"none",Accounts!$AS:$AS, "Manufacturing (MWD)") + SUMIFS(Accounts!$AH:$AH,Accounts!$B:$B,"none",Accounts!$AS:$AS, "Manufacturing (MWD)") + SUMIFS(Accounts!$AJ:$AJ,Accounts!$B:$B,"none",Accounts!$AS:$AS, "Manufacturing (MWD)") + SUMIFS(Accounts!$AI:$AI,Accounts!$B:$B,"none",Accounts!$AS:$AS, "Manufacturing (MWD)") + SUMIFS(Accounts!$AO:$AO,Accounts!$B:$B,"none",Accounts!$AS:$AS, "Manufacturing (MWD)")</f>
        <v/>
      </c>
      <c r="DR2" s="55">
        <f>(SUMIFS(Accounts!$AC:$AC,Accounts!$B:$B,"none",Accounts!$AS:$AS, "Manufacturing (MWD)")+SUMIFS(Accounts!$AF:$AF,Accounts!$B:$B,"none",Accounts!$AS:$AS, "Manufacturing (MWD)")+SUMIFS(Accounts!$AK:$AK,Accounts!$B:$B,"none",Accounts!$AS:$AS, "Manufacturing (MWD)"))</f>
        <v/>
      </c>
      <c r="DS2" s="55">
        <f>SUMIFS(Accounts!$AB:$AB,Accounts!$B:$B,"none",Accounts!$AS:$AS, "Manufacturing (MWD)")</f>
        <v/>
      </c>
      <c r="DT2" s="55">
        <f>SUMIFS(Accounts!$AD:$AD,Accounts!$B:$B,"none",Accounts!$AS:$AS, "Manufacturing (MWD)")+SUMIFS(Accounts!$AM:$AM,Accounts!$B:$B,"none",Accounts!$AS:$AS, "Manufacturing (MWD)")+SUMIFS(Accounts!$AN:$AN,Accounts!$B:$B,"none",Accounts!$AS:$AS, "Manufacturing (MWD)")</f>
        <v/>
      </c>
      <c r="DU2" s="39">
        <f>SUMIFS(Accounts!$AE:$AE,Accounts!$B:$B,"none",Accounts!$AS:$AS, "Manufacturing (MWD)") + SUMIFS(Accounts!$AP:$AP,Accounts!$B:$B,"none",Accounts!$AS:$AS, "Manufacturing (MWD)")</f>
        <v/>
      </c>
      <c r="DV2" s="55">
        <f>SUMIFS(Accounts!$Z:$Z,Accounts!$B:$B,"none",Accounts!$AS:$AS, "Manufacturing (MWD)")</f>
        <v/>
      </c>
      <c r="DW2" s="39">
        <f>SUMIFS(Accounts!$AG:$AG,Accounts!$B:$B,"none",Accounts!$AS:$AS, "Manufacturing (MWD)") + SUMIFS(Accounts!$AL:$AL,Accounts!$B:$B,"none",Accounts!$AS:$AS, "Manufacturing (MWD)")</f>
        <v/>
      </c>
      <c r="DX2" s="55">
        <f>SUMIFS(Accounts!$AQ:$AQ,Accounts!$B:$B,"none",Accounts!$AS:$AS, "Manufacturing (MWD)")</f>
        <v/>
      </c>
      <c r="DY2" s="34">
        <f>((DY8+DY11)/((DY7*$C$2)+(0.5*DY10*$C$2)))*$C$2</f>
        <v/>
      </c>
      <c r="DZ2" s="39">
        <f>COUNTIFS(Accounts!$AS:$AS, "Wholesale and distribution services (MWD)",Accounts!$B:$B,"none")</f>
        <v/>
      </c>
      <c r="EA2" s="33">
        <f>COUNTIFS(Accounts!$AS:$AS, "Wholesale and distribution services (MWD)",Accounts!$B:$B,"Customer")</f>
        <v/>
      </c>
      <c r="EB2" s="76">
        <f>SUMIFS(Accounts!$I:$I,Accounts!$AS:$AS, "Wholesale and distribution services (MWD)")</f>
        <v/>
      </c>
      <c r="EC2" s="76">
        <f>SUMIFS(Accounts!$N:$N,Accounts!$AS:$AS, "Wholesale and distribution services (MWD)")</f>
        <v/>
      </c>
      <c r="ED2" s="76">
        <f>EB2/(EA2+DY10)</f>
        <v/>
      </c>
      <c r="EE2" s="76">
        <f>(EB2+EC2)/(EA2+DY10)</f>
        <v/>
      </c>
      <c r="EF2" s="76">
        <f>DY6*ED2</f>
        <v/>
      </c>
      <c r="EG2" s="76">
        <f>AVERAGEIFS(Accounts!$AY:$AY,Accounts!$AS:$AS, "Wholesale and distribution services (MWD)",Accounts!$B:$B,"Customer",Accounts!$AY:$AY,"&gt;0")</f>
        <v/>
      </c>
      <c r="EH2" s="33">
        <f>AVERAGEIFS(Accounts!$AX:$AX,Accounts!$AS:$AS, "Wholesale and distribution services (MWD)",Accounts!$B:$B,"Customer",Accounts!$AX:$AX,"&gt;0")</f>
        <v/>
      </c>
      <c r="EI2" s="76">
        <f>AVERAGEIFS(Accounts!$AY:$AY,Accounts!$AS:$AS, "Wholesale and distribution services (MWD)",Accounts!$B:$B,"none",Accounts!$AY:$AY,"&gt;0")</f>
        <v/>
      </c>
      <c r="EJ2" s="33">
        <f>AVERAGEIFS(Accounts!$AX:$AX,Accounts!$AS:$AS, "Wholesale and distribution services (MWD)",Accounts!$B:$B,"none",Accounts!$AX:$AX,"&gt;0")</f>
        <v/>
      </c>
      <c r="EK2" s="55">
        <f>SUMIFS(Accounts!$AA:$AA,Accounts!$B:$B,"Customer",Accounts!$AS:$AS, "Wholesale and distribution services (MWD)") + SUMIFS(Accounts!$AH:$AH,Accounts!$B:$B,"Customer",Accounts!$AS:$AS, "Wholesale and distribution services (MWD)") + SUMIFS(Accounts!$AJ:$AJ,Accounts!$B:$B,"Customer",Accounts!$AS:$AS, "Wholesale and distribution services (MWD)") + SUMIFS(Accounts!$AI:$AI,Accounts!$B:$B,"Customer",Accounts!$AS:$AS, "Wholesale and distribution services (MWD)") + SUMIFS(Accounts!$AO:$AO,Accounts!$B:$B,"Customer",Accounts!$AS:$AS, "Wholesale and distribution services (MWD)")</f>
        <v/>
      </c>
      <c r="EL2" s="55">
        <f>(SUMIFS(Accounts!$AC:$AC,Accounts!$B:$B,"Customer",Accounts!$AS:$AS, "Wholesale and distribution services (MWD)")+SUMIFS(Accounts!$AF:$AF,Accounts!$B:$B,"Customer",Accounts!$AS:$AS, "Wholesale and distribution services (MWD)")+SUMIFS(Accounts!$AK:$AK,Accounts!$B:$B,"Customer",Accounts!$AS:$AS, "Wholesale and distribution services (MWD)"))</f>
        <v/>
      </c>
      <c r="EM2" s="55">
        <f>SUMIFS(Accounts!$AB:$AB,Accounts!$B:$B,"Customer",Accounts!$AS:$AS, "Wholesale and distribution services (MWD)")</f>
        <v/>
      </c>
      <c r="EN2" s="55">
        <f>SUMIFS(Accounts!$AD:$AD,Accounts!$B:$B,"Customer",Accounts!$AS:$AS, "Wholesale and distribution services (MWD)")+SUMIFS(Accounts!$AM:$AM,Accounts!$B:$B,"Customer",Accounts!$AS:$AS, "Wholesale and distribution services (MWD)")+SUMIFS(Accounts!$AN:$AN,Accounts!$B:$B,"Customer",Accounts!$AS:$AS, "Wholesale and distribution services (MWD)")</f>
        <v/>
      </c>
      <c r="EO2" s="55">
        <f>SUMIFS(Accounts!$AE:$AE,Accounts!$B:$B,"Customer",Accounts!$AS:$AS, "Wholesale and distribution services (MWD)") + SUMIFS(Accounts!$AP:$AP,Accounts!$B:$B,"Customer",Accounts!$AS:$AS, "Wholesale and distribution services (MWD)")</f>
        <v/>
      </c>
      <c r="EP2" s="55">
        <f>SUMIFS(Accounts!$Z:$Z,Accounts!$B:$B,"Customer",Accounts!$AS:$AS, "Wholesale and distribution services (MWD)")</f>
        <v/>
      </c>
      <c r="EQ2" s="55">
        <f>SUMIFS(Accounts!$AG:$AG,Accounts!$B:$B,"Customer",Accounts!$AS:$AS, "Wholesale and distribution services (MWD)") + SUMIFS(Accounts!$AL:$AL,Accounts!$B:$B,"Customer",Accounts!$AS:$AS, "Wholesale and distribution services (MWD)")</f>
        <v/>
      </c>
      <c r="ER2" s="55">
        <f>SUMIFS(Accounts!$AQ:$AQ,Accounts!$B:$B,"Customer",Accounts!$AS:$AS, "Wholesale and distribution services (MWD)")</f>
        <v/>
      </c>
      <c r="ES2" s="55">
        <f>SUMIFS(Accounts!$AA:$AA,Accounts!$B:$B,"none",Accounts!$AS:$AS, "Wholesale and distribution services (MWD)") + SUMIFS(Accounts!$AH:$AH,Accounts!$B:$B,"none",Accounts!$AS:$AS, "Wholesale and distribution services (MWD)") + SUMIFS(Accounts!$AJ:$AJ,Accounts!$B:$B,"none",Accounts!$AS:$AS, "Wholesale and distribution services (MWD)") + SUMIFS(Accounts!$AI:$AI,Accounts!$B:$B,"none",Accounts!$AS:$AS, "Wholesale and distribution services (MWD)") + SUMIFS(Accounts!$AO:$AO,Accounts!$B:$B,"none",Accounts!$AS:$AS, "Wholesale and distribution services (MWD)")</f>
        <v/>
      </c>
      <c r="ET2" s="55">
        <f>(SUMIFS(Accounts!$AC:$AC,Accounts!$B:$B,"none",Accounts!$AS:$AS, "Wholesale and distribution services (MWD)")+SUMIFS(Accounts!$AF:$AF,Accounts!$B:$B,"none",Accounts!$AS:$AS, "Wholesale and distribution services (MWD)")+SUMIFS(Accounts!$AK:$AK,Accounts!$B:$B,"none",Accounts!$AS:$AS, "Wholesale and distribution services (MWD)"))</f>
        <v/>
      </c>
      <c r="EU2" s="55">
        <f>SUMIFS(Accounts!$AB:$AB,Accounts!$B:$B,"none",Accounts!$AS:$AS, "Wholesale and distribution services (MWD)")</f>
        <v/>
      </c>
      <c r="EV2" s="55">
        <f>SUMIFS(Accounts!$AD:$AD,Accounts!$B:$B,"none",Accounts!$AS:$AS, "Wholesale and distribution services (MWD)")+SUMIFS(Accounts!$AM:$AM,Accounts!$B:$B,"none",Accounts!$AS:$AS, "Wholesale and distribution services (MWD)")+SUMIFS(Accounts!$AN:$AN,Accounts!$B:$B,"none",Accounts!$AS:$AS, "Wholesale and distribution services (MWD)")</f>
        <v/>
      </c>
      <c r="EW2" s="39">
        <f>SUMIFS(Accounts!$AE:$AE,Accounts!$B:$B,"none",Accounts!$AS:$AS, "Wholesale and distribution services (MWD)") + SUMIFS(Accounts!$AP:$AP,Accounts!$B:$B,"none",Accounts!$AS:$AS, "Wholesale and distribution services (MWD)")</f>
        <v/>
      </c>
      <c r="EX2" s="55">
        <f>SUMIFS(Accounts!$Z:$Z,Accounts!$B:$B,"none",Accounts!$AS:$AS, "Wholesale and distribution services (MWD)")</f>
        <v/>
      </c>
      <c r="EY2" s="39">
        <f>SUMIFS(Accounts!$AG:$AG,Accounts!$B:$B,"none",Accounts!$AS:$AS, "Wholesale and distribution services (MWD)") + SUMIFS(Accounts!$AL:$AL,Accounts!$B:$B,"none",Accounts!$AS:$AS, "Wholesale and distribution services (MWD)")</f>
        <v/>
      </c>
      <c r="EZ2" s="55">
        <f>SUMIFS(Accounts!$AQ:$AQ,Accounts!$B:$B,"none",Accounts!$AS:$AS, "Wholesale and distribution services (MWD)")</f>
        <v/>
      </c>
      <c r="FA2" s="34">
        <f>((FA8+FA11)/((FA7*$C$2)+(0.5*FA10*$C$2)))*$C$2</f>
        <v/>
      </c>
      <c r="FB2" s="39">
        <f>COUNTIFS(Accounts!$AS:$AS, "Construction",Accounts!$B:$B,"none")</f>
        <v/>
      </c>
      <c r="FC2" s="33">
        <f>COUNTIFS(Accounts!$AS:$AS, "Construction",Accounts!$B:$B,"Customer")</f>
        <v/>
      </c>
      <c r="FD2" s="76">
        <f>SUMIFS(Accounts!$I:$I,Accounts!$AS:$AS, "Construction")</f>
        <v/>
      </c>
      <c r="FE2" s="76">
        <f>SUMIFS(Accounts!$N:$N,Accounts!$AS:$AS, "Construction")</f>
        <v/>
      </c>
      <c r="FF2" s="76">
        <f>FD2/(FC2+FA10)</f>
        <v/>
      </c>
      <c r="FG2" s="76">
        <f>(FD2+FE2)/(FC2+FA10)</f>
        <v/>
      </c>
      <c r="FH2" s="76">
        <f>FA6*FF2</f>
        <v/>
      </c>
      <c r="FI2" s="76">
        <f>AVERAGEIFS(Accounts!$AY:$AY,Accounts!$AS:$AS, "Construction",Accounts!$B:$B,"Customer",Accounts!$AY:$AY,"&gt;0")</f>
        <v/>
      </c>
      <c r="FJ2" s="33">
        <f>AVERAGEIFS(Accounts!$AX:$AX,Accounts!$AS:$AS, "Construction",Accounts!$B:$B,"Customer",Accounts!$AX:$AX,"&gt;0")</f>
        <v/>
      </c>
      <c r="FK2" s="76">
        <f>AVERAGEIFS(Accounts!$AY:$AY,Accounts!$AS:$AS, "Construction",Accounts!$B:$B,"none",Accounts!$AY:$AY,"&gt;0")</f>
        <v/>
      </c>
      <c r="FL2" s="33">
        <f>AVERAGEIFS(Accounts!$AX:$AX,Accounts!$AS:$AS, "Construction",Accounts!$B:$B,"none",Accounts!$AX:$AX,"&gt;0")</f>
        <v/>
      </c>
      <c r="FM2" s="55">
        <f>SUMIFS(Accounts!$AA:$AA,Accounts!$B:$B,"Customer",Accounts!$AS:$AS, "Construction") + SUMIFS(Accounts!$AH:$AH,Accounts!$B:$B,"Customer",Accounts!$AS:$AS, "Construction") + SUMIFS(Accounts!$AJ:$AJ,Accounts!$B:$B,"Customer",Accounts!$AS:$AS, "Construction") + SUMIFS(Accounts!$AI:$AI,Accounts!$B:$B,"Customer",Accounts!$AS:$AS, "Construction") + SUMIFS(Accounts!$AO:$AO,Accounts!$B:$B,"Customer",Accounts!$AS:$AS, "Construction")</f>
        <v/>
      </c>
      <c r="FN2" s="55">
        <f>(SUMIFS(Accounts!$AC:$AC,Accounts!$B:$B,"Customer",Accounts!$AS:$AS, "Construction")+SUMIFS(Accounts!$AF:$AF,Accounts!$B:$B,"Customer",Accounts!$AS:$AS, "Construction")+SUMIFS(Accounts!$AK:$AK,Accounts!$B:$B,"Customer",Accounts!$AS:$AS, "Construction"))</f>
        <v/>
      </c>
      <c r="FO2" s="55">
        <f>SUMIFS(Accounts!$AB:$AB,Accounts!$B:$B,"Customer",Accounts!$AS:$AS, "Construction")</f>
        <v/>
      </c>
      <c r="FP2" s="55">
        <f>SUMIFS(Accounts!$AD:$AD,Accounts!$B:$B,"Customer",Accounts!$AS:$AS, "Construction")+SUMIFS(Accounts!$AM:$AM,Accounts!$B:$B,"Customer",Accounts!$AS:$AS, "Construction")+SUMIFS(Accounts!$AN:$AN,Accounts!$B:$B,"Customer",Accounts!$AS:$AS, "Construction")</f>
        <v/>
      </c>
      <c r="FQ2" s="55">
        <f>SUMIFS(Accounts!$AE:$AE,Accounts!$B:$B,"Customer",Accounts!$AS:$AS, "Construction") + SUMIFS(Accounts!$AP:$AP,Accounts!$B:$B,"Customer",Accounts!$AS:$AS, "Construction")</f>
        <v/>
      </c>
      <c r="FR2" s="55">
        <f>SUMIFS(Accounts!$Z:$Z,Accounts!$B:$B,"Customer",Accounts!$AS:$AS, "Construction")</f>
        <v/>
      </c>
      <c r="FS2" s="55">
        <f>SUMIFS(Accounts!$AG:$AG,Accounts!$B:$B,"Customer",Accounts!$AS:$AS, "Construction") + SUMIFS(Accounts!$AL:$AL,Accounts!$B:$B,"Customer",Accounts!$AS:$AS, "Construction")</f>
        <v/>
      </c>
      <c r="FT2" s="55">
        <f>SUMIFS(Accounts!$AQ:$AQ,Accounts!$B:$B,"Customer",Accounts!$AS:$AS, "Construction")</f>
        <v/>
      </c>
      <c r="FU2" s="55">
        <f>SUMIFS(Accounts!$AA:$AA,Accounts!$B:$B,"none",Accounts!$AS:$AS, "Construction") + SUMIFS(Accounts!$AH:$AH,Accounts!$B:$B,"none",Accounts!$AS:$AS, "Construction") + SUMIFS(Accounts!$AJ:$AJ,Accounts!$B:$B,"none",Accounts!$AS:$AS, "Construction") + SUMIFS(Accounts!$AI:$AI,Accounts!$B:$B,"none",Accounts!$AS:$AS, "Construction") + SUMIFS(Accounts!$AO:$AO,Accounts!$B:$B,"none",Accounts!$AS:$AS, "Construction")</f>
        <v/>
      </c>
      <c r="FV2" s="55">
        <f>(SUMIFS(Accounts!$AC:$AC,Accounts!$B:$B,"none",Accounts!$AS:$AS, "Construction")+SUMIFS(Accounts!$AF:$AF,Accounts!$B:$B,"none",Accounts!$AS:$AS, "Construction")+SUMIFS(Accounts!$AK:$AK,Accounts!$B:$B,"none",Accounts!$AS:$AS, "Construction"))</f>
        <v/>
      </c>
      <c r="FW2" s="55">
        <f>SUMIFS(Accounts!$AB:$AB,Accounts!$B:$B,"none",Accounts!$AS:$AS, "Construction")</f>
        <v/>
      </c>
      <c r="FX2" s="55">
        <f>SUMIFS(Accounts!$AD:$AD,Accounts!$B:$B,"none",Accounts!$AS:$AS, "Construction")+SUMIFS(Accounts!$AM:$AM,Accounts!$B:$B,"none",Accounts!$AS:$AS, "Construction")+SUMIFS(Accounts!$AN:$AN,Accounts!$B:$B,"none",Accounts!$AS:$AS, "Construction")</f>
        <v/>
      </c>
      <c r="FY2" s="39">
        <f>SUMIFS(Accounts!$AE:$AE,Accounts!$B:$B,"none",Accounts!$AS:$AS, "Construction") + SUMIFS(Accounts!$AP:$AP,Accounts!$B:$B,"none",Accounts!$AS:$AS, "Construction")</f>
        <v/>
      </c>
      <c r="FZ2" s="55">
        <f>SUMIFS(Accounts!$Z:$Z,Accounts!$B:$B,"none",Accounts!$AS:$AS, "Construction")</f>
        <v/>
      </c>
      <c r="GA2" s="39">
        <f>SUMIFS(Accounts!$AG:$AG,Accounts!$B:$B,"none",Accounts!$AS:$AS, "Construction") + SUMIFS(Accounts!$AL:$AL,Accounts!$B:$B,"none",Accounts!$AS:$AS, "Construction")</f>
        <v/>
      </c>
      <c r="GB2" s="55">
        <f>SUMIFS(Accounts!$AQ:$AQ,Accounts!$B:$B,"none",Accounts!$AS:$AS, "Construction")</f>
        <v/>
      </c>
      <c r="GC2" s="34">
        <f>((GC8+GC11)/((GC7*$C$2)+(0.5*GC10*$C$2)))*$C$2</f>
        <v/>
      </c>
      <c r="GD2" s="39">
        <f>COUNTIFS(Accounts!$AS:$AS, "Field Services",Accounts!$B:$B,"none")</f>
        <v/>
      </c>
      <c r="GE2" s="33">
        <f>COUNTIFS(Accounts!$AS:$AS, "Field Services",Accounts!$B:$B,"Customer")</f>
        <v/>
      </c>
      <c r="GF2" s="76">
        <f>SUMIFS(Accounts!$I:$I,Accounts!$AS:$AS, "Field Services")</f>
        <v/>
      </c>
      <c r="GG2" s="76">
        <f>SUMIFS(Accounts!$N:$N,Accounts!$AS:$AS, "Field Services")</f>
        <v/>
      </c>
      <c r="GH2" s="76">
        <f>GF2/(GE2+GC10)</f>
        <v/>
      </c>
      <c r="GI2" s="76">
        <f>(GF2+GG2)/(GE2+GC10)</f>
        <v/>
      </c>
      <c r="GJ2" s="76">
        <f>GC6*GH2</f>
        <v/>
      </c>
      <c r="GK2" s="76">
        <f>IFERROR(AVERAGEIFS(Accounts!$AY:$AY,Accounts!$AS:$AS, "Field Services",Accounts!$B:$B,"Customer",Accounts!$AY:$AY,"&gt;0"),0)</f>
        <v/>
      </c>
      <c r="GL2" s="33">
        <f>IFERROR(AVERAGEIFS(Accounts!$AX:$AX,Accounts!$AS:$AS, "Field Services",Accounts!$B:$B,"Customer",Accounts!$AX:$AX,"&gt;0"),0)</f>
        <v/>
      </c>
      <c r="GM2" s="76">
        <f>IFERROR(AVERAGEIFS(Accounts!$AY:$AY,Accounts!$AS:$AS, "Field Services",Accounts!$B:$B,"none",Accounts!$AY:$AY,"&gt;0"),0)</f>
        <v/>
      </c>
      <c r="GN2" s="33">
        <f>IFERROR(AVERAGEIFS(Accounts!$AX:$AX,Accounts!$AS:$AS, "Field Services",Accounts!$B:$B,"none",Accounts!$AX:$AX,"&gt;0"),0)</f>
        <v/>
      </c>
      <c r="GO2" s="55">
        <f>SUMIFS(Accounts!$AA:$AA,Accounts!$B:$B,"Customer",Accounts!$AS:$AS, "Field Services") + SUMIFS(Accounts!$AH:$AH,Accounts!$B:$B,"Customer",Accounts!$AS:$AS, "Field Services") + SUMIFS(Accounts!$AJ:$AJ,Accounts!$B:$B,"Customer",Accounts!$AS:$AS, "Field Services") + SUMIFS(Accounts!$AI:$AI,Accounts!$B:$B,"Customer",Accounts!$AS:$AS, "Field Services") + SUMIFS(Accounts!$AO:$AO,Accounts!$B:$B,"Customer",Accounts!$AS:$AS, "Field Services")</f>
        <v/>
      </c>
      <c r="GP2" s="55">
        <f>(SUMIFS(Accounts!$AC:$AC,Accounts!$B:$B,"Customer",Accounts!$AS:$AS, "Field Services")+SUMIFS(Accounts!$AF:$AF,Accounts!$B:$B,"Customer",Accounts!$AS:$AS, "Field Services")+SUMIFS(Accounts!$AK:$AK,Accounts!$B:$B,"Customer",Accounts!$AS:$AS, "Field Services"))</f>
        <v/>
      </c>
      <c r="GQ2" s="55">
        <f>SUMIFS(Accounts!$AB:$AB,Accounts!$B:$B,"Customer",Accounts!$AS:$AS, "Field Services")</f>
        <v/>
      </c>
      <c r="GR2" s="55">
        <f>SUMIFS(Accounts!$AD:$AD,Accounts!$B:$B,"Customer",Accounts!$AS:$AS, "Field Services")+SUMIFS(Accounts!$AM:$AM,Accounts!$B:$B,"Customer",Accounts!$AS:$AS, "Field Services")+SUMIFS(Accounts!$AN:$AN,Accounts!$B:$B,"Customer",Accounts!$AS:$AS, "Field Services")</f>
        <v/>
      </c>
      <c r="GS2" s="55">
        <f>SUMIFS(Accounts!$AE:$AE,Accounts!$B:$B,"Customer",Accounts!$AS:$AS, "Field Services") + SUMIFS(Accounts!$AP:$AP,Accounts!$B:$B,"Customer",Accounts!$AS:$AS, "Field Services")</f>
        <v/>
      </c>
      <c r="GT2" s="55">
        <f>SUMIFS(Accounts!$Z:$Z,Accounts!$B:$B,"Customer",Accounts!$AS:$AS, "Field Services")</f>
        <v/>
      </c>
      <c r="GU2" s="55">
        <f>SUMIFS(Accounts!$AG:$AG,Accounts!$B:$B,"Customer",Accounts!$AS:$AS, "Field Services") + SUMIFS(Accounts!$AL:$AL,Accounts!$B:$B,"Customer",Accounts!$AS:$AS, "Field Services")</f>
        <v/>
      </c>
      <c r="GV2" s="55">
        <f>SUMIFS(Accounts!$AQ:$AQ,Accounts!$B:$B,"Customer",Accounts!$AS:$AS, "Field Services")</f>
        <v/>
      </c>
      <c r="GW2" s="55">
        <f>SUMIFS(Accounts!$AA:$AA,Accounts!$B:$B,"none",Accounts!$AS:$AS, "Field Services") + SUMIFS(Accounts!$AH:$AH,Accounts!$B:$B,"none",Accounts!$AS:$AS, "Field Services") + SUMIFS(Accounts!$AJ:$AJ,Accounts!$B:$B,"none",Accounts!$AS:$AS, "Field Services") + SUMIFS(Accounts!$AI:$AI,Accounts!$B:$B,"none",Accounts!$AS:$AS, "Field Services") + SUMIFS(Accounts!$AO:$AO,Accounts!$B:$B,"none",Accounts!$AS:$AS, "Field Services")</f>
        <v/>
      </c>
      <c r="GX2" s="55">
        <f>(SUMIFS(Accounts!$AC:$AC,Accounts!$B:$B,"none",Accounts!$AS:$AS, "Field Services")+SUMIFS(Accounts!$AF:$AF,Accounts!$B:$B,"none",Accounts!$AS:$AS, "Field Services")+SUMIFS(Accounts!$AK:$AK,Accounts!$B:$B,"none",Accounts!$AS:$AS, "Field Services"))</f>
        <v/>
      </c>
      <c r="GY2" s="55">
        <f>SUMIFS(Accounts!$AB:$AB,Accounts!$B:$B,"none",Accounts!$AS:$AS, "Field Services")</f>
        <v/>
      </c>
      <c r="GZ2" s="55">
        <f>SUMIFS(Accounts!$AD:$AD,Accounts!$B:$B,"none",Accounts!$AS:$AS, "Field Services")+SUMIFS(Accounts!$AM:$AM,Accounts!$B:$B,"none",Accounts!$AS:$AS, "Field Services")+SUMIFS(Accounts!$AN:$AN,Accounts!$B:$B,"none",Accounts!$AS:$AS, "Field Services")</f>
        <v/>
      </c>
      <c r="HA2" s="39">
        <f>SUMIFS(Accounts!$AE:$AE,Accounts!$B:$B,"none",Accounts!$AS:$AS, "Field Services") + SUMIFS(Accounts!$AP:$AP,Accounts!$B:$B,"none",Accounts!$AS:$AS, "Field Services")</f>
        <v/>
      </c>
      <c r="HB2" s="55">
        <f>SUMIFS(Accounts!$Z:$Z,Accounts!$B:$B,"none",Accounts!$AS:$AS, "Field Services")</f>
        <v/>
      </c>
      <c r="HC2" s="39">
        <f>SUMIFS(Accounts!$AG:$AG,Accounts!$B:$B,"none",Accounts!$AS:$AS, "Field Services") + SUMIFS(Accounts!$AL:$AL,Accounts!$B:$B,"none",Accounts!$AS:$AS, "Field Services")</f>
        <v/>
      </c>
      <c r="HD2" s="55">
        <f>SUMIFS(Accounts!$AQ:$AQ,Accounts!$B:$B,"none",Accounts!$AS:$AS, "Field Services")</f>
        <v/>
      </c>
      <c r="HE2" s="34">
        <f>((HE8+HE11)/((HE7*$C$2)+(0.5*HE10*$C$2)))*$C$2</f>
        <v/>
      </c>
      <c r="HF2" s="39">
        <f>COUNTIFS(Accounts!$AS:$AS, "Consulting and Professional Services",Accounts!$B:$B,"none")</f>
        <v/>
      </c>
      <c r="HG2" s="33">
        <f>COUNTIFS(Accounts!$AS:$AS, "Consulting and Professional Services",Accounts!$B:$B,"Customer")</f>
        <v/>
      </c>
      <c r="HH2" s="76">
        <f>SUMIFS(Accounts!$I:$I,Accounts!$AS:$AS, "Consulting and Professional Services")</f>
        <v/>
      </c>
      <c r="HI2" s="76">
        <f>SUMIFS(Accounts!$N:$N,Accounts!$AS:$AS, "Consulting and Professional Services")</f>
        <v/>
      </c>
      <c r="HJ2" s="76">
        <f>HH2/(HG2+HE10)</f>
        <v/>
      </c>
      <c r="HK2" s="76">
        <f>(HH2+HI2)/(HG2+HE10)</f>
        <v/>
      </c>
      <c r="HL2" s="76">
        <f>HE6*HJ2</f>
        <v/>
      </c>
      <c r="HM2" s="76">
        <f>IFERROR(AVERAGEIFS(Accounts!$AY:$AY,Accounts!$AS:$AS, "Consulting and Professional Services",Accounts!$B:$B,"Customer",Accounts!$AY:$AY,"&gt;0"),0)</f>
        <v/>
      </c>
      <c r="HN2" s="33">
        <f>IFERROR(AVERAGEIFS(Accounts!$AX:$AX,Accounts!$AS:$AS, "Consulting and Professional Services",Accounts!$B:$B,"Customer",Accounts!$AX:$AX,"&gt;0"),0)</f>
        <v/>
      </c>
      <c r="HO2" s="76">
        <f>IFERROR(AVERAGEIFS(Accounts!$AY:$AY,Accounts!$AS:$AS, "Consulting and Professional Services",Accounts!$B:$B,"none",Accounts!$AY:$AY,"&gt;0"),0)</f>
        <v/>
      </c>
      <c r="HP2" s="33">
        <f>IFERROR(AVERAGEIFS(Accounts!$AX:$AX,Accounts!$AS:$AS, "Consulting and Professional Services",Accounts!$B:$B,"none",Accounts!$AX:$AX,"&gt;0"),0)</f>
        <v/>
      </c>
      <c r="HQ2" s="55">
        <f>SUMIFS(Accounts!$AA:$AA,Accounts!$B:$B,"Customer",Accounts!$AS:$AS, "Consulting and Professional Services") + SUMIFS(Accounts!$AH:$AH,Accounts!$B:$B,"Customer",Accounts!$AS:$AS, "Consulting and Professional Services") + SUMIFS(Accounts!$AJ:$AJ,Accounts!$B:$B,"Customer",Accounts!$AS:$AS, "Consulting and Professional Services") + SUMIFS(Accounts!$AI:$AI,Accounts!$B:$B,"Customer",Accounts!$AS:$AS, "Consulting and Professional Services") + SUMIFS(Accounts!$AO:$AO,Accounts!$B:$B,"Customer",Accounts!$AS:$AS, "Consulting and Professional Services")</f>
        <v/>
      </c>
      <c r="HR2" s="55">
        <f>(SUMIFS(Accounts!$AC:$AC,Accounts!$B:$B,"Customer",Accounts!$AS:$AS, "Consulting and Professional Services")+SUMIFS(Accounts!$AF:$AF,Accounts!$B:$B,"Customer",Accounts!$AS:$AS, "Consulting and Professional Services")+SUMIFS(Accounts!$AK:$AK,Accounts!$B:$B,"Customer",Accounts!$AS:$AS, "Consulting and Professional Services"))</f>
        <v/>
      </c>
      <c r="HS2" s="55">
        <f>SUMIFS(Accounts!$AB:$AB,Accounts!$B:$B,"Customer",Accounts!$AS:$AS, "Consulting and Professional Services")</f>
        <v/>
      </c>
      <c r="HT2" s="55">
        <f>SUMIFS(Accounts!$AD:$AD,Accounts!$B:$B,"Customer",Accounts!$AS:$AS, "Consulting and Professional Services")+SUMIFS(Accounts!$AM:$AM,Accounts!$B:$B,"Customer",Accounts!$AS:$AS, "Consulting and Professional Services")+SUMIFS(Accounts!$AN:$AN,Accounts!$B:$B,"Customer",Accounts!$AS:$AS, "Consulting and Professional Services")</f>
        <v/>
      </c>
      <c r="HU2" s="55">
        <f>SUMIFS(Accounts!$AE:$AE,Accounts!$B:$B,"Customer",Accounts!$AS:$AS, "Consulting and Professional Services") + SUMIFS(Accounts!$AP:$AP,Accounts!$B:$B,"Customer",Accounts!$AS:$AS, "Consulting and Professional Services")</f>
        <v/>
      </c>
      <c r="HV2" s="55">
        <f>SUMIFS(Accounts!$Z:$Z,Accounts!$B:$B,"Customer",Accounts!$AS:$AS, "Consulting and Professional Services")</f>
        <v/>
      </c>
      <c r="HW2" s="55">
        <f>SUMIFS(Accounts!$AG:$AG,Accounts!$B:$B,"Customer",Accounts!$AS:$AS, "Consulting and Professional Services") + SUMIFS(Accounts!$AL:$AL,Accounts!$B:$B,"Customer",Accounts!$AS:$AS, "Consulting and Professional Services")</f>
        <v/>
      </c>
      <c r="HX2" s="55">
        <f>SUMIFS(Accounts!$AQ:$AQ,Accounts!$B:$B,"Customer",Accounts!$AS:$AS, "Consulting and Professional Services")</f>
        <v/>
      </c>
      <c r="HY2" s="55">
        <f>SUMIFS(Accounts!$AA:$AA,Accounts!$B:$B,"none",Accounts!$AS:$AS, "Consulting and Professional Services") + SUMIFS(Accounts!$AH:$AH,Accounts!$B:$B,"none",Accounts!$AS:$AS, "Consulting and Professional Services") + SUMIFS(Accounts!$AJ:$AJ,Accounts!$B:$B,"none",Accounts!$AS:$AS, "Consulting and Professional Services") + SUMIFS(Accounts!$AI:$AI,Accounts!$B:$B,"none",Accounts!$AS:$AS, "Consulting and Professional Services") + SUMIFS(Accounts!$AO:$AO,Accounts!$B:$B,"none",Accounts!$AS:$AS, "Consulting and Professional Services")</f>
        <v/>
      </c>
      <c r="HZ2" s="55">
        <f>(SUMIFS(Accounts!$AC:$AC,Accounts!$B:$B,"none",Accounts!$AS:$AS, "Consulting and Professional Services")+SUMIFS(Accounts!$AF:$AF,Accounts!$B:$B,"none",Accounts!$AS:$AS, "Consulting and Professional Services")+SUMIFS(Accounts!$AK:$AK,Accounts!$B:$B,"none",Accounts!$AS:$AS, "Consulting and Professional Services"))</f>
        <v/>
      </c>
      <c r="IA2" s="55">
        <f>SUMIFS(Accounts!$AB:$AB,Accounts!$B:$B,"none",Accounts!$AS:$AS, "Consulting and Professional Services")</f>
        <v/>
      </c>
      <c r="IB2" s="55">
        <f>SUMIFS(Accounts!$AD:$AD,Accounts!$B:$B,"none",Accounts!$AS:$AS, "Consulting and Professional Services")+SUMIFS(Accounts!$AM:$AM,Accounts!$B:$B,"none",Accounts!$AS:$AS, "Consulting and Professional Services")+SUMIFS(Accounts!$AN:$AN,Accounts!$B:$B,"none",Accounts!$AS:$AS, "Consulting and Professional Services")</f>
        <v/>
      </c>
      <c r="IC2" s="39">
        <f>SUMIFS(Accounts!$AE:$AE,Accounts!$B:$B,"none",Accounts!$AS:$AS, "Consulting and Professional Services") + SUMIFS(Accounts!$AP:$AP,Accounts!$B:$B,"none",Accounts!$AS:$AS, "Consulting and Professional Services")</f>
        <v/>
      </c>
      <c r="ID2" s="55">
        <f>SUMIFS(Accounts!$Z:$Z,Accounts!$B:$B,"none",Accounts!$AS:$AS, "Consulting and Professional Services")</f>
        <v/>
      </c>
      <c r="IE2" s="39">
        <f>SUMIFS(Accounts!$AG:$AG,Accounts!$B:$B,"none",Accounts!$AS:$AS, "Consulting and Professional Services") + SUMIFS(Accounts!$AL:$AL,Accounts!$B:$B,"none",Accounts!$AS:$AS, "Consulting and Professional Services")</f>
        <v/>
      </c>
      <c r="IF2" s="55">
        <f>SUMIFS(Accounts!$AQ:$AQ,Accounts!$B:$B,"none",Accounts!$AS:$AS, "Consulting and Professional Services")</f>
        <v/>
      </c>
      <c r="IG2" s="34">
        <f>((IG8+IG11)/((IG7*$C$2)+(0.5*IG10*$C$2)))*$C$2</f>
        <v/>
      </c>
      <c r="IH2" s="39">
        <f>COUNTIFS(Accounts!$AS:$AS, "Retail",Accounts!$B:$B,"none")</f>
        <v/>
      </c>
      <c r="II2" s="33">
        <f>COUNTIFS(Accounts!$AS:$AS, "Retail",Accounts!$B:$B,"Customer")</f>
        <v/>
      </c>
      <c r="IJ2" s="76">
        <f>SUMIFS(Accounts!$I:$I,Accounts!$AS:$AS, "Retail")</f>
        <v/>
      </c>
      <c r="IK2" s="76">
        <f>SUMIFS(Accounts!$N:$N,Accounts!$AS:$AS, "Retail")</f>
        <v/>
      </c>
      <c r="IL2" s="76">
        <f>IJ2/(II2+IG10)</f>
        <v/>
      </c>
      <c r="IM2" s="76">
        <f>(IJ2+IK2)/(II2+IG10)</f>
        <v/>
      </c>
      <c r="IN2" s="76">
        <f>IG6*IL2</f>
        <v/>
      </c>
      <c r="IO2" s="76">
        <f>IFERROR(AVERAGEIFS(Accounts!$AY:$AY,Accounts!$AS:$AS, "Retail",Accounts!$B:$B,"Customer",Accounts!$AY:$AY,"&gt;0"),0)</f>
        <v/>
      </c>
      <c r="IP2" s="33">
        <f>IFERROR(AVERAGEIFS(Accounts!$AX:$AX,Accounts!$AS:$AS, "Retail",Accounts!$B:$B,"Customer",Accounts!$AX:$AX,"&gt;0"),0)</f>
        <v/>
      </c>
      <c r="IQ2" s="76">
        <f>IFERROR(AVERAGEIFS(Accounts!$AY:$AY,Accounts!$AS:$AS, "Retail",Accounts!$B:$B,"none",Accounts!$AY:$AY,"&gt;0"),0)</f>
        <v/>
      </c>
      <c r="IR2" s="33">
        <f>IFERROR(AVERAGEIFS(Accounts!$AX:$AX,Accounts!$AS:$AS, "Retail",Accounts!$B:$B,"none",Accounts!$AX:$AX,"&gt;0"),0)</f>
        <v/>
      </c>
      <c r="IS2" s="55">
        <f>SUMIFS(Accounts!$AA:$AA,Accounts!$B:$B,"Customer",Accounts!$AS:$AS, "Retail") + SUMIFS(Accounts!$AH:$AH,Accounts!$B:$B,"Customer",Accounts!$AS:$AS, "Retail") + SUMIFS(Accounts!$AJ:$AJ,Accounts!$B:$B,"Customer",Accounts!$AS:$AS, "Retail") + SUMIFS(Accounts!$AI:$AI,Accounts!$B:$B,"Customer",Accounts!$AS:$AS, "Retail") + SUMIFS(Accounts!$AO:$AO,Accounts!$B:$B,"Customer",Accounts!$AS:$AS, "Retail")</f>
        <v/>
      </c>
      <c r="IT2" s="55">
        <f>(SUMIFS(Accounts!$AC:$AC,Accounts!$B:$B,"Customer",Accounts!$AS:$AS, "Retail")+SUMIFS(Accounts!$AF:$AF,Accounts!$B:$B,"Customer",Accounts!$AS:$AS, "Retail")+SUMIFS(Accounts!$AK:$AK,Accounts!$B:$B,"Customer",Accounts!$AS:$AS, "Retail"))</f>
        <v/>
      </c>
      <c r="IU2" s="55">
        <f>SUMIFS(Accounts!$AB:$AB,Accounts!$B:$B,"Customer",Accounts!$AS:$AS, "Retail")</f>
        <v/>
      </c>
      <c r="IV2" s="55">
        <f>SUMIFS(Accounts!$AD:$AD,Accounts!$B:$B,"Customer",Accounts!$AS:$AS, "Retail")+SUMIFS(Accounts!$AM:$AM,Accounts!$B:$B,"Customer",Accounts!$AS:$AS, "Retail")+SUMIFS(Accounts!$AN:$AN,Accounts!$B:$B,"Customer",Accounts!$AS:$AS, "Retail")</f>
        <v/>
      </c>
      <c r="IW2" s="55">
        <f>SUMIFS(Accounts!$AE:$AE,Accounts!$B:$B,"Customer",Accounts!$AS:$AS, "Retail") + SUMIFS(Accounts!$AP:$AP,Accounts!$B:$B,"Customer",Accounts!$AS:$AS, "Retail")</f>
        <v/>
      </c>
      <c r="IX2" s="55">
        <f>SUMIFS(Accounts!$Z:$Z,Accounts!$B:$B,"Customer",Accounts!$AS:$AS, "Retail")</f>
        <v/>
      </c>
      <c r="IY2" s="55">
        <f>SUMIFS(Accounts!$AG:$AG,Accounts!$B:$B,"Customer",Accounts!$AS:$AS, "Retail") + SUMIFS(Accounts!$AL:$AL,Accounts!$B:$B,"Customer",Accounts!$AS:$AS, "Retail")</f>
        <v/>
      </c>
      <c r="IZ2" s="55">
        <f>SUMIFS(Accounts!$AQ:$AQ,Accounts!$B:$B,"Customer",Accounts!$AS:$AS, "Retail")</f>
        <v/>
      </c>
      <c r="JA2" s="55">
        <f>SUMIFS(Accounts!$AA:$AA,Accounts!$B:$B,"none",Accounts!$AS:$AS, "Retail") + SUMIFS(Accounts!$AH:$AH,Accounts!$B:$B,"none",Accounts!$AS:$AS, "Retail") + SUMIFS(Accounts!$AJ:$AJ,Accounts!$B:$B,"none",Accounts!$AS:$AS, "Retail") + SUMIFS(Accounts!$AI:$AI,Accounts!$B:$B,"none",Accounts!$AS:$AS, "Retail") + SUMIFS(Accounts!$AO:$AO,Accounts!$B:$B,"none",Accounts!$AS:$AS, "Retail")</f>
        <v/>
      </c>
      <c r="JB2" s="55">
        <f>(SUMIFS(Accounts!$AC:$AC,Accounts!$B:$B,"none",Accounts!$AS:$AS, "Retail")+SUMIFS(Accounts!$AF:$AF,Accounts!$B:$B,"none",Accounts!$AS:$AS, "Retail")+SUMIFS(Accounts!$AK:$AK,Accounts!$B:$B,"none",Accounts!$AS:$AS, "Retail"))</f>
        <v/>
      </c>
      <c r="JC2" s="55">
        <f>SUMIFS(Accounts!$AB:$AB,Accounts!$B:$B,"none",Accounts!$AS:$AS, "Retail")</f>
        <v/>
      </c>
      <c r="JD2" s="55">
        <f>SUMIFS(Accounts!$AD:$AD,Accounts!$B:$B,"none",Accounts!$AS:$AS, "Retail")+SUMIFS(Accounts!$AM:$AM,Accounts!$B:$B,"none",Accounts!$AS:$AS, "Retail")+SUMIFS(Accounts!$AN:$AN,Accounts!$B:$B,"none",Accounts!$AS:$AS, "Retail")</f>
        <v/>
      </c>
      <c r="JE2" s="39">
        <f>SUMIFS(Accounts!$AE:$AE,Accounts!$B:$B,"none",Accounts!$AS:$AS, "Retail") + SUMIFS(Accounts!$AP:$AP,Accounts!$B:$B,"none",Accounts!$AS:$AS, "Retail")</f>
        <v/>
      </c>
      <c r="JF2" s="55">
        <f>SUMIFS(Accounts!$Z:$Z,Accounts!$B:$B,"none",Accounts!$AS:$AS, "Retail")</f>
        <v/>
      </c>
      <c r="JG2" s="39">
        <f>SUMIFS(Accounts!$AG:$AG,Accounts!$B:$B,"none",Accounts!$AS:$AS, "Retail") + SUMIFS(Accounts!$AL:$AL,Accounts!$B:$B,"none",Accounts!$AS:$AS, "Retail")</f>
        <v/>
      </c>
      <c r="JH2" s="55">
        <f>SUMIFS(Accounts!$AQ:$AQ,Accounts!$B:$B,"none",Accounts!$AS:$AS, "Retail")</f>
        <v/>
      </c>
      <c r="JI2" s="34">
        <f>((JI8+JI11)/((JI7*$C$2)+(0.5*JI10*$C$2)))*$C$2</f>
        <v/>
      </c>
      <c r="JJ2" s="39">
        <f>COUNTIFS(Accounts!$AS:$AS, "Non-profit, govt or religious organization",Accounts!$B:$B,"none")</f>
        <v/>
      </c>
      <c r="JK2" s="33">
        <f>COUNTIFS(Accounts!$AS:$AS, "Non-profit, govt or religious organization",Accounts!$B:$B,"Customer")</f>
        <v/>
      </c>
      <c r="JL2" s="76">
        <f>SUMIFS(Accounts!$I:$I,Accounts!$AS:$AS, "Non-profit, govt or religious organization")</f>
        <v/>
      </c>
      <c r="JM2" s="76">
        <f>SUMIFS(Accounts!$N:$N,Accounts!$AS:$AS, "Non-profit, govt or religious organization")</f>
        <v/>
      </c>
      <c r="JN2" s="76">
        <f>JL2/(JK2+JI10)</f>
        <v/>
      </c>
      <c r="JO2" s="76">
        <f>(JL2+JM2)/(JK2+JI10)</f>
        <v/>
      </c>
      <c r="JP2" s="76">
        <f>JI6*JN2</f>
        <v/>
      </c>
      <c r="JQ2" s="76">
        <f>IFERROR(AVERAGEIFS(Accounts!$AY:$AY,Accounts!$AS:$AS, "Non-profit, govt or religious organization",Accounts!$B:$B,"Customer",Accounts!$AY:$AY,"&gt;0"),0)</f>
        <v/>
      </c>
      <c r="JR2" s="33">
        <f>IFERROR(AVERAGEIFS(Accounts!$AX:$AX,Accounts!$AS:$AS, "Non-profit, govt or religious organization",Accounts!$B:$B,"Customer",Accounts!$AX:$AX,"&gt;0"),0)</f>
        <v/>
      </c>
      <c r="JS2" s="76">
        <f>IFERROR(AVERAGEIFS(Accounts!$AY:$AY,Accounts!$AS:$AS, "Non-profit, govt or religious organization",Accounts!$B:$B,"none",Accounts!$AY:$AY,"&gt;0"),0)</f>
        <v/>
      </c>
      <c r="JT2" s="33">
        <f>IFERROR(AVERAGEIFS(Accounts!$AX:$AX,Accounts!$AS:$AS, "Non-profit, govt or religious organization",Accounts!$B:$B,"none",Accounts!$AX:$AX,"&gt;0"),0)</f>
        <v/>
      </c>
      <c r="JU2" s="55">
        <f>SUMIFS(Accounts!$AA:$AA,Accounts!$B:$B,"Customer",Accounts!$AS:$AS, "Non-profit, govt or religious organization") + SUMIFS(Accounts!$AH:$AH,Accounts!$B:$B,"Customer",Accounts!$AS:$AS, "Non-profit, govt or religious organization") + SUMIFS(Accounts!$AJ:$AJ,Accounts!$B:$B,"Customer",Accounts!$AS:$AS, "Non-profit, govt or religious organization") + SUMIFS(Accounts!$AI:$AI,Accounts!$B:$B,"Customer",Accounts!$AS:$AS, "Non-profit, govt or religious organization") + SUMIFS(Accounts!$AO:$AO,Accounts!$B:$B,"Customer",Accounts!$AS:$AS, "Non-profit, govt or religious organization")</f>
        <v/>
      </c>
      <c r="JV2" s="55">
        <f>(SUMIFS(Accounts!$AC:$AC,Accounts!$B:$B,"Customer",Accounts!$AS:$AS, "Non-profit, govt or religious organization")+SUMIFS(Accounts!$AF:$AF,Accounts!$B:$B,"Customer",Accounts!$AS:$AS, "Non-profit, govt or religious organization")+SUMIFS(Accounts!$AK:$AK,Accounts!$B:$B,"Customer",Accounts!$AS:$AS, "Non-profit, govt or religious organization"))</f>
        <v/>
      </c>
      <c r="JW2" s="55">
        <f>SUMIFS(Accounts!$AB:$AB,Accounts!$B:$B,"Customer",Accounts!$AS:$AS, "Non-profit, govt or religious organization")</f>
        <v/>
      </c>
      <c r="JX2" s="55">
        <f>SUMIFS(Accounts!$AD:$AD,Accounts!$B:$B,"Customer",Accounts!$AS:$AS, "Non-profit, govt or religious organization")+SUMIFS(Accounts!$AM:$AM,Accounts!$B:$B,"Customer",Accounts!$AS:$AS, "Non-profit, govt or religious organization")+SUMIFS(Accounts!$AN:$AN,Accounts!$B:$B,"Customer",Accounts!$AS:$AS, "Non-profit, govt or religious organization")</f>
        <v/>
      </c>
      <c r="JY2" s="55">
        <f>SUMIFS(Accounts!$AE:$AE,Accounts!$B:$B,"Customer",Accounts!$AS:$AS, "Non-profit, govt or religious organization") + SUMIFS(Accounts!$AP:$AP,Accounts!$B:$B,"Customer",Accounts!$AS:$AS, "Non-profit, govt or religious organization")</f>
        <v/>
      </c>
      <c r="JZ2" s="55">
        <f>SUMIFS(Accounts!$Z:$Z,Accounts!$B:$B,"Customer",Accounts!$AS:$AS, "Non-profit, govt or religious organization")</f>
        <v/>
      </c>
      <c r="KA2" s="55">
        <f>SUMIFS(Accounts!$AG:$AG,Accounts!$B:$B,"Customer",Accounts!$AS:$AS, "Non-profit, govt or religious organization") + SUMIFS(Accounts!$AL:$AL,Accounts!$B:$B,"Customer",Accounts!$AS:$AS, "Non-profit, govt or religious organization")</f>
        <v/>
      </c>
      <c r="KB2" s="55">
        <f>SUMIFS(Accounts!$AQ:$AQ,Accounts!$B:$B,"Customer",Accounts!$AS:$AS, "Non-profit, govt or religious organization")</f>
        <v/>
      </c>
      <c r="KC2" s="55">
        <f>SUMIFS(Accounts!$AA:$AA,Accounts!$B:$B,"none",Accounts!$AS:$AS, "Non-profit, govt or religious organization") + SUMIFS(Accounts!$AH:$AH,Accounts!$B:$B,"none",Accounts!$AS:$AS, "Non-profit, govt or religious organization") + SUMIFS(Accounts!$AJ:$AJ,Accounts!$B:$B,"none",Accounts!$AS:$AS, "Non-profit, govt or religious organization") + SUMIFS(Accounts!$AI:$AI,Accounts!$B:$B,"none",Accounts!$AS:$AS, "Non-profit, govt or religious organization") + SUMIFS(Accounts!$AO:$AO,Accounts!$B:$B,"none",Accounts!$AS:$AS, "Non-profit, govt or religious organization")</f>
        <v/>
      </c>
      <c r="KD2" s="55">
        <f>(SUMIFS(Accounts!$AC:$AC,Accounts!$B:$B,"none",Accounts!$AS:$AS, "Non-profit, govt or religious organization")+SUMIFS(Accounts!$AF:$AF,Accounts!$B:$B,"none",Accounts!$AS:$AS, "Non-profit, govt or religious organization")+SUMIFS(Accounts!$AK:$AK,Accounts!$B:$B,"none",Accounts!$AS:$AS, "Non-profit, govt or religious organization"))</f>
        <v/>
      </c>
      <c r="KE2" s="55">
        <f>SUMIFS(Accounts!$AB:$AB,Accounts!$B:$B,"none",Accounts!$AS:$AS, "Non-profit, govt or religious organization")</f>
        <v/>
      </c>
      <c r="KF2" s="55">
        <f>SUMIFS(Accounts!$AD:$AD,Accounts!$B:$B,"none",Accounts!$AS:$AS, "Non-profit, govt or religious organization")+SUMIFS(Accounts!$AM:$AM,Accounts!$B:$B,"none",Accounts!$AS:$AS, "Non-profit, govt or religious organization")+SUMIFS(Accounts!$AN:$AN,Accounts!$B:$B,"none",Accounts!$AS:$AS, "Non-profit, govt or religious organization")</f>
        <v/>
      </c>
      <c r="KG2" s="39">
        <f>SUMIFS(Accounts!$AE:$AE,Accounts!$B:$B,"none",Accounts!$AS:$AS, "Non-profit, govt or religious organization") + SUMIFS(Accounts!$AP:$AP,Accounts!$B:$B,"none",Accounts!$AS:$AS, "Non-profit, govt or religious organization")</f>
        <v/>
      </c>
      <c r="KH2" s="55">
        <f>SUMIFS(Accounts!$Z:$Z,Accounts!$B:$B,"none",Accounts!$AS:$AS, "Non-profit, govt or religious organization")</f>
        <v/>
      </c>
      <c r="KI2" s="39">
        <f>SUMIFS(Accounts!$AG:$AG,Accounts!$B:$B,"none",Accounts!$AS:$AS, "Non-profit, govt or religious organization") + SUMIFS(Accounts!$AL:$AL,Accounts!$B:$B,"none",Accounts!$AS:$AS, "Non-profit, govt or religious organization")</f>
        <v/>
      </c>
      <c r="KJ2" s="55">
        <f>SUMIFS(Accounts!$AQ:$AQ,Accounts!$B:$B,"none",Accounts!$AS:$AS, "Non-profit, govt or religious organization")</f>
        <v/>
      </c>
      <c r="KK2" s="34">
        <f>((KK8+KK11)/((KK7*$C$2)+(0.5*KK10*$C$2)))*$C$2</f>
        <v/>
      </c>
      <c r="KL2" s="39">
        <f>COUNTIFS(Accounts!$AS:$AS, "Communications, Entertainment and Media",Accounts!$B:$B,"none")</f>
        <v/>
      </c>
      <c r="KM2" s="33">
        <f>COUNTIFS(Accounts!$AS:$AS, "Communications, Entertainment and Media",Accounts!$B:$B,"Customer")</f>
        <v/>
      </c>
      <c r="KN2" s="76">
        <f>SUMIFS(Accounts!$I:$I,Accounts!$AS:$AS, "Communications, Entertainment and Media")</f>
        <v/>
      </c>
      <c r="KO2" s="76">
        <f>SUMIFS(Accounts!$N:$N,Accounts!$AS:$AS, "Communications, Entertainment and Media")</f>
        <v/>
      </c>
      <c r="KP2" s="76">
        <f>KN2/(KM2+KK10)</f>
        <v/>
      </c>
      <c r="KQ2" s="76">
        <f>(KN2+KO2)/(KM2+KK10)</f>
        <v/>
      </c>
      <c r="KR2" s="76">
        <f>KK6*KP2</f>
        <v/>
      </c>
      <c r="KS2" s="76">
        <f>IFERROR(AVERAGEIFS(Accounts!$AY:$AY,Accounts!$AS:$AS, "Communications, Entertainment and Media",Accounts!$B:$B,"Customer",Accounts!$AY:$AY,"&gt;0"),0)</f>
        <v/>
      </c>
      <c r="KT2" s="33">
        <f>IFERROR(AVERAGEIFS(Accounts!$AX:$AX,Accounts!$AS:$AS, "Communications, Entertainment and Media",Accounts!$B:$B,"Customer",Accounts!$AX:$AX,"&gt;0"),0)</f>
        <v/>
      </c>
      <c r="KU2" s="76">
        <f>IFERROR(AVERAGEIFS(Accounts!$AY:$AY,Accounts!$AS:$AS, "Communications, Entertainment and Media",Accounts!$B:$B,"none",Accounts!$AY:$AY,"&gt;0"),0)</f>
        <v/>
      </c>
      <c r="KV2" s="33">
        <f>IFERROR(AVERAGEIFS(Accounts!$AX:$AX,Accounts!$AS:$AS, "Communications, Entertainment and Media",Accounts!$B:$B,"none",Accounts!$AX:$AX,"&gt;0"),0)</f>
        <v/>
      </c>
      <c r="KW2" s="55">
        <f>SUMIFS(Accounts!$AA:$AA,Accounts!$B:$B,"Customer",Accounts!$AS:$AS, "Communications, Entertainment and Media") + SUMIFS(Accounts!$AH:$AH,Accounts!$B:$B,"Customer",Accounts!$AS:$AS, "Communications, Entertainment and Media") + SUMIFS(Accounts!$AJ:$AJ,Accounts!$B:$B,"Customer",Accounts!$AS:$AS, "Communications, Entertainment and Media") + SUMIFS(Accounts!$AI:$AI,Accounts!$B:$B,"Customer",Accounts!$AS:$AS, "Communications, Entertainment and Media") + SUMIFS(Accounts!$AO:$AO,Accounts!$B:$B,"Customer",Accounts!$AS:$AS, "Communications, Entertainment and Media")</f>
        <v/>
      </c>
      <c r="KX2" s="55">
        <f>(SUMIFS(Accounts!$AC:$AC,Accounts!$B:$B,"Customer",Accounts!$AS:$AS, "Communications, Entertainment and Media")+SUMIFS(Accounts!$AF:$AF,Accounts!$B:$B,"Customer",Accounts!$AS:$AS, "Communications, Entertainment and Media")+SUMIFS(Accounts!$AK:$AK,Accounts!$B:$B,"Customer",Accounts!$AS:$AS, "Communications, Entertainment and Media"))</f>
        <v/>
      </c>
      <c r="KY2" s="55">
        <f>SUMIFS(Accounts!$AB:$AB,Accounts!$B:$B,"Customer",Accounts!$AS:$AS, "Communications, Entertainment and Media")</f>
        <v/>
      </c>
      <c r="KZ2" s="55">
        <f>SUMIFS(Accounts!$AD:$AD,Accounts!$B:$B,"Customer",Accounts!$AS:$AS, "Communications, Entertainment and Media")+SUMIFS(Accounts!$AM:$AM,Accounts!$B:$B,"Customer",Accounts!$AS:$AS, "Communications, Entertainment and Media")+SUMIFS(Accounts!$AN:$AN,Accounts!$B:$B,"Customer",Accounts!$AS:$AS, "Communications, Entertainment and Media")</f>
        <v/>
      </c>
      <c r="LA2" s="55">
        <f>SUMIFS(Accounts!$AE:$AE,Accounts!$B:$B,"Customer",Accounts!$AS:$AS, "Communications, Entertainment and Media") + SUMIFS(Accounts!$AP:$AP,Accounts!$B:$B,"Customer",Accounts!$AS:$AS, "Communications, Entertainment and Media")</f>
        <v/>
      </c>
      <c r="LB2" s="55">
        <f>SUMIFS(Accounts!$Z:$Z,Accounts!$B:$B,"Customer",Accounts!$AS:$AS, "Communications, Entertainment and Media")</f>
        <v/>
      </c>
      <c r="LC2" s="55">
        <f>SUMIFS(Accounts!$AG:$AG,Accounts!$B:$B,"Customer",Accounts!$AS:$AS, "Communications, Entertainment and Media") + SUMIFS(Accounts!$AL:$AL,Accounts!$B:$B,"Customer",Accounts!$AS:$AS, "Communications, Entertainment and Media")</f>
        <v/>
      </c>
      <c r="LD2" s="55">
        <f>SUMIFS(Accounts!$AQ:$AQ,Accounts!$B:$B,"Customer",Accounts!$AS:$AS, "Communications, Entertainment and Media")</f>
        <v/>
      </c>
      <c r="LE2" s="55">
        <f>SUMIFS(Accounts!$AA:$AA,Accounts!$B:$B,"none",Accounts!$AS:$AS, "Communications, Entertainment and Media") + SUMIFS(Accounts!$AH:$AH,Accounts!$B:$B,"none",Accounts!$AS:$AS, "Communications, Entertainment and Media") + SUMIFS(Accounts!$AJ:$AJ,Accounts!$B:$B,"none",Accounts!$AS:$AS, "Communications, Entertainment and Media") + SUMIFS(Accounts!$AI:$AI,Accounts!$B:$B,"none",Accounts!$AS:$AS, "Communications, Entertainment and Media") + SUMIFS(Accounts!$AO:$AO,Accounts!$B:$B,"none",Accounts!$AS:$AS, "Communications, Entertainment and Media")</f>
        <v/>
      </c>
      <c r="LF2" s="55">
        <f>(SUMIFS(Accounts!$AC:$AC,Accounts!$B:$B,"none",Accounts!$AS:$AS, "Communications, Entertainment and Media")+SUMIFS(Accounts!$AF:$AF,Accounts!$B:$B,"none",Accounts!$AS:$AS, "Communications, Entertainment and Media")+SUMIFS(Accounts!$AK:$AK,Accounts!$B:$B,"none",Accounts!$AS:$AS, "Communications, Entertainment and Media"))</f>
        <v/>
      </c>
      <c r="LG2" s="55">
        <f>SUMIFS(Accounts!$AB:$AB,Accounts!$B:$B,"none",Accounts!$AS:$AS, "Communications, Entertainment and Media")</f>
        <v/>
      </c>
      <c r="LH2" s="55">
        <f>SUMIFS(Accounts!$AD:$AD,Accounts!$B:$B,"none",Accounts!$AS:$AS, "Communications, Entertainment and Media")+SUMIFS(Accounts!$AM:$AM,Accounts!$B:$B,"none",Accounts!$AS:$AS, "Communications, Entertainment and Media")+SUMIFS(Accounts!$AN:$AN,Accounts!$B:$B,"none",Accounts!$AS:$AS, "Communications, Entertainment and Media")</f>
        <v/>
      </c>
      <c r="LI2" s="39">
        <f>SUMIFS(Accounts!$AE:$AE,Accounts!$B:$B,"none",Accounts!$AS:$AS, "Communications, Entertainment and Media") + SUMIFS(Accounts!$AP:$AP,Accounts!$B:$B,"none",Accounts!$AS:$AS, "Communications, Entertainment and Media")</f>
        <v/>
      </c>
      <c r="LJ2" s="55">
        <f>SUMIFS(Accounts!$Z:$Z,Accounts!$B:$B,"none",Accounts!$AS:$AS, "Communications, Entertainment and Media")</f>
        <v/>
      </c>
      <c r="LK2" s="39">
        <f>SUMIFS(Accounts!$AG:$AG,Accounts!$B:$B,"none",Accounts!$AS:$AS, "Communications, Entertainment and Media") + SUMIFS(Accounts!$AL:$AL,Accounts!$B:$B,"none",Accounts!$AS:$AS, "Communications, Entertainment and Media")</f>
        <v/>
      </c>
      <c r="LL2" s="55">
        <f>SUMIFS(Accounts!$AQ:$AQ,Accounts!$B:$B,"none",Accounts!$AS:$AS, "Communications, Entertainment and Media")</f>
        <v/>
      </c>
      <c r="LM2" s="34">
        <f>((LM8+LM11)/((LM7*$C$2)+(0.5*LM10*$C$2)))*$C$2</f>
        <v/>
      </c>
      <c r="LN2" s="39">
        <f>COUNTIFS(Accounts!$AS:$AS, "IT and computer related",Accounts!$B:$B,"none")</f>
        <v/>
      </c>
      <c r="LO2" s="33">
        <f>COUNTIFS(Accounts!$AS:$AS, "IT and computer related",Accounts!$B:$B,"Customer")</f>
        <v/>
      </c>
      <c r="LP2" s="76">
        <f>SUMIFS(Accounts!$I:$I,Accounts!$AS:$AS, "IT and computer related")</f>
        <v/>
      </c>
      <c r="LQ2" s="76">
        <f>SUMIFS(Accounts!$N:$N,Accounts!$AS:$AS, "IT and computer related")</f>
        <v/>
      </c>
      <c r="LR2" s="76">
        <f>LP2/(LO2+LM10)</f>
        <v/>
      </c>
      <c r="LS2" s="76">
        <f>(LP2+LQ2)/(LO2+LM10)</f>
        <v/>
      </c>
      <c r="LT2" s="76">
        <f>LM6*LR2</f>
        <v/>
      </c>
      <c r="LU2" s="76">
        <f>IFERROR(AVERAGEIFS(Accounts!$AY:$AY,Accounts!$AS:$AS, "IT and computer related",Accounts!$B:$B,"Customer",Accounts!$AY:$AY,"&gt;0"),0)</f>
        <v/>
      </c>
      <c r="LV2" s="33">
        <f>IFERROR(AVERAGEIFS(Accounts!$AX:$AX,Accounts!$AS:$AS, "IT and computer related",Accounts!$B:$B,"Customer",Accounts!$AX:$AX,"&gt;0"),0)</f>
        <v/>
      </c>
      <c r="LW2" s="76">
        <f>IFERROR(AVERAGEIFS(Accounts!$AY:$AY,Accounts!$AS:$AS, "IT and computer related",Accounts!$B:$B,"none",Accounts!$AY:$AY,"&gt;0"),0)</f>
        <v/>
      </c>
      <c r="LX2" s="33">
        <f>IFERROR(AVERAGEIFS(Accounts!$AX:$AX,Accounts!$AS:$AS, "IT and computer related",Accounts!$B:$B,"none",Accounts!$AX:$AX,"&gt;0"),0)</f>
        <v/>
      </c>
      <c r="LY2" s="55">
        <f>SUMIFS(Accounts!$AA:$AA,Accounts!$B:$B,"Customer",Accounts!$AS:$AS, "IT and computer related") + SUMIFS(Accounts!$AH:$AH,Accounts!$B:$B,"Customer",Accounts!$AS:$AS, "IT and computer related") + SUMIFS(Accounts!$AJ:$AJ,Accounts!$B:$B,"Customer",Accounts!$AS:$AS, "IT and computer related") + SUMIFS(Accounts!$AI:$AI,Accounts!$B:$B,"Customer",Accounts!$AS:$AS, "IT and computer related") + SUMIFS(Accounts!$AO:$AO,Accounts!$B:$B,"Customer",Accounts!$AS:$AS, "IT and computer related")</f>
        <v/>
      </c>
      <c r="LZ2" s="55">
        <f>(SUMIFS(Accounts!$AC:$AC,Accounts!$B:$B,"Customer",Accounts!$AS:$AS, "IT and computer related")+SUMIFS(Accounts!$AF:$AF,Accounts!$B:$B,"Customer",Accounts!$AS:$AS, "IT and computer related")+SUMIFS(Accounts!$AK:$AK,Accounts!$B:$B,"Customer",Accounts!$AS:$AS, "IT and computer related"))</f>
        <v/>
      </c>
      <c r="MA2" s="55">
        <f>SUMIFS(Accounts!$AB:$AB,Accounts!$B:$B,"Customer",Accounts!$AS:$AS, "IT and computer related")</f>
        <v/>
      </c>
      <c r="MB2" s="55">
        <f>SUMIFS(Accounts!$AD:$AD,Accounts!$B:$B,"Customer",Accounts!$AS:$AS, "IT and computer related")+SUMIFS(Accounts!$AM:$AM,Accounts!$B:$B,"Customer",Accounts!$AS:$AS, "IT and computer related")+SUMIFS(Accounts!$AN:$AN,Accounts!$B:$B,"Customer",Accounts!$AS:$AS, "IT and computer related")</f>
        <v/>
      </c>
      <c r="MC2" s="55">
        <f>SUMIFS(Accounts!$AE:$AE,Accounts!$B:$B,"Customer",Accounts!$AS:$AS, "IT and computer related") + SUMIFS(Accounts!$AP:$AP,Accounts!$B:$B,"Customer",Accounts!$AS:$AS, "IT and computer related")</f>
        <v/>
      </c>
      <c r="MD2" s="55">
        <f>SUMIFS(Accounts!$Z:$Z,Accounts!$B:$B,"Customer",Accounts!$AS:$AS, "IT and computer related")</f>
        <v/>
      </c>
      <c r="ME2" s="55">
        <f>SUMIFS(Accounts!$AG:$AG,Accounts!$B:$B,"Customer",Accounts!$AS:$AS, "IT and computer related") + SUMIFS(Accounts!$AL:$AL,Accounts!$B:$B,"Customer",Accounts!$AS:$AS, "IT and computer related")</f>
        <v/>
      </c>
      <c r="MF2" s="55">
        <f>SUMIFS(Accounts!$AQ:$AQ,Accounts!$B:$B,"Customer",Accounts!$AS:$AS, "IT and computer related")</f>
        <v/>
      </c>
      <c r="MG2" s="55">
        <f>SUMIFS(Accounts!$AA:$AA,Accounts!$B:$B,"none",Accounts!$AS:$AS, "IT and computer related") + SUMIFS(Accounts!$AH:$AH,Accounts!$B:$B,"none",Accounts!$AS:$AS, "IT and computer related") + SUMIFS(Accounts!$AJ:$AJ,Accounts!$B:$B,"none",Accounts!$AS:$AS, "IT and computer related") + SUMIFS(Accounts!$AI:$AI,Accounts!$B:$B,"none",Accounts!$AS:$AS, "IT and computer related") + SUMIFS(Accounts!$AO:$AO,Accounts!$B:$B,"none",Accounts!$AS:$AS, "IT and computer related")</f>
        <v/>
      </c>
      <c r="MH2" s="55">
        <f>(SUMIFS(Accounts!$AC:$AC,Accounts!$B:$B,"none",Accounts!$AS:$AS, "IT and computer related")+SUMIFS(Accounts!$AF:$AF,Accounts!$B:$B,"none",Accounts!$AS:$AS, "IT and computer related")+SUMIFS(Accounts!$AK:$AK,Accounts!$B:$B,"none",Accounts!$AS:$AS, "IT and computer related"))</f>
        <v/>
      </c>
      <c r="MI2" s="55">
        <f>SUMIFS(Accounts!$AB:$AB,Accounts!$B:$B,"none",Accounts!$AS:$AS, "IT and computer related")</f>
        <v/>
      </c>
      <c r="MJ2" s="55">
        <f>SUMIFS(Accounts!$AD:$AD,Accounts!$B:$B,"none",Accounts!$AS:$AS, "IT and computer related")+SUMIFS(Accounts!$AM:$AM,Accounts!$B:$B,"none",Accounts!$AS:$AS, "IT and computer related")+SUMIFS(Accounts!$AN:$AN,Accounts!$B:$B,"none",Accounts!$AS:$AS, "IT and computer related")</f>
        <v/>
      </c>
      <c r="MK2" s="39">
        <f>SUMIFS(Accounts!$AE:$AE,Accounts!$B:$B,"none",Accounts!$AS:$AS, "IT and computer related") + SUMIFS(Accounts!$AP:$AP,Accounts!$B:$B,"none",Accounts!$AS:$AS, "IT and computer related")</f>
        <v/>
      </c>
      <c r="ML2" s="55">
        <f>SUMIFS(Accounts!$Z:$Z,Accounts!$B:$B,"none",Accounts!$AS:$AS, "IT and computer related")</f>
        <v/>
      </c>
      <c r="MM2" s="39">
        <f>SUMIFS(Accounts!$AG:$AG,Accounts!$B:$B,"none",Accounts!$AS:$AS, "IT and computer related") + SUMIFS(Accounts!$AL:$AL,Accounts!$B:$B,"none",Accounts!$AS:$AS, "IT and computer related")</f>
        <v/>
      </c>
      <c r="MN2" s="55">
        <f>SUMIFS(Accounts!$AQ:$AQ,Accounts!$B:$B,"none",Accounts!$AS:$AS, "IT and computer related")</f>
        <v/>
      </c>
      <c r="MO2" s="34">
        <f>((MO8+MO11)/((MO7*$C$2)+(0.5*MO10*$C$2)))*$C$2</f>
        <v/>
      </c>
      <c r="MP2" s="39">
        <f>COUNTIFS(Accounts!$AS:$AS, {"General service based","General"},Accounts!$B:$B,"none")</f>
        <v/>
      </c>
      <c r="MQ2" s="33">
        <f>COUNTIFS(Accounts!$AS:$AS, {"General service based","General"},Accounts!$B:$B,"Customer")</f>
        <v/>
      </c>
      <c r="MR2" s="76">
        <f>SUMIFS(Accounts!$I:$I,Accounts!$AS:$AS, {"General service based","General"})</f>
        <v/>
      </c>
      <c r="MS2" s="76">
        <f>SUMIFS(Accounts!$N:$N,Accounts!$AS:$AS, {"General service based","General"})</f>
        <v/>
      </c>
      <c r="MT2" s="76">
        <f>MR2/(MQ2+MO10)</f>
        <v/>
      </c>
      <c r="MU2" s="76">
        <f>(MR2+MS2)/(MQ2+MO10)</f>
        <v/>
      </c>
      <c r="MV2" s="76">
        <f>MO6*MT2</f>
        <v/>
      </c>
      <c r="MW2" s="76">
        <f>IFERROR(AVERAGEIFS(Accounts!$AY:$AY,Accounts!$AS:$AS, {"General service based","General"},Accounts!$B:$B,"Customer",Accounts!$AY:$AY,"&gt;0"),0)</f>
        <v/>
      </c>
      <c r="MX2" s="33">
        <f>IFERROR(AVERAGEIFS(Accounts!$AX:$AX,Accounts!$AS:$AS, {"General service based","General"},Accounts!$B:$B,"Customer",Accounts!$AX:$AX,"&gt;0"),0)</f>
        <v/>
      </c>
      <c r="MY2" s="76">
        <f>IFERROR(AVERAGEIFS(Accounts!$AY:$AY,Accounts!$AS:$AS, {"General service based","General"},Accounts!$B:$B,"none",Accounts!$AY:$AY,"&gt;0"),0)</f>
        <v/>
      </c>
      <c r="MZ2" s="33">
        <f>IFERROR(AVERAGEIFS(Accounts!$AX:$AX,Accounts!$AS:$AS, {"General service based","General"},Accounts!$B:$B,"none",Accounts!$AX:$AX,"&gt;0"),0)</f>
        <v/>
      </c>
      <c r="NA2" s="55">
        <f>SUMIFS(Accounts!$AA:$AA,Accounts!$B:$B,"Customer",Accounts!$AS:$AS, {"General service based","General"}) + SUMIFS(Accounts!$AH:$AH,Accounts!$B:$B,"Customer",Accounts!$AS:$AS, {"General service based","General"}) + SUMIFS(Accounts!$AJ:$AJ,Accounts!$B:$B,"Customer",Accounts!$AS:$AS, {"General service based","General"}) + SUMIFS(Accounts!$AI:$AI,Accounts!$B:$B,"Customer",Accounts!$AS:$AS, {"General service based","General"}) + SUMIFS(Accounts!$AO:$AO,Accounts!$B:$B,"Customer",Accounts!$AS:$AS, {"General service based","General"})</f>
        <v/>
      </c>
      <c r="NB2" s="55">
        <f>(SUMIFS(Accounts!$AC:$AC,Accounts!$B:$B,"Customer",Accounts!$AS:$AS, {"General service based","General"})+SUMIFS(Accounts!$AF:$AF,Accounts!$B:$B,"Customer",Accounts!$AS:$AS, {"General service based","General"})+SUMIFS(Accounts!$AK:$AK,Accounts!$B:$B,"Customer",Accounts!$AS:$AS, {"General service based","General"}))</f>
        <v/>
      </c>
      <c r="NC2" s="55">
        <f>SUMIFS(Accounts!$AB:$AB,Accounts!$B:$B,"Customer",Accounts!$AS:$AS, {"General service based","General"})</f>
        <v/>
      </c>
      <c r="ND2" s="55">
        <f>SUMIFS(Accounts!$AD:$AD,Accounts!$B:$B,"Customer",Accounts!$AS:$AS, {"General service based","General"})+SUMIFS(Accounts!$AM:$AM,Accounts!$B:$B,"Customer",Accounts!$AS:$AS, {"General service based","General"})+SUMIFS(Accounts!$AN:$AN,Accounts!$B:$B,"Customer",Accounts!$AS:$AS, {"General service based","General"})</f>
        <v/>
      </c>
      <c r="NE2" s="55">
        <f>SUMIFS(Accounts!$AE:$AE,Accounts!$B:$B,"Customer",Accounts!$AS:$AS, {"General service based","General"}) + SUMIFS(Accounts!$AP:$AP,Accounts!$B:$B,"Customer",Accounts!$AS:$AS, {"General service based","General"})</f>
        <v/>
      </c>
      <c r="NF2" s="55">
        <f>SUMIFS(Accounts!$Z:$Z,Accounts!$B:$B,"Customer",Accounts!$AS:$AS, {"General service based","General"})</f>
        <v/>
      </c>
      <c r="NG2" s="55">
        <f>SUMIFS(Accounts!$AG:$AG,Accounts!$B:$B,"Customer",Accounts!$AS:$AS, {"General service based","General"}) + SUMIFS(Accounts!$AL:$AL,Accounts!$B:$B,"Customer",Accounts!$AS:$AS, {"General service based","General"})</f>
        <v/>
      </c>
      <c r="NH2" s="55">
        <f>SUMIFS(Accounts!$AQ:$AQ,Accounts!$B:$B,"Customer",Accounts!$AS:$AS, {"General service based","General"})</f>
        <v/>
      </c>
      <c r="NI2" s="55">
        <f>SUMIFS(Accounts!$AA:$AA,Accounts!$B:$B,"none",Accounts!$AS:$AS, {"General service based","General"}) + SUMIFS(Accounts!$AH:$AH,Accounts!$B:$B,"none",Accounts!$AS:$AS, {"General service based","General"}) + SUMIFS(Accounts!$AJ:$AJ,Accounts!$B:$B,"none",Accounts!$AS:$AS, {"General service based","General"}) + SUMIFS(Accounts!$AI:$AI,Accounts!$B:$B,"none",Accounts!$AS:$AS, {"General service based","General"}) + SUMIFS(Accounts!$AO:$AO,Accounts!$B:$B,"none",Accounts!$AS:$AS, {"General service based","General"})</f>
        <v/>
      </c>
      <c r="NJ2" s="55">
        <f>(SUMIFS(Accounts!$AC:$AC,Accounts!$B:$B,"none",Accounts!$AS:$AS, {"General service based","General"})+SUMIFS(Accounts!$AF:$AF,Accounts!$B:$B,"none",Accounts!$AS:$AS, {"General service based","General"})+SUMIFS(Accounts!$AK:$AK,Accounts!$B:$B,"none",Accounts!$AS:$AS, {"General service based","General"}))</f>
        <v/>
      </c>
      <c r="NK2" s="55">
        <f>SUMIFS(Accounts!$AB:$AB,Accounts!$B:$B,"none",Accounts!$AS:$AS, {"General service based","General"})</f>
        <v/>
      </c>
      <c r="NL2" s="55">
        <f>SUMIFS(Accounts!$AD:$AD,Accounts!$B:$B,"none",Accounts!$AS:$AS, {"General service based","General"})+SUMIFS(Accounts!$AM:$AM,Accounts!$B:$B,"none",Accounts!$AS:$AS, {"General service based","General"})+SUMIFS(Accounts!$AN:$AN,Accounts!$B:$B,"none",Accounts!$AS:$AS, {"General service based","General"})</f>
        <v/>
      </c>
      <c r="NM2" s="39">
        <f>SUMIFS(Accounts!$AE:$AE,Accounts!$B:$B,"none",Accounts!$AS:$AS, {"General service based","General"}) + SUMIFS(Accounts!$AP:$AP,Accounts!$B:$B,"none",Accounts!$AS:$AS, {"General service based","General"})</f>
        <v/>
      </c>
      <c r="NN2" s="55">
        <f>SUMIFS(Accounts!$Z:$Z,Accounts!$B:$B,"none",Accounts!$AS:$AS, {"General service based","General"})</f>
        <v/>
      </c>
      <c r="NO2" s="39">
        <f>SUMIFS(Accounts!$AG:$AG,Accounts!$B:$B,"none",Accounts!$AS:$AS, {"General service based","General"}) + SUMIFS(Accounts!$AL:$AL,Accounts!$B:$B,"none",Accounts!$AS:$AS, {"General service based","General"})</f>
        <v/>
      </c>
      <c r="NP2" s="55">
        <f>SUMIFS(Accounts!$AQ:$AQ,Accounts!$B:$B,"none",Accounts!$AS:$AS, {"General service based","General"})</f>
        <v/>
      </c>
      <c r="NQ2" s="34">
        <f>((NQ8+NQ11)/((NQ7*$C$2)+(0.5*NQ10*$C$2)))*$C$2</f>
        <v/>
      </c>
      <c r="NR2" s="39">
        <f>COUNTIFS(Accounts!$AS:$AS, "Other",Accounts!$B:$B,"none")</f>
        <v/>
      </c>
      <c r="NS2" s="33">
        <f>COUNTIFS(Accounts!$AS:$AS, "Other",Accounts!$B:$B,"Customer")</f>
        <v/>
      </c>
      <c r="NT2" s="76">
        <f>SUMIFS(Accounts!$I:$I,Accounts!$AS:$AS, "Other")</f>
        <v/>
      </c>
      <c r="NU2" s="76">
        <f>SUMIFS(Accounts!$N:$N,Accounts!$AS:$AS, "Other")</f>
        <v/>
      </c>
      <c r="NV2" s="76">
        <f>NT2/(NS2+NQ10)</f>
        <v/>
      </c>
      <c r="NW2" s="76">
        <f>(NT2+NU2)/(NS2+NQ10)</f>
        <v/>
      </c>
      <c r="NX2" s="76">
        <f>NQ6*NV2</f>
        <v/>
      </c>
      <c r="NY2" s="76">
        <f>IFERROR(AVERAGEIFS(Accounts!$AY:$AY,Accounts!$AS:$AS, "Other",Accounts!$B:$B,"Customer",Accounts!$AY:$AY,"&gt;0"),0)</f>
        <v/>
      </c>
      <c r="NZ2" s="33">
        <f>IFERROR(AVERAGEIFS(Accounts!$AX:$AX,Accounts!$AS:$AS, "Other",Accounts!$B:$B,"Customer",Accounts!$AX:$AX,"&gt;0"),0)</f>
        <v/>
      </c>
      <c r="OA2" s="76">
        <f>IFERROR(AVERAGEIFS(Accounts!$AY:$AY,Accounts!$AS:$AS, "Other",Accounts!$B:$B,"none",Accounts!$AY:$AY,"&gt;0"),0)</f>
        <v/>
      </c>
      <c r="OB2" s="33">
        <f>IFERROR(AVERAGEIFS(Accounts!$AX:$AX,Accounts!$AS:$AS, "Other",Accounts!$B:$B,"none",Accounts!$AX:$AX,"&gt;0"),0)</f>
        <v/>
      </c>
      <c r="OC2" s="55">
        <f>SUMIFS(Accounts!$AA:$AA,Accounts!$B:$B,"Customer",Accounts!$AS:$AS, "Other") + SUMIFS(Accounts!$AH:$AH,Accounts!$B:$B,"Customer",Accounts!$AS:$AS, "Other") + SUMIFS(Accounts!$AJ:$AJ,Accounts!$B:$B,"Customer",Accounts!$AS:$AS, "Other") + SUMIFS(Accounts!$AI:$AI,Accounts!$B:$B,"Customer",Accounts!$AS:$AS, "Other") + SUMIFS(Accounts!$AO:$AO,Accounts!$B:$B,"Customer",Accounts!$AS:$AS, "Other")</f>
        <v/>
      </c>
      <c r="OD2" s="55">
        <f>(SUMIFS(Accounts!$AC:$AC,Accounts!$B:$B,"Customer",Accounts!$AS:$AS, "Other")+SUMIFS(Accounts!$AF:$AF,Accounts!$B:$B,"Customer",Accounts!$AS:$AS, "Other")+SUMIFS(Accounts!$AK:$AK,Accounts!$B:$B,"Customer",Accounts!$AS:$AS, "Other"))</f>
        <v/>
      </c>
      <c r="OE2" s="55">
        <f>SUMIFS(Accounts!$AB:$AB,Accounts!$B:$B,"Customer",Accounts!$AS:$AS, "Other")</f>
        <v/>
      </c>
      <c r="OF2" s="55">
        <f>SUMIFS(Accounts!$AD:$AD,Accounts!$B:$B,"Customer",Accounts!$AS:$AS, "Other")+SUMIFS(Accounts!$AM:$AM,Accounts!$B:$B,"Customer",Accounts!$AS:$AS, "Other")+SUMIFS(Accounts!$AN:$AN,Accounts!$B:$B,"Customer",Accounts!$AS:$AS, "Other")</f>
        <v/>
      </c>
      <c r="OG2" s="55">
        <f>SUMIFS(Accounts!$AE:$AE,Accounts!$B:$B,"Customer",Accounts!$AS:$AS, "Other") + SUMIFS(Accounts!$AP:$AP,Accounts!$B:$B,"Customer",Accounts!$AS:$AS, "Other")</f>
        <v/>
      </c>
      <c r="OH2" s="55">
        <f>SUMIFS(Accounts!$Z:$Z,Accounts!$B:$B,"Customer",Accounts!$AS:$AS, "Other")</f>
        <v/>
      </c>
      <c r="OI2" s="55">
        <f>SUMIFS(Accounts!$AG:$AG,Accounts!$B:$B,"Customer",Accounts!$AS:$AS, "Other") + SUMIFS(Accounts!$AL:$AL,Accounts!$B:$B,"Customer",Accounts!$AS:$AS, "Other")</f>
        <v/>
      </c>
      <c r="OJ2" s="55">
        <f>SUMIFS(Accounts!$AQ:$AQ,Accounts!$B:$B,"Customer",Accounts!$AS:$AS, "Other")</f>
        <v/>
      </c>
      <c r="OK2" s="55">
        <f>SUMIFS(Accounts!$AA:$AA,Accounts!$B:$B,"none",Accounts!$AS:$AS, "Other") + SUMIFS(Accounts!$AH:$AH,Accounts!$B:$B,"none",Accounts!$AS:$AS, "Other") + SUMIFS(Accounts!$AJ:$AJ,Accounts!$B:$B,"none",Accounts!$AS:$AS, "Other") + SUMIFS(Accounts!$AI:$AI,Accounts!$B:$B,"none",Accounts!$AS:$AS, "Other") + SUMIFS(Accounts!$AO:$AO,Accounts!$B:$B,"none",Accounts!$AS:$AS, "Other")</f>
        <v/>
      </c>
      <c r="OL2" s="55">
        <f>(SUMIFS(Accounts!$AC:$AC,Accounts!$B:$B,"none",Accounts!$AS:$AS, "Other")+SUMIFS(Accounts!$AF:$AF,Accounts!$B:$B,"none",Accounts!$AS:$AS, "Other")+SUMIFS(Accounts!$AK:$AK,Accounts!$B:$B,"none",Accounts!$AS:$AS, "Other"))</f>
        <v/>
      </c>
      <c r="OM2" s="55">
        <f>SUMIFS(Accounts!$AB:$AB,Accounts!$B:$B,"none",Accounts!$AS:$AS, "Other")</f>
        <v/>
      </c>
      <c r="ON2" s="55">
        <f>SUMIFS(Accounts!$AD:$AD,Accounts!$B:$B,"none",Accounts!$AS:$AS, "Other")+SUMIFS(Accounts!$AM:$AM,Accounts!$B:$B,"none",Accounts!$AS:$AS, "Other")+SUMIFS(Accounts!$AN:$AN,Accounts!$B:$B,"none",Accounts!$AS:$AS, "Other")</f>
        <v/>
      </c>
      <c r="OO2" s="39">
        <f>SUMIFS(Accounts!$AE:$AE,Accounts!$B:$B,"none",Accounts!$AS:$AS, "Other") + SUMIFS(Accounts!$AP:$AP,Accounts!$B:$B,"none",Accounts!$AS:$AS, "Other")</f>
        <v/>
      </c>
      <c r="OP2" s="55">
        <f>SUMIFS(Accounts!$Z:$Z,Accounts!$B:$B,"none",Accounts!$AS:$AS, "Other")</f>
        <v/>
      </c>
      <c r="OQ2" s="39">
        <f>SUMIFS(Accounts!$AG:$AG,Accounts!$B:$B,"none",Accounts!$AS:$AS, "Other") + SUMIFS(Accounts!$AL:$AL,Accounts!$B:$B,"none",Accounts!$AS:$AS, "Other")</f>
        <v/>
      </c>
      <c r="OR2" s="55">
        <f>SUMIFS(Accounts!$AQ:$AQ,Accounts!$B:$B,"none",Accounts!$AS:$AS, "Other")</f>
        <v/>
      </c>
      <c r="OS2" s="34">
        <f>((OS8+OS11)/((OS7*$C$2)+(0.5*OS10*$C$2)))*$C$2</f>
        <v/>
      </c>
      <c r="OT2" s="39">
        <f>COUNTIFS(Accounts!$AS:$AS, "Accounting and Bookkeeping",Accounts!$B:$B,"none")</f>
        <v/>
      </c>
      <c r="OU2" s="33">
        <f>COUNTIFS(Accounts!$AS:$AS, "Accounting and Bookkeeping",Accounts!$B:$B,"Customer")</f>
        <v/>
      </c>
      <c r="OV2" s="76">
        <f>SUMIFS(Accounts!$I:$I,Accounts!$AS:$AS, "Accounting and Bookkeeping")</f>
        <v/>
      </c>
      <c r="OW2" s="76">
        <f>SUMIFS(Accounts!$N:$N,Accounts!$AS:$AS, "Accounting and Bookkeeping")</f>
        <v/>
      </c>
      <c r="OX2" s="76">
        <f>OV2/(OU2+OS10)</f>
        <v/>
      </c>
      <c r="OY2" s="76">
        <f>(OV2+OW2)/(OU2+OS10)</f>
        <v/>
      </c>
      <c r="OZ2" s="76">
        <f>OS6*OX2</f>
        <v/>
      </c>
      <c r="PA2" s="76">
        <f>IFERROR(AVERAGEIFS(Accounts!$AY:$AY,Accounts!$AS:$AS, "Accounting and Bookkeeping",Accounts!$B:$B,"Customer",Accounts!$AY:$AY,"&gt;0"),0)</f>
        <v/>
      </c>
      <c r="PB2" s="33">
        <f>IFERROR(AVERAGEIFS(Accounts!$AX:$AX,Accounts!$AS:$AS, "Accounting and Bookkeeping",Accounts!$B:$B,"Customer",Accounts!$AX:$AX,"&gt;0"),0)</f>
        <v/>
      </c>
      <c r="PC2" s="76">
        <f>IFERROR(AVERAGEIFS(Accounts!$AY:$AY,Accounts!$AS:$AS, "Accounting and Bookkeeping",Accounts!$B:$B,"none",Accounts!$AY:$AY,"&gt;0"),0)</f>
        <v/>
      </c>
      <c r="PD2" s="33">
        <f>IFERROR(AVERAGEIFS(Accounts!$AX:$AX,Accounts!$AS:$AS, "Accounting and Bookkeeping",Accounts!$B:$B,"none",Accounts!$AX:$AX,"&gt;0"),0)</f>
        <v/>
      </c>
      <c r="PE2" s="55">
        <f>SUMIFS(Accounts!$AA:$AA,Accounts!$B:$B,"Customer",Accounts!$AS:$AS, "Accounting and Bookkeeping") + SUMIFS(Accounts!$AH:$AH,Accounts!$B:$B,"Customer",Accounts!$AS:$AS, "Accounting and Bookkeeping") + SUMIFS(Accounts!$AJ:$AJ,Accounts!$B:$B,"Customer",Accounts!$AS:$AS, "Accounting and Bookkeeping") + SUMIFS(Accounts!$AI:$AI,Accounts!$B:$B,"Customer",Accounts!$AS:$AS, "Accounting and Bookkeeping") + SUMIFS(Accounts!$AO:$AO,Accounts!$B:$B,"Customer",Accounts!$AS:$AS, "Accounting and Bookkeeping")</f>
        <v/>
      </c>
      <c r="PF2" s="55">
        <f>(SUMIFS(Accounts!$AC:$AC,Accounts!$B:$B,"Customer",Accounts!$AS:$AS, "Accounting and Bookkeeping")+SUMIFS(Accounts!$AF:$AF,Accounts!$B:$B,"Customer",Accounts!$AS:$AS, "Accounting and Bookkeeping")+SUMIFS(Accounts!$AK:$AK,Accounts!$B:$B,"Customer",Accounts!$AS:$AS, "Accounting and Bookkeeping"))</f>
        <v/>
      </c>
      <c r="PG2" s="55">
        <f>SUMIFS(Accounts!$AB:$AB,Accounts!$B:$B,"Customer",Accounts!$AS:$AS, "Accounting and Bookkeeping")</f>
        <v/>
      </c>
      <c r="PH2" s="55">
        <f>SUMIFS(Accounts!$AD:$AD,Accounts!$B:$B,"Customer",Accounts!$AS:$AS, "Accounting and Bookkeeping")+SUMIFS(Accounts!$AM:$AM,Accounts!$B:$B,"Customer",Accounts!$AS:$AS, "Accounting and Bookkeeping")+SUMIFS(Accounts!$AN:$AN,Accounts!$B:$B,"Customer",Accounts!$AS:$AS, "Accounting and Bookkeeping")</f>
        <v/>
      </c>
      <c r="PI2" s="55">
        <f>SUMIFS(Accounts!$AE:$AE,Accounts!$B:$B,"Customer",Accounts!$AS:$AS, "Accounting and Bookkeeping") + SUMIFS(Accounts!$AP:$AP,Accounts!$B:$B,"Customer",Accounts!$AS:$AS, "Accounting and Bookkeeping")</f>
        <v/>
      </c>
      <c r="PJ2" s="55">
        <f>SUMIFS(Accounts!$Z:$Z,Accounts!$B:$B,"Customer",Accounts!$AS:$AS, "Accounting and Bookkeeping")</f>
        <v/>
      </c>
      <c r="PK2" s="55">
        <f>SUMIFS(Accounts!$AG:$AG,Accounts!$B:$B,"Customer",Accounts!$AS:$AS, "Accounting and Bookkeeping") + SUMIFS(Accounts!$AL:$AL,Accounts!$B:$B,"Customer",Accounts!$AS:$AS, "Accounting and Bookkeeping")</f>
        <v/>
      </c>
      <c r="PL2" s="55">
        <f>SUMIFS(Accounts!$AQ:$AQ,Accounts!$B:$B,"Customer",Accounts!$AS:$AS, "Accounting and Bookkeeping")</f>
        <v/>
      </c>
      <c r="PM2" s="55">
        <f>SUMIFS(Accounts!$AA:$AA,Accounts!$B:$B,"none",Accounts!$AS:$AS, "Accounting and Bookkeeping") + SUMIFS(Accounts!$AH:$AH,Accounts!$B:$B,"none",Accounts!$AS:$AS, "Accounting and Bookkeeping") + SUMIFS(Accounts!$AJ:$AJ,Accounts!$B:$B,"none",Accounts!$AS:$AS, "Accounting and Bookkeeping") + SUMIFS(Accounts!$AI:$AI,Accounts!$B:$B,"none",Accounts!$AS:$AS, "Accounting and Bookkeeping") + SUMIFS(Accounts!$AO:$AO,Accounts!$B:$B,"none",Accounts!$AS:$AS, "Accounting and Bookkeeping")</f>
        <v/>
      </c>
      <c r="PN2" s="55">
        <f>(SUMIFS(Accounts!$AC:$AC,Accounts!$B:$B,"none",Accounts!$AS:$AS, "Accounting and Bookkeeping")+SUMIFS(Accounts!$AF:$AF,Accounts!$B:$B,"none",Accounts!$AS:$AS, "Accounting and Bookkeeping")+SUMIFS(Accounts!$AK:$AK,Accounts!$B:$B,"none",Accounts!$AS:$AS, "Accounting and Bookkeeping"))</f>
        <v/>
      </c>
      <c r="PO2" s="55">
        <f>SUMIFS(Accounts!$AB:$AB,Accounts!$B:$B,"none",Accounts!$AS:$AS, "Accounting and Bookkeeping")</f>
        <v/>
      </c>
      <c r="PP2" s="55">
        <f>SUMIFS(Accounts!$AD:$AD,Accounts!$B:$B,"none",Accounts!$AS:$AS, "Accounting and Bookkeeping")+SUMIFS(Accounts!$AM:$AM,Accounts!$B:$B,"none",Accounts!$AS:$AS, "Accounting and Bookkeeping")+SUMIFS(Accounts!$AN:$AN,Accounts!$B:$B,"none",Accounts!$AS:$AS, "Accounting and Bookkeeping")</f>
        <v/>
      </c>
      <c r="PQ2" s="39">
        <f>SUMIFS(Accounts!$AE:$AE,Accounts!$B:$B,"none",Accounts!$AS:$AS, "Accounting and Bookkeeping") + SUMIFS(Accounts!$AP:$AP,Accounts!$B:$B,"none",Accounts!$AS:$AS, "Accounting and Bookkeeping")</f>
        <v/>
      </c>
      <c r="PR2" s="55">
        <f>SUMIFS(Accounts!$Z:$Z,Accounts!$B:$B,"none",Accounts!$AS:$AS, "Accounting and Bookkeeping")</f>
        <v/>
      </c>
      <c r="PS2" s="39">
        <f>SUMIFS(Accounts!$AG:$AG,Accounts!$B:$B,"none",Accounts!$AS:$AS, "Accounting and Bookkeeping") + SUMIFS(Accounts!$AL:$AL,Accounts!$B:$B,"none",Accounts!$AS:$AS, "Accounting and Bookkeeping")</f>
        <v/>
      </c>
      <c r="PT2" s="55">
        <f>SUMIFS(Accounts!$AQ:$AQ,Accounts!$B:$B,"none",Accounts!$AS:$AS, "Accounting and Bookkeeping")</f>
        <v/>
      </c>
    </row>
    <row r="3" ht="16" customFormat="1" customHeight="1" s="31">
      <c r="A3" s="31" t="inlineStr">
        <is>
          <t>QBO</t>
        </is>
      </c>
      <c r="B3" s="75">
        <f>Accounts!$BD$2</f>
        <v/>
      </c>
      <c r="C3" s="33">
        <f>DAY(EOMONTH(B3,0))</f>
        <v/>
      </c>
      <c r="D3" s="33">
        <f>COUNTIFS(Accounts!$B:$B,"none",Accounts!$E:$E,"QBO",Accounts!$BF:$BF,"FALSE")</f>
        <v/>
      </c>
      <c r="E3" s="33">
        <f>COUNTIFS(Accounts!$B:$B,"Customer",Accounts!$E:$E,"QBO")</f>
        <v/>
      </c>
      <c r="F3" s="33">
        <f>COUNTIFS(Accounts!$C:$C,"Customer",Accounts!$E:$E,"QBO")</f>
        <v/>
      </c>
      <c r="G3" s="33">
        <f>COUNTIFS(Accounts!$B:$B,"Customer",Accounts!$C:$C,"Lost",Accounts!$E:$E,"QBO")</f>
        <v/>
      </c>
      <c r="H3" s="33">
        <f>COUNTIFS(Accounts!$B:$B,"none",Accounts!$C:$C,"Customer",Accounts!$E:$E,"QBO")</f>
        <v/>
      </c>
      <c r="I3" s="34">
        <f>H3/D3</f>
        <v/>
      </c>
      <c r="J3" s="59">
        <f>COUNTIFS(Accounts!$T:$T,"&gt;="&amp;DATE($C$10,$C$11,1),Accounts!$T:$T,"&lt;"&amp;DATE($C$7,$C$8,1),Accounts!$B:$B,"Trialer",Accounts!$C:$C,"Customer",Accounts!$E:$E,"QBO")</f>
        <v/>
      </c>
      <c r="K3" s="59">
        <f>COUNTIFS(Accounts!$T:$T,"&gt;="&amp;DATE($C$13,$C$14,1),Accounts!$T:$T,"&lt;"&amp;DATE($C$10,$C$11,1),Accounts!$B:$B,"Trialer",Accounts!$C:$C,"Customer",Accounts!$E:$E,"QBO")</f>
        <v/>
      </c>
      <c r="L3" s="59">
        <f>COUNTIFS(Accounts!$T:$T,"&gt;="&amp;DATE($C$16,$C$17,1),Accounts!$T:$T,"&lt;"&amp;DATE($C$13,$C$14,1),Accounts!$B:$B,"Trialer",Accounts!$C:$C,"Customer",Accounts!$E:$E,"QBO")</f>
        <v/>
      </c>
      <c r="M3" s="33">
        <f>SUM(COUNTIFS(Accounts!$B:$B,{"Trialer","none"},Accounts!$C:$C,"Customer",Accounts!$E:$E,"QBO"))</f>
        <v/>
      </c>
      <c r="N3" s="34">
        <f>$M$3/$D$3</f>
        <v/>
      </c>
      <c r="O3" s="76">
        <f>P3/(COUNTIFS(Accounts!$W:$W,1,Accounts!$E:$E,"QBO"))</f>
        <v/>
      </c>
      <c r="P3" s="76">
        <f>SUMIFS(Accounts!$I:$I,Accounts!$W:$W,1,Accounts!$E:$E,"QBO")</f>
        <v/>
      </c>
      <c r="Q3" s="76">
        <f>SUMIFS(Accounts!$I:$I,Accounts!$E:$E,"QBO")</f>
        <v/>
      </c>
      <c r="R3" s="76">
        <f>SUMIFS(Accounts!$N:$N,Accounts!$E:$E,"QBO")</f>
        <v/>
      </c>
      <c r="S3" s="76">
        <f>($Q$3+R3)/($BC$16+$BC19)</f>
        <v/>
      </c>
      <c r="T3" s="76">
        <f>$Q$3/($BC$16+$BC19)</f>
        <v/>
      </c>
      <c r="U3" s="61">
        <f>SUMIFS(Accounts!$AA:$AA,Accounts!$B:$B,"none",Accounts!$C:$C,"Customer",Accounts!$E:$E,"QBO") + SUMIFS(Accounts!$AH:$AH,Accounts!$B:$B,"none",Accounts!$C:$C,"Customer",Accounts!$E:$E,"QBO") + SUMIFS(Accounts!$AJ:$AJ,Accounts!$B:$B,"none",Accounts!$C:$C,"Customer",Accounts!$E:$E,"QBO") + SUMIFS(Accounts!$AI:$AI,Accounts!$B:$B,"none",Accounts!$C:$C,"Customer",Accounts!$E:$E,"QBO") + SUMIFS(Accounts!$AO:$AO,Accounts!$B:$B,"none",Accounts!$C:$C,"Customer",Accounts!$E:$E,"QBO")</f>
        <v/>
      </c>
      <c r="V3" s="61">
        <f>SUMIFS(Accounts!$AC:$AC,Accounts!$B:$B,"none",Accounts!$C:$C,"Customer",Accounts!$E:$E,"QBO")+SUMIFS(Accounts!$AF:$AF,Accounts!$B:$B,"none",Accounts!$C:$C,"Customer",Accounts!$E:$E,"QBO")+SUMIFS(Accounts!$AK:$AK,Accounts!$B:$B,"none",Accounts!$C:$C,"Customer",Accounts!$E:$E,"QBO")</f>
        <v/>
      </c>
      <c r="W3" s="61">
        <f>SUMIFS(Accounts!$AB:$AB,Accounts!$B:$B,"none",Accounts!$C:$C,"Customer",Accounts!$E:$E,"QBO")</f>
        <v/>
      </c>
      <c r="X3" s="61">
        <f>SUMIFS(Accounts!$AD:$AD,Accounts!$B:$B,"none",Accounts!$C:$C,"Customer",Accounts!$E:$E,"QBO")+SUMIFS(Accounts!$AM:$AM,Accounts!$B:$B,"none",Accounts!$C:$C,"Customer",Accounts!$E:$E,"QBO")+SUMIFS(Accounts!$AN:$AN,Accounts!$B:$B,"none",Accounts!$C:$C,"Customer",Accounts!$E:$E,"QBO")</f>
        <v/>
      </c>
      <c r="Y3" s="33">
        <f>SUM(Z3:AB3)</f>
        <v/>
      </c>
      <c r="Z3" s="61">
        <f>SUMIFS(Accounts!$AE:$AE,Accounts!$B:$B,"none",Accounts!$C:$C,"Customer",Accounts!$E:$E,"QBO") + SUMIFS(Accounts!$AP:$AP,Accounts!$B:$B,"none",Accounts!$C:$C,"Customer",Accounts!$E:$E,"QBO")</f>
        <v/>
      </c>
      <c r="AA3" s="61">
        <f>SUMIFS(Accounts!$Z:$Z,Accounts!$B:$B,"none",Accounts!$C:$C,"Customer",Accounts!$E:$E,"QBO")</f>
        <v/>
      </c>
      <c r="AB3" s="61">
        <f>SUMIFS(Accounts!$AG:$AG,Accounts!$B:$B,"none",Accounts!$C:$C,"Customer",Accounts!$E:$E,"QBO") + SUMIFS(Accounts!$AL:$AL,Accounts!$B:$B,"none",Accounts!$C:$C,"Customer",Accounts!$E:$E,"QBO")</f>
        <v/>
      </c>
      <c r="AC3" s="61">
        <f>SUMIFS(Accounts!$AQ:$AQ,Accounts!$B:$B,"none",Accounts!$C:$C,"Customer",Accounts!$E:$E,"QBO")</f>
        <v/>
      </c>
      <c r="AD3" s="61">
        <f>SUMIFS(Accounts!$AA:$AA,Accounts!$T:$T,"&gt;="&amp;DATE($C$10,$C$11,1),Accounts!$T:$T,"&lt;"&amp;DATE($C$7,$C$8,1),Accounts!$B:$B,"Trialer",Accounts!$C:$C,"Customer",Accounts!$E:$E,"QBO") + SUMIFS(Accounts!$AH:$AH,Accounts!$T:$T,"&gt;="&amp;DATE($C$10,$C$11,1),Accounts!$T:$T,"&lt;"&amp;DATE($C$7,$C$8,1),Accounts!$B:$B,"Trialer",Accounts!$C:$C,"Customer",Accounts!$E:$E,"QBO") + SUMIFS(Accounts!$AJ:$AJ,Accounts!$T:$T,"&gt;="&amp;DATE($C$10,$C$11,1),Accounts!$T:$T,"&lt;"&amp;DATE($C$7,$C$8,1),Accounts!$B:$B,"Trialer",Accounts!$C:$C,"Customer",Accounts!$E:$E,"QBO") + SUMIFS(Accounts!$AI:$AI,Accounts!$T:$T,"&gt;="&amp;DATE($C$10,$C$11,1),Accounts!$T:$T,"&lt;"&amp;DATE($C$7,$C$8,1),Accounts!$B:$B,"Trialer",Accounts!$C:$C,"Customer",Accounts!$E:$E,"QBO") + SUMIFS(Accounts!$AO:$AO,Accounts!$T:$T,"&gt;="&amp;DATE($C$10,$C$11,1),Accounts!$T:$T,"&lt;"&amp;DATE($C$7,$C$8,1),Accounts!$B:$B,"Trialer",Accounts!$C:$C,"Customer",Accounts!$E:$E,"QBO")</f>
        <v/>
      </c>
      <c r="AE3" s="61">
        <f>SUMIFS(Accounts!$AC:$AC,Accounts!$T:$T,"&gt;="&amp;DATE($C$10,$C$11,1),Accounts!$T:$T,"&lt;"&amp;DATE($C$7,$C$8,1),Accounts!$B:$B,"Trialer",Accounts!$C:$C,"Customer",Accounts!$E:$E,"QBO")+SUMIFS(Accounts!$AF:$AF,Accounts!$T:$T,"&gt;="&amp;DATE($C$10,$C$11,1),Accounts!$T:$T,"&lt;"&amp;DATE($C$7,$C$8,1),Accounts!$B:$B,"Trialer",Accounts!$C:$C,"Customer",Accounts!$E:$E,"QBO")+SUMIFS(Accounts!$AK:$AK,Accounts!$T:$T,"&gt;="&amp;DATE($C$10,$C$11,1),Accounts!$T:$T,"&lt;"&amp;DATE($C$7,$C$8,1),Accounts!$B:$B,"Trialer",Accounts!$C:$C,"Customer",Accounts!$E:$E,"QBO")</f>
        <v/>
      </c>
      <c r="AF3" s="61">
        <f>SUMIFS(Accounts!$AB:$AB,Accounts!$T:$T,"&gt;="&amp;DATE($C$10,$C$11,1),Accounts!$T:$T,"&lt;"&amp;DATE($C$7,$C$8,1),Accounts!$B:$B,"Trialer",Accounts!$C:$C,"Customer",Accounts!$E:$E,"QBO")</f>
        <v/>
      </c>
      <c r="AG3" s="61">
        <f>SUMIFS(Accounts!$AD:$AD,Accounts!$T:$T,"&gt;="&amp;DATE($C$10,$C$11,1),Accounts!$T:$T,"&lt;"&amp;DATE($C$7,$C$8,1),Accounts!$B:$B,"Trialer",Accounts!$C:$C,"Customer",Accounts!$E:$E,"QBO")+SUMIFS(Accounts!$AM:$AM,Accounts!$T:$T,"&gt;="&amp;DATE($C$10,$C$11,1),Accounts!$T:$T,"&lt;"&amp;DATE($C$7,$C$8,1),Accounts!$B:$B,"Trialer",Accounts!$C:$C,"Customer",Accounts!$E:$E,"QBO")+SUMIFS(Accounts!$AN:$AN,Accounts!$T:$T,"&gt;="&amp;DATE($C$10,$C$11,1),Accounts!$T:$T,"&lt;"&amp;DATE($C$7,$C$8,1),Accounts!$B:$B,"Trialer",Accounts!$C:$C,"Customer",Accounts!$E:$E,"QBO")</f>
        <v/>
      </c>
      <c r="AH3" s="61">
        <f>SUMIFS(Accounts!$AE:$AE,Accounts!$T:$T,"&gt;="&amp;DATE($C$10,$C$11,1),Accounts!$T:$T,"&lt;"&amp;DATE($C$7,$C$8,1),Accounts!$B:$B,"Trialer",Accounts!$C:$C,"Customer",Accounts!$E:$E,"QBO") + SUMIFS(Accounts!$AP:$AP,Accounts!$T:$T,"&gt;="&amp;DATE($C$10,$C$11,1),Accounts!$T:$T,"&lt;"&amp;DATE($C$7,$C$8,1),Accounts!$B:$B,"Trialer",Accounts!$C:$C,"Customer",Accounts!$E:$E,"QBO")</f>
        <v/>
      </c>
      <c r="AI3" s="61">
        <f>SUMIFS(Accounts!$Z:$Z,Accounts!$T:$T,"&gt;="&amp;DATE($C$10,$C$11,1),Accounts!$T:$T,"&lt;"&amp;DATE($C$7,$C$8,1),Accounts!$B:$B,"Trialer",Accounts!$C:$C,"Customer",Accounts!$E:$E,"QBO")</f>
        <v/>
      </c>
      <c r="AJ3" s="61">
        <f>SUMIFS(Accounts!$AG:$AG,Accounts!$T:$T,"&gt;="&amp;DATE($C$10,$C$11,1),Accounts!$T:$T,"&lt;"&amp;DATE($C$7,$C$8,1),Accounts!$B:$B,"Trialer",Accounts!$C:$C,"Customer",Accounts!$E:$E,"QBO") + SUMIFS(Accounts!$AL:$AL,Accounts!$T:$T,"&gt;="&amp;DATE($C$10,$C$11,1),Accounts!$T:$T,"&lt;"&amp;DATE($C$7,$C$8,1),Accounts!$B:$B,"Trialer",Accounts!$C:$C,"Customer",Accounts!$E:$E,"QBO")</f>
        <v/>
      </c>
      <c r="AK3" s="61">
        <f>SUMIFS(Accounts!$AQ:$AQ,Accounts!$T:$T,"&gt;="&amp;DATE($C$10,$C$11,1),Accounts!$T:$T,"&lt;"&amp;DATE($C$7,$C$8,1),Accounts!$B:$B,"Trialer",Accounts!$C:$C,"Customer",Accounts!$E:$E,"QBO")</f>
        <v/>
      </c>
      <c r="AL3" s="61">
        <f>SUMIFS(Accounts!$AA:$AA,Accounts!$T:$T,"&gt;="&amp;DATE($C$13,$C$14,1),Accounts!$T:$T,"&lt;"&amp;DATE($C$10,$C$11,1),Accounts!$B:$B,"Trialer",Accounts!$C:$C,"Customer",Accounts!$E:$E,"QBO") + SUMIFS(Accounts!$AH:$AH,Accounts!$T:$T,"&gt;="&amp;DATE($C$13,$C$14,1),Accounts!$T:$T,"&lt;"&amp;DATE($C$10,$C$11,1),Accounts!$B:$B,"Trialer",Accounts!$C:$C,"Customer",Accounts!$E:$E,"QBO") + SUMIFS(Accounts!$AJ:$AJ,Accounts!$T:$T,"&gt;="&amp;DATE($C$13,$C$14,1),Accounts!$T:$T,"&lt;"&amp;DATE($C$10,$C$11,1),Accounts!$B:$B,"Trialer",Accounts!$C:$C,"Customer",Accounts!$E:$E,"QBO") + SUMIFS(Accounts!$AI:$AI,Accounts!$T:$T,"&gt;="&amp;DATE($C$13,$C$14,1),Accounts!$T:$T,"&lt;"&amp;DATE($C$10,$C$11,1),Accounts!$B:$B,"Trialer",Accounts!$C:$C,"Customer",Accounts!$E:$E,"QBO") + SUMIFS(Accounts!$AO:$AO,Accounts!$T:$T,"&gt;="&amp;DATE($C$13,$C$14,1),Accounts!$T:$T,"&lt;"&amp;DATE($C$10,$C$11,1),Accounts!$B:$B,"Trialer",Accounts!$C:$C,"Customer",Accounts!$E:$E,"QBO")</f>
        <v/>
      </c>
      <c r="AM3" s="61">
        <f>SUMIFS(Accounts!$AC:$AC,Accounts!$T:$T,"&gt;="&amp;DATE($C$13,$C$14,1),Accounts!$T:$T,"&lt;"&amp;DATE($C$10,$C$11,1),Accounts!$B:$B,"Trialer",Accounts!$C:$C,"Customer",Accounts!$E:$E,"QBO")+SUMIFS(Accounts!$AF:$AF,Accounts!$T:$T,"&gt;="&amp;DATE($C$13,$C$14,1),Accounts!$T:$T,"&lt;"&amp;DATE($C$10,$C$11,1),Accounts!$B:$B,"Trialer",Accounts!$C:$C,"Customer",Accounts!$E:$E,"QBO")+SUMIFS(Accounts!$AK:$AK,Accounts!$T:$T,"&gt;="&amp;DATE($C$13,$C$14,1),Accounts!$T:$T,"&lt;"&amp;DATE($C$10,$C$11,1),Accounts!$B:$B,"Trialer",Accounts!$C:$C,"Customer",Accounts!$E:$E,"QBO")</f>
        <v/>
      </c>
      <c r="AN3" s="61">
        <f>SUMIFS(Accounts!$AB:$AB,Accounts!$T:$T,"&gt;="&amp;DATE($C$13,$C$14,1),Accounts!$T:$T,"&lt;"&amp;DATE($C$10,$C$11,1),Accounts!$B:$B,"Trialer",Accounts!$C:$C,"Customer",Accounts!$E:$E,"QBO")</f>
        <v/>
      </c>
      <c r="AO3" s="61">
        <f>SUMIFS(Accounts!$AD:$AD,Accounts!$T:$T,"&gt;="&amp;DATE($C$13,$C$14,1),Accounts!$T:$T,"&lt;"&amp;DATE($C$10,$C$11,1),Accounts!$B:$B,"Trialer",Accounts!$C:$C,"Customer",Accounts!$E:$E,"QBO")+SUMIFS(Accounts!$AM:$AM,Accounts!$T:$T,"&gt;="&amp;DATE($C$13,$C$14,1),Accounts!$T:$T,"&lt;"&amp;DATE($C$10,$C$11,1),Accounts!$B:$B,"Trialer",Accounts!$C:$C,"Customer",Accounts!$E:$E,"QBO")+SUMIFS(Accounts!$AN:$AN,Accounts!$T:$T,"&gt;="&amp;DATE($C$13,$C$14,1),Accounts!$T:$T,"&lt;"&amp;DATE($C$10,$C$11,1),Accounts!$B:$B,"Trialer",Accounts!$C:$C,"Customer",Accounts!$E:$E,"QBO")</f>
        <v/>
      </c>
      <c r="AP3" s="61">
        <f>SUMIFS(Accounts!$AE:$AE,Accounts!$T:$T,"&gt;="&amp;DATE($C$13,$C$14,1),Accounts!$T:$T,"&lt;"&amp;DATE($C$10,$C$11,1),Accounts!$B:$B,"Trialer",Accounts!$C:$C,"Customer",Accounts!$E:$E,"QBO") + SUMIFS(Accounts!$AP:$AP,Accounts!$T:$T,"&gt;="&amp;DATE($C$13,$C$14,1),Accounts!$T:$T,"&lt;"&amp;DATE($C$10,$C$11,1),Accounts!$B:$B,"Trialer",Accounts!$C:$C,"Customer",Accounts!$E:$E,"QBO")</f>
        <v/>
      </c>
      <c r="AQ3" s="61">
        <f>SUMIFS(Accounts!$Z:$Z,Accounts!$T:$T,"&gt;="&amp;DATE($C$13,$C$14,1),Accounts!$T:$T,"&lt;"&amp;DATE($C$10,$C$11,1),Accounts!$B:$B,"Trialer",Accounts!$C:$C,"Customer",Accounts!$E:$E,"QBO")</f>
        <v/>
      </c>
      <c r="AR3" s="61">
        <f>SUMIFS(Accounts!$AG:$AG,Accounts!$T:$T,"&gt;="&amp;DATE($C$13,$C$14,1),Accounts!$T:$T,"&lt;"&amp;DATE($C$10,$C$11,1),Accounts!$B:$B,"Trialer",Accounts!$C:$C,"Customer",Accounts!$E:$E,"QBO") + SUMIFS(Accounts!$AL:$AL,Accounts!$T:$T,"&gt;="&amp;DATE($C$13,$C$14,1),Accounts!$T:$T,"&lt;"&amp;DATE($C$10,$C$11,1),Accounts!$B:$B,"Trialer",Accounts!$C:$C,"Customer",Accounts!$E:$E,"QBO")</f>
        <v/>
      </c>
      <c r="AS3" s="61">
        <f>SUMIFS(Accounts!$AQ:$AQ,Accounts!$T:$T,"&gt;="&amp;DATE($C$13,$C$14,1),Accounts!$T:$T,"&lt;"&amp;DATE($C$10,$C$11,1),Accounts!$B:$B,"Trialer",Accounts!$C:$C,"Customer",Accounts!$E:$E,"QBO")</f>
        <v/>
      </c>
      <c r="AT3" s="19">
        <f>IFERROR((
SUMPRODUCT(SUMIFS(Accounts!$AA:$AA,Accounts!$B:$B,{"Trialer","none"},Accounts!$C:$C,"Customer",Accounts!$E:$E,"QBO")) +
SUMPRODUCT(SUMIFS(Accounts!$AH:$AH,Accounts!$B:$B,{"Trialer","none"},Accounts!$C:$C,"Customer",Accounts!$E:$E,"QBO")) +
SUMPRODUCT(SUMIFS(Accounts!$AJ:$AJ,Accounts!$B:$B,{"Trialer","none"},Accounts!$C:$C,"Customer",Accounts!$E:$E,"QBO")) +
SUMPRODUCT(SUMIFS(Accounts!$AI:$AI,Accounts!$B:$B,{"Trialer","none"},Accounts!$C:$C,"Customer",Accounts!$E:$E,"QBO")) +
SUMPRODUCT(SUMIFS(Accounts!$AO:$AO,Accounts!$B:$B,{"Trialer","none"},Accounts!$C:$C,"Customer",Accounts!$E:$E,"QBO"))
)
/BM3,0
)</f>
        <v/>
      </c>
      <c r="AU3" s="19">
        <f>IFERROR((SUMPRODUCT(SUMIFS(Accounts!$AC:$AC,Accounts!$B:$B,{"Trialer","none"},Accounts!$C:$C,"Customer",Accounts!$E:$E,"QBO"))+SUMPRODUCT(SUMIFS(Accounts!$AF:$AF,Accounts!$B:$B,{"Trialer","none"},Accounts!$C:$C,"Customer",Accounts!$E:$E,"QBO"))+SUMPRODUCT(SUMIFS(Accounts!$AK:$AK,Accounts!$B:$B,{"Trialer","none"},Accounts!$C:$C,"Customer",Accounts!$E:$E,"QBO")))/BN3,0)</f>
        <v/>
      </c>
      <c r="AV3" s="19">
        <f>IFERROR((SUMPRODUCT(SUMIFS(Accounts!$AB:$AB,Accounts!$B:$B,{"Trialer","none"},Accounts!$C:$C,"Customer",Accounts!$E:$E,"QBO")))/BO3,0)</f>
        <v/>
      </c>
      <c r="AW3" s="19">
        <f>IFERROR((SUMPRODUCT(SUMIFS(Accounts!$AD:$AD,Accounts!$B:$B,{"Trialer","none"},Accounts!$C:$C,"Customer",Accounts!$E:$E,"QBO"))+SUMPRODUCT(SUMIFS(Accounts!$AM:$AM,Accounts!$B:$B,{"Trialer","none"},Accounts!$C:$C,"Customer",Accounts!$E:$E,"QBO"))+SUMPRODUCT(SUMIFS(Accounts!$AN:$AN,Accounts!$B:$B,{"Trialer","none"},Accounts!$C:$C,"Customer",Accounts!$E:$E,"QBO")))/BP3,0)</f>
        <v/>
      </c>
      <c r="AX3" s="19">
        <f>IFERROR((
SUMPRODUCT(SUMIFS(Accounts!$AP:$AP,Accounts!$B:$B,{"Trialer","none"},Accounts!$C:$C,"Customer",Accounts!$E:$E,"QBO"))+
SUMPRODUCT(SUMIFS(Accounts!$AE:$AE,Accounts!$B:$B,{"Trialer","none"},Accounts!$C:$C,"Customer",Accounts!$E:$E,"QBO"))+
SUMPRODUCT(SUMIFS(Accounts!$Z:$Z,Accounts!$B:$B,{"Trialer","none"},Accounts!$C:$C,"Customer",Accounts!$E:$E,"QBO"))+
SUMPRODUCT(SUMIFS(Accounts!$AG:$AG,Accounts!$B:$B,{"Trialer","none"},Accounts!$C:$C,"Customer",Accounts!$E:$E,"QBO"))+
SUMPRODUCT(SUMIFS(Accounts!$AL:$AL,Accounts!$B:$B,{"Trialer","none"},Accounts!$C:$C,"Customer",Accounts!$E:$E,"QBO"))
)
/(BQ3+BS3+BT3),0
)</f>
        <v/>
      </c>
      <c r="AY3" s="19">
        <f>IFERROR((
SUMPRODUCT(SUMIFS(Accounts!$AE:$AE,Accounts!$B:$B,{"Trialer","none"},Accounts!$C:$C,"Customer",Accounts!$E:$E,"QBO")) +
SUMPRODUCT(SUMIFS(Accounts!$AP:$AP,Accounts!$B:$B,{"Trialer","none"},Accounts!$C:$C,"Customer",Accounts!$E:$E,"QBO"))
)
/BQ3,0
)</f>
        <v/>
      </c>
      <c r="AZ3" s="19">
        <f>IFERROR(SUMPRODUCT(SUMIFS(Accounts!$Z:$Z,Accounts!$B:$B,{"Trialer","none"},Accounts!$C:$C,"Customer",Accounts!$E:$E,"QBO"))/BS3,0)</f>
        <v/>
      </c>
      <c r="BA3" s="19">
        <f>IFERROR((SUMPRODUCT(SUMIFS(Accounts!$AG:$AG,Accounts!$B:$B,{"Trialer","none"},Accounts!$C:$C,"Customer",Accounts!$E:$E,"QBO")) + SUMPRODUCT(SUMIFS(Accounts!$AL:$AL,Accounts!$B:$B,{"Trialer","none"},Accounts!$C:$C,"Customer",Accounts!$E:$E,"QBO")))/BT3,0)</f>
        <v/>
      </c>
      <c r="BB3" s="19">
        <f>IFERROR((SUMPRODUCT(SUMIFS(Accounts!$AQ:$AQ,Accounts!$B:$B,{"none","Trialer"},Accounts!$C:$C,"Customer",Accounts!$E:$E,"QBO")))/BU3,0)</f>
        <v/>
      </c>
      <c r="BC3" s="34">
        <f>(($BC$17+$BC$20)/(($BC$16*$C$3)+(0.5*$BC$19*$C$3)))*$C$3</f>
        <v/>
      </c>
      <c r="BD3" s="34">
        <f>(($BD$17+$BD$20)/((($BD$16*$C$2)+(0.5*$BD$19*$C$2)))*$C$2)</f>
        <v/>
      </c>
      <c r="BE3" s="34">
        <f>((BE17+BE20)/((BE16*$C$2)+(0.5*BE19*$C$2)))*$C$2</f>
        <v/>
      </c>
      <c r="BF3" s="34">
        <f>((BF17+BF20)/((BF16*$C$2)+(0.5*BF19*$C$2)))*$C$2</f>
        <v/>
      </c>
      <c r="BG3" s="34">
        <f>((BG17+BG20)/((BG16*$C$2)+(0.5*BG19*$C$2)))*$C$2</f>
        <v/>
      </c>
      <c r="BH3" s="34">
        <f>((BH17+BH20)/((BH16*$C$2)+(0.5*BH19*$C$2)))*$C$2</f>
        <v/>
      </c>
      <c r="BI3" s="34">
        <f>((BI17+BI20)/((BI16*$C$2)+(0.5*BI19*$C$2)))*$C$2</f>
        <v/>
      </c>
      <c r="BJ3" s="34">
        <f>((BJ17+BJ20)/((BJ16*$C$2)+(0.5*BJ19*$C$2)))*$C$2</f>
        <v/>
      </c>
      <c r="BK3" s="34">
        <f>((BK17+BK20)/((BK16*$C$2)+(0.5*BK19*$C$2)))*$C$2</f>
        <v/>
      </c>
      <c r="BL3" s="34">
        <f>((BL17+BL20)/((BL16*$C$2)+(0.5*BL19*$C$2)))*$C$2</f>
        <v/>
      </c>
      <c r="BM3" s="39">
        <f>SUMIFS(Accounts!$AA:$AA,Accounts!$B:$B,"none",Accounts!$E:$E,"QBO") + SUMIFS(Accounts!$AH:$AH,Accounts!$B:$B,"none",Accounts!$E:$E,"QBO") + SUMIFS(Accounts!$AJ:$AJ,Accounts!$B:$B,"none",Accounts!$E:$E,"QBO") + SUMIFS(Accounts!$AI:$AI,Accounts!$B:$B,"none",Accounts!$E:$E,"QBO") + SUMIFS(Accounts!$AO:$AO,Accounts!$B:$B,"none",Accounts!$E:$E,"QBO")</f>
        <v/>
      </c>
      <c r="BN3" s="39">
        <f>SUMIFS(Accounts!$AC:$AC,Accounts!$B:$B,"none",Accounts!$E:$E,"QBO") + SUMIFS(Accounts!$AF:$AF,Accounts!$B:$B,"none") + SUMIFS(Accounts!$AK:$AK,Accounts!$B:$B,"none",Accounts!$E:$E,"QBO")</f>
        <v/>
      </c>
      <c r="BO3" s="39">
        <f>SUMIFS(Accounts!$AB:$AB,Accounts!$B:$B,"none",Accounts!$E:$E,"QBO")</f>
        <v/>
      </c>
      <c r="BP3" s="39">
        <f>SUMIFS(Accounts!$AD:$AD,Accounts!$B:$B,"none",Accounts!$E:$E,"QBO") + SUMIFS(Accounts!$AM:$AM,Accounts!$B:$B,"none",Accounts!$E:$E,"QBO") + SUMIFS(Accounts!$AN:$AN,Accounts!$B:$B,"none",Accounts!$E:$E,"QBO")</f>
        <v/>
      </c>
      <c r="BQ3" s="39">
        <f>SUMIFS(Accounts!$AE:$AE,Accounts!$B:$B,"none",Accounts!$E:$E,"QBO") + SUMIFS(Accounts!$AP:$AP,Accounts!$B:$B,"none",Accounts!$E:$E,"QBO")</f>
        <v/>
      </c>
      <c r="BR3" s="39">
        <f>SUM(BS3:BT3,BQ3)</f>
        <v/>
      </c>
      <c r="BS3" s="39">
        <f>SUMIFS(Accounts!$Z:$Z,Accounts!$B:$B,"none",Accounts!$E:$E,"QBO")</f>
        <v/>
      </c>
      <c r="BT3" s="39">
        <f>SUMIFS(Accounts!$AG:$AG,Accounts!$B:$B,"none",Accounts!$E:$E,"QBO") + SUMIFS(Accounts!$AL:$AL,Accounts!$B:$B,"none",Accounts!$E:$E,"QBO")</f>
        <v/>
      </c>
      <c r="BU3" s="39">
        <f>SUMIFS(Accounts!$AQ:$AQ,Accounts!$B:$B,"none",Accounts!$E:$E,"QBO")</f>
        <v/>
      </c>
      <c r="BV3" s="76">
        <f>S$31/(BD$16+BD$19)</f>
        <v/>
      </c>
      <c r="BW3" s="76">
        <f>U$31/(BE$16+BE$19)</f>
        <v/>
      </c>
      <c r="BX3" s="76">
        <f>W$31/(BF$16+BF$19)</f>
        <v/>
      </c>
      <c r="BY3" s="76">
        <f>Y$31/(BG$16+BG$19)</f>
        <v/>
      </c>
      <c r="BZ3" s="76">
        <f>($AA$31+$AC$31+$AE$31)/($BI$16+$BJ$16+$BK$16+$BI$19+$BJ$19+$BK$19)</f>
        <v/>
      </c>
      <c r="CA3" s="76">
        <f>$AA$31/($BI$16+$BI$19)</f>
        <v/>
      </c>
      <c r="CB3" s="76">
        <f>AC$31/(BJ$16+BJ$19)</f>
        <v/>
      </c>
      <c r="CC3" s="76">
        <f>AE$31/(BK$16+BK$19)</f>
        <v/>
      </c>
      <c r="CD3" s="76">
        <f>AG$31/(BL$16+BL$19)</f>
        <v/>
      </c>
      <c r="CE3" s="76">
        <f>(S$31+AI$31)/(BD$16+BD$19)</f>
        <v/>
      </c>
      <c r="CF3" s="76">
        <f>(U$31+AK$31)/(BE$16+BE$19)</f>
        <v/>
      </c>
      <c r="CG3" s="76">
        <f>(W$31+AM$31)/(BF$16+BF$19)</f>
        <v/>
      </c>
      <c r="CH3" s="76">
        <f>(Y$31+AO$31)/(BG$16+BG$19)</f>
        <v/>
      </c>
      <c r="CI3" s="76">
        <f>($AA$31+$AQ$31+AC31+AE31+AS31+AU31)/($BI$16+$BI$19+BJ16+BK16+BJ19+BK19)</f>
        <v/>
      </c>
      <c r="CJ3" s="76">
        <f>($AA$31+$AQ$31)/($BI$16+$BI$19)</f>
        <v/>
      </c>
      <c r="CK3" s="76">
        <f>(AC$31+AS$31)/(BJ$16+BJ$19)</f>
        <v/>
      </c>
      <c r="CL3" s="76">
        <f>(AE$31+AU$31)/(BK$16+BK$19)</f>
        <v/>
      </c>
      <c r="CM3" s="76">
        <f>(AG$31+AW$31)/(BL$16+BL$19)</f>
        <v/>
      </c>
      <c r="CN3" s="76">
        <f>BV$3*BD$15</f>
        <v/>
      </c>
      <c r="CO3" s="76">
        <f>BW$3*BE$15</f>
        <v/>
      </c>
      <c r="CP3" s="76">
        <f>BX$3*BF$15</f>
        <v/>
      </c>
      <c r="CQ3" s="76">
        <f>BY$3*BG$15</f>
        <v/>
      </c>
      <c r="CR3" s="76">
        <f>$BZ$3*BH$15</f>
        <v/>
      </c>
      <c r="CS3" s="76">
        <f>$CA$3*BI$15</f>
        <v/>
      </c>
      <c r="CT3" s="76">
        <f>CB$3*BJ$15</f>
        <v/>
      </c>
      <c r="CU3" s="76">
        <f>CC$3*BK$15</f>
        <v/>
      </c>
      <c r="CV3" s="76">
        <f>CD$3*BL$15</f>
        <v/>
      </c>
      <c r="CW3" s="34">
        <f>((CW15+CW18)/((CW14*$C$2)+(0.5*CW17*$C$2)))*$C$2</f>
        <v/>
      </c>
      <c r="CX3" s="39">
        <f>COUNTIFS(Accounts!$AS:$AS, "Manufacturing (MWD)",Accounts!$B:$B,"none",Accounts!$E:$E,"QBO")</f>
        <v/>
      </c>
      <c r="CY3" s="33">
        <f>COUNTIFS(Accounts!$AS:$AS, "Manufacturing (MWD)",Accounts!$B:$B,"Customer",Accounts!$E:$E,"QBO")</f>
        <v/>
      </c>
      <c r="CZ3" s="76">
        <f>SUMIFS(Accounts!$I:$I,Accounts!$AS:$AS, "Manufacturing (MWD)",Accounts!$E:$E,"QBO")</f>
        <v/>
      </c>
      <c r="DA3" s="76">
        <f>SUMIFS(Accounts!$N:$N,Accounts!$AS:$AS, "Manufacturing (MWD)",Accounts!$E:$E,"QBO")</f>
        <v/>
      </c>
      <c r="DB3" s="76">
        <f>CZ3/(CY3+CW17)</f>
        <v/>
      </c>
      <c r="DC3" s="76">
        <f>(CZ3+DA3)/(CY3+CW17)</f>
        <v/>
      </c>
      <c r="DD3" s="76">
        <f>CW13*DB3</f>
        <v/>
      </c>
      <c r="DE3" s="76">
        <f>AVERAGEIFS(Accounts!$AY:$AY,Accounts!$AS:$AS, "Manufacturing (MWD)",Accounts!$B:$B,"Customer",Accounts!$AY:$AY,"&gt;0",Accounts!$E:$E,"QBO")</f>
        <v/>
      </c>
      <c r="DF3" s="33">
        <f>AVERAGEIFS(Accounts!$AX:$AX,Accounts!$AS:$AS, "Manufacturing (MWD)",Accounts!$B:$B,"Customer",Accounts!$AX:$AX,"&gt;0",Accounts!$E:$E,"QBO")</f>
        <v/>
      </c>
      <c r="DG3" s="76">
        <f>AVERAGEIFS(Accounts!$AY:$AY,Accounts!$AS:$AS, "Manufacturing (MWD)",Accounts!$B:$B,"none",Accounts!$AY:$AY,"&gt;0",Accounts!$E:$E,"QBO")</f>
        <v/>
      </c>
      <c r="DH3" s="33">
        <f>AVERAGEIFS(Accounts!$AX:$AX,Accounts!$AS:$AS, "Manufacturing (MWD)",Accounts!$B:$B,"none",Accounts!$AX:$AX,"&gt;0",Accounts!$E:$E,"QBO")</f>
        <v/>
      </c>
      <c r="DI3" s="55">
        <f>SUMIFS(Accounts!$AA:$AA,Accounts!$B:$B,"Customer",Accounts!$AS:$AS, "Manufacturing (MWD)",Accounts!$E:$E,"QBO") + SUMIFS(Accounts!$AH:$AH,Accounts!$B:$B,"Customer",Accounts!$AS:$AS, "Manufacturing (MWD)",Accounts!$E:$E,"QBO") + SUMIFS(Accounts!$AJ:$AJ,Accounts!$B:$B,"Customer",Accounts!$AS:$AS, "Manufacturing (MWD)",Accounts!$E:$E,"QBO") + SUMIFS(Accounts!$AI:$AI,Accounts!$B:$B,"Customer",Accounts!$AS:$AS, "Manufacturing (MWD)",Accounts!$E:$E,"QBO") + SUMIFS(Accounts!$AO:$AO,Accounts!$B:$B,"Customer",Accounts!$AS:$AS, "Manufacturing (MWD)",Accounts!$E:$E,"QBO")</f>
        <v/>
      </c>
      <c r="DJ3" s="55">
        <f>(SUMIFS(Accounts!$AC:$AC,Accounts!$B:$B,"Customer",Accounts!$AS:$AS, "Manufacturing (MWD)",Accounts!$E:$E,"QBO")+SUMIFS(Accounts!$AF:$AF,Accounts!$B:$B,"Customer",Accounts!$AS:$AS, "Manufacturing (MWD)",Accounts!$E:$E,"QBO")+SUMIFS(Accounts!$AK:$AK,Accounts!$B:$B,"Customer",Accounts!$AS:$AS, "Manufacturing (MWD)",Accounts!$E:$E,"QBO"))</f>
        <v/>
      </c>
      <c r="DK3" s="55">
        <f>SUMIFS(Accounts!$AB:$AB,Accounts!$B:$B,"Customer",Accounts!$AS:$AS, "Manufacturing (MWD)",Accounts!$E:$E,"QBO")</f>
        <v/>
      </c>
      <c r="DL3" s="55">
        <f>SUMIFS(Accounts!$AD:$AD,Accounts!$B:$B,"Customer",Accounts!$AS:$AS, "Manufacturing (MWD)",Accounts!$E:$E,"QBO")+SUMIFS(Accounts!$AM:$AM,Accounts!$B:$B,"Customer",Accounts!$AS:$AS, "Manufacturing (MWD)",Accounts!$E:$E,"QBO")+SUMIFS(Accounts!$AN:$AN,Accounts!$B:$B,"Customer",Accounts!$AS:$AS, "Manufacturing (MWD)",Accounts!$E:$E,"QBO")</f>
        <v/>
      </c>
      <c r="DM3" s="55">
        <f>SUMIFS(Accounts!$AE:$AE,Accounts!$B:$B,"Customer",Accounts!$AS:$AS, "Manufacturing (MWD)",Accounts!$E:$E,"QBO") + SUMIFS(Accounts!$AP:$AP,Accounts!$B:$B,"Customer",Accounts!$AS:$AS, "Manufacturing (MWD)",Accounts!$E:$E,"QBO")</f>
        <v/>
      </c>
      <c r="DN3" s="55">
        <f>SUMIFS(Accounts!$Z:$Z,Accounts!$B:$B,"Customer",Accounts!$AS:$AS, "Manufacturing (MWD)",Accounts!$E:$E,"QBO")</f>
        <v/>
      </c>
      <c r="DO3" s="55">
        <f>SUMIFS(Accounts!$AG:$AG,Accounts!$B:$B,"Customer",Accounts!$AS:$AS, "Manufacturing (MWD)",Accounts!$E:$E,"QBO") + SUMIFS(Accounts!$AL:$AL,Accounts!$B:$B,"Customer",Accounts!$AS:$AS, "Manufacturing (MWD)",Accounts!$E:$E,"QBO")</f>
        <v/>
      </c>
      <c r="DP3" s="55">
        <f>SUMIFS(Accounts!$AQ:$AQ,Accounts!$B:$B,"Customer",Accounts!$AS:$AS, "Manufacturing (MWD)",Accounts!$E:$E,"QBO")</f>
        <v/>
      </c>
      <c r="DQ3" s="55">
        <f>SUMIFS(Accounts!$AA:$AA,Accounts!$B:$B,"none",Accounts!$AS:$AS, "Manufacturing (MWD)",Accounts!$E:$E,"QBO") + SUMIFS(Accounts!$AH:$AH,Accounts!$B:$B,"none",Accounts!$AS:$AS, "Manufacturing (MWD)",Accounts!$E:$E,"QBO") + SUMIFS(Accounts!$AJ:$AJ,Accounts!$B:$B,"none",Accounts!$AS:$AS, "Manufacturing (MWD)",Accounts!$E:$E,"QBO") + SUMIFS(Accounts!$AI:$AI,Accounts!$B:$B,"none",Accounts!$AS:$AS, "Manufacturing (MWD)",Accounts!$E:$E,"QBO") + SUMIFS(Accounts!$AO:$AO,Accounts!$B:$B,"none",Accounts!$AS:$AS, "Manufacturing (MWD)",Accounts!$E:$E,"QBO")</f>
        <v/>
      </c>
      <c r="DR3" s="55">
        <f>(SUMIFS(Accounts!$AC:$AC,Accounts!$B:$B,"none",Accounts!$AS:$AS, "Manufacturing (MWD)",Accounts!$E:$E,"QBO")+SUMIFS(Accounts!$AF:$AF,Accounts!$B:$B,"none",Accounts!$AS:$AS, "Manufacturing (MWD)",Accounts!$E:$E,"QBO")+SUMIFS(Accounts!$AK:$AK,Accounts!$B:$B,"none",Accounts!$AS:$AS, "Manufacturing (MWD)",Accounts!$E:$E,"QBO"))</f>
        <v/>
      </c>
      <c r="DS3" s="55">
        <f>SUMIFS(Accounts!$AB:$AB,Accounts!$B:$B,"none",Accounts!$AS:$AS, "Manufacturing (MWD)",Accounts!$E:$E,"QBO")</f>
        <v/>
      </c>
      <c r="DT3" s="55">
        <f>SUMIFS(Accounts!$AD:$AD,Accounts!$B:$B,"none",Accounts!$AS:$AS, "Manufacturing (MWD)",Accounts!$E:$E,"QBO")+SUMIFS(Accounts!$AM:$AM,Accounts!$B:$B,"none",Accounts!$AS:$AS, "Manufacturing (MWD)",Accounts!$E:$E,"QBO")+SUMIFS(Accounts!$AN:$AN,Accounts!$B:$B,"none",Accounts!$AS:$AS, "Manufacturing (MWD)",Accounts!$E:$E,"QBO")</f>
        <v/>
      </c>
      <c r="DU3" s="39">
        <f>SUMIFS(Accounts!$AE:$AE,Accounts!$B:$B,"none",Accounts!$AS:$AS, "Manufacturing (MWD)",Accounts!$E:$E,"QBO") + SUMIFS(Accounts!$AP:$AP,Accounts!$B:$B,"none",Accounts!$AS:$AS, "Manufacturing (MWD)",Accounts!$E:$E,"QBO")</f>
        <v/>
      </c>
      <c r="DV3" s="55">
        <f>SUMIFS(Accounts!$Z:$Z,Accounts!$B:$B,"none",Accounts!$AS:$AS, "Manufacturing (MWD)",Accounts!$E:$E,"QBO")</f>
        <v/>
      </c>
      <c r="DW3" s="39">
        <f>SUMIFS(Accounts!$AG:$AG,Accounts!$B:$B,"none",Accounts!$AS:$AS, "Manufacturing (MWD)",Accounts!$E:$E,"QBO") + SUMIFS(Accounts!$AL:$AL,Accounts!$B:$B,"none",Accounts!$AS:$AS, "Manufacturing (MWD)",Accounts!$E:$E,"QBO")</f>
        <v/>
      </c>
      <c r="DX3" s="55">
        <f>SUMIFS(Accounts!$AQ:$AQ,Accounts!$B:$B,"none",Accounts!$AS:$AS, "Manufacturing (MWD)",Accounts!$E:$E,"QBO")</f>
        <v/>
      </c>
      <c r="DY3" s="34">
        <f>((DY15+DY18)/((DY14*$C$2)+(0.5*DY17*$C$2)))*$C$2</f>
        <v/>
      </c>
      <c r="DZ3" s="39">
        <f>COUNTIFS(Accounts!$AS:$AS, "Wholesale and distribution services (MWD)",Accounts!$B:$B,"none",Accounts!$E:$E,"QBO")</f>
        <v/>
      </c>
      <c r="EA3" s="33">
        <f>COUNTIFS(Accounts!$AS:$AS, "Wholesale and distribution services (MWD)",Accounts!$B:$B,"Customer",Accounts!$E:$E,"QBO")</f>
        <v/>
      </c>
      <c r="EB3" s="76">
        <f>SUMIFS(Accounts!$I:$I,Accounts!$AS:$AS, "Wholesale and distribution services (MWD)",Accounts!$E:$E,"QBO")</f>
        <v/>
      </c>
      <c r="EC3" s="76">
        <f>SUMIFS(Accounts!$N:$N,Accounts!$AS:$AS, "Wholesale and distribution services (MWD)",Accounts!$E:$E,"QBO")</f>
        <v/>
      </c>
      <c r="ED3" s="76">
        <f>EB3/(EA3+DY17)</f>
        <v/>
      </c>
      <c r="EE3" s="76">
        <f>(EB3+EC3)/(EA3+DY17)</f>
        <v/>
      </c>
      <c r="EF3" s="76">
        <f>DY13*ED3</f>
        <v/>
      </c>
      <c r="EG3" s="76">
        <f>AVERAGEIFS(Accounts!$AY:$AY,Accounts!$AS:$AS, "Wholesale and distribution services (MWD)",Accounts!$B:$B,"Customer",Accounts!$AY:$AY,"&gt;0",Accounts!$E:$E,"QBO")</f>
        <v/>
      </c>
      <c r="EH3" s="33">
        <f>AVERAGEIFS(Accounts!$AX:$AX,Accounts!$AS:$AS, "Wholesale and distribution services (MWD)",Accounts!$B:$B,"Customer",Accounts!$AX:$AX,"&gt;0",Accounts!$E:$E,"QBO")</f>
        <v/>
      </c>
      <c r="EI3" s="76">
        <f>AVERAGEIFS(Accounts!$AY:$AY,Accounts!$AS:$AS, "Wholesale and distribution services (MWD)",Accounts!$B:$B,"none",Accounts!$AY:$AY,"&gt;0",Accounts!$E:$E,"QBO")</f>
        <v/>
      </c>
      <c r="EJ3" s="33">
        <f>AVERAGEIFS(Accounts!$AX:$AX,Accounts!$AS:$AS, "Wholesale and distribution services (MWD)",Accounts!$B:$B,"none",Accounts!$AX:$AX,"&gt;0",Accounts!$E:$E,"QBO")</f>
        <v/>
      </c>
      <c r="EK3" s="55">
        <f>SUMIFS(Accounts!$AA:$AA,Accounts!$B:$B,"Customer",Accounts!$AS:$AS, "Wholesale and distribution services (MWD)",Accounts!$E:$E,"QBO") + SUMIFS(Accounts!$AH:$AH,Accounts!$B:$B,"Customer",Accounts!$AS:$AS, "Wholesale and distribution services (MWD)",Accounts!$E:$E,"QBO") + SUMIFS(Accounts!$AJ:$AJ,Accounts!$B:$B,"Customer",Accounts!$AS:$AS, "Wholesale and distribution services (MWD)",Accounts!$E:$E,"QBO") + SUMIFS(Accounts!$AI:$AI,Accounts!$B:$B,"Customer",Accounts!$AS:$AS, "Wholesale and distribution services (MWD)",Accounts!$E:$E,"QBO") + SUMIFS(Accounts!$AO:$AO,Accounts!$B:$B,"Customer",Accounts!$AS:$AS, "Wholesale and distribution services (MWD)",Accounts!$E:$E,"QBO")</f>
        <v/>
      </c>
      <c r="EL3" s="55">
        <f>(SUMIFS(Accounts!$AC:$AC,Accounts!$B:$B,"Customer",Accounts!$AS:$AS, "Wholesale and distribution services (MWD)",Accounts!$E:$E,"QBO")+SUMIFS(Accounts!$AF:$AF,Accounts!$B:$B,"Customer",Accounts!$AS:$AS, "Wholesale and distribution services (MWD)",Accounts!$E:$E,"QBO")+SUMIFS(Accounts!$AK:$AK,Accounts!$B:$B,"Customer",Accounts!$AS:$AS, "Wholesale and distribution services (MWD)",Accounts!$E:$E,"QBO"))</f>
        <v/>
      </c>
      <c r="EM3" s="55">
        <f>SUMIFS(Accounts!$AB:$AB,Accounts!$B:$B,"Customer",Accounts!$AS:$AS, "Wholesale and distribution services (MWD)",Accounts!$E:$E,"QBO")</f>
        <v/>
      </c>
      <c r="EN3" s="55">
        <f>SUMIFS(Accounts!$AD:$AD,Accounts!$B:$B,"Customer",Accounts!$AS:$AS, "Wholesale and distribution services (MWD)",Accounts!$E:$E,"QBO")+SUMIFS(Accounts!$AM:$AM,Accounts!$B:$B,"Customer",Accounts!$AS:$AS, "Wholesale and distribution services (MWD)",Accounts!$E:$E,"QBO")+SUMIFS(Accounts!$AN:$AN,Accounts!$B:$B,"Customer",Accounts!$AS:$AS, "Wholesale and distribution services (MWD)",Accounts!$E:$E,"QBO")</f>
        <v/>
      </c>
      <c r="EO3" s="55">
        <f>SUMIFS(Accounts!$AE:$AE,Accounts!$B:$B,"Customer",Accounts!$AS:$AS, "Wholesale and distribution services (MWD)",Accounts!$E:$E,"QBO") + SUMIFS(Accounts!$AP:$AP,Accounts!$B:$B,"Customer",Accounts!$AS:$AS, "Wholesale and distribution services (MWD)",Accounts!$E:$E,"QBO")</f>
        <v/>
      </c>
      <c r="EP3" s="55">
        <f>SUMIFS(Accounts!$Z:$Z,Accounts!$B:$B,"Customer",Accounts!$AS:$AS, "Wholesale and distribution services (MWD)",Accounts!$E:$E,"QBO")</f>
        <v/>
      </c>
      <c r="EQ3" s="55">
        <f>SUMIFS(Accounts!$AG:$AG,Accounts!$B:$B,"Customer",Accounts!$AS:$AS, "Wholesale and distribution services (MWD)",Accounts!$E:$E,"QBO") + SUMIFS(Accounts!$AL:$AL,Accounts!$B:$B,"Customer",Accounts!$AS:$AS, "Wholesale and distribution services (MWD)",Accounts!$E:$E,"QBO")</f>
        <v/>
      </c>
      <c r="ER3" s="55">
        <f>SUMIFS(Accounts!$AQ:$AQ,Accounts!$B:$B,"Customer",Accounts!$AS:$AS, "Wholesale and distribution services (MWD)",Accounts!$E:$E,"QBO")</f>
        <v/>
      </c>
      <c r="ES3" s="55">
        <f>SUMIFS(Accounts!$AA:$AA,Accounts!$B:$B,"none",Accounts!$AS:$AS, "Wholesale and distribution services (MWD)",Accounts!$E:$E,"QBO") + SUMIFS(Accounts!$AH:$AH,Accounts!$B:$B,"none",Accounts!$AS:$AS, "Wholesale and distribution services (MWD)",Accounts!$E:$E,"QBO") + SUMIFS(Accounts!$AJ:$AJ,Accounts!$B:$B,"none",Accounts!$AS:$AS, "Wholesale and distribution services (MWD)",Accounts!$E:$E,"QBO") + SUMIFS(Accounts!$AI:$AI,Accounts!$B:$B,"none",Accounts!$AS:$AS, "Wholesale and distribution services (MWD)",Accounts!$E:$E,"QBO") + SUMIFS(Accounts!$AO:$AO,Accounts!$B:$B,"none",Accounts!$AS:$AS, "Wholesale and distribution services (MWD)",Accounts!$E:$E,"QBO")</f>
        <v/>
      </c>
      <c r="ET3" s="55">
        <f>(SUMIFS(Accounts!$AC:$AC,Accounts!$B:$B,"none",Accounts!$AS:$AS, "Wholesale and distribution services (MWD)",Accounts!$E:$E,"QBO")+SUMIFS(Accounts!$AF:$AF,Accounts!$B:$B,"none",Accounts!$AS:$AS, "Wholesale and distribution services (MWD)",Accounts!$E:$E,"QBO")+SUMIFS(Accounts!$AK:$AK,Accounts!$B:$B,"none",Accounts!$AS:$AS, "Wholesale and distribution services (MWD)",Accounts!$E:$E,"QBO"))</f>
        <v/>
      </c>
      <c r="EU3" s="55">
        <f>SUMIFS(Accounts!$AB:$AB,Accounts!$B:$B,"none",Accounts!$AS:$AS, "Wholesale and distribution services (MWD)",Accounts!$E:$E,"QBO")</f>
        <v/>
      </c>
      <c r="EV3" s="55">
        <f>SUMIFS(Accounts!$AD:$AD,Accounts!$B:$B,"none",Accounts!$AS:$AS, "Wholesale and distribution services (MWD)",Accounts!$E:$E,"QBO")+SUMIFS(Accounts!$AM:$AM,Accounts!$B:$B,"none",Accounts!$AS:$AS, "Wholesale and distribution services (MWD)",Accounts!$E:$E,"QBO")+SUMIFS(Accounts!$AN:$AN,Accounts!$B:$B,"none",Accounts!$AS:$AS, "Wholesale and distribution services (MWD)",Accounts!$E:$E,"QBO")</f>
        <v/>
      </c>
      <c r="EW3" s="39">
        <f>SUMIFS(Accounts!$AE:$AE,Accounts!$B:$B,"none",Accounts!$AS:$AS, "Wholesale and distribution services (MWD)",Accounts!$E:$E,"QBO") + SUMIFS(Accounts!$AP:$AP,Accounts!$B:$B,"none",Accounts!$AS:$AS, "Wholesale and distribution services (MWD)",Accounts!$E:$E,"QBO")</f>
        <v/>
      </c>
      <c r="EX3" s="55">
        <f>SUMIFS(Accounts!$Z:$Z,Accounts!$B:$B,"none",Accounts!$AS:$AS, "Wholesale and distribution services (MWD)",Accounts!$E:$E,"QBO")</f>
        <v/>
      </c>
      <c r="EY3" s="39">
        <f>SUMIFS(Accounts!$AG:$AG,Accounts!$B:$B,"none",Accounts!$AS:$AS, "Wholesale and distribution services (MWD)",Accounts!$E:$E,"QBO") + SUMIFS(Accounts!$AL:$AL,Accounts!$B:$B,"none",Accounts!$AS:$AS, "Wholesale and distribution services (MWD)",Accounts!$E:$E,"QBO")</f>
        <v/>
      </c>
      <c r="EZ3" s="55">
        <f>SUMIFS(Accounts!$AQ:$AQ,Accounts!$B:$B,"none",Accounts!$AS:$AS, "Wholesale and distribution services (MWD)",Accounts!$E:$E,"QBO")</f>
        <v/>
      </c>
      <c r="FA3" s="34">
        <f>((FA15+FA18)/((FA14*$C$2)+(0.5*FA17*$C$2)))*$C$2</f>
        <v/>
      </c>
      <c r="FB3" s="39">
        <f>COUNTIFS(Accounts!$AS:$AS, "Construction",Accounts!$B:$B,"none",Accounts!$E:$E,"QBO")</f>
        <v/>
      </c>
      <c r="FC3" s="33">
        <f>COUNTIFS(Accounts!$AS:$AS, "Construction",Accounts!$B:$B,"Customer",Accounts!$E:$E,"QBO")</f>
        <v/>
      </c>
      <c r="FD3" s="76">
        <f>SUMIFS(Accounts!$I:$I,Accounts!$AS:$AS, "Construction",Accounts!$E:$E,"QBO")</f>
        <v/>
      </c>
      <c r="FE3" s="76">
        <f>SUMIFS(Accounts!$N:$N,Accounts!$AS:$AS, "Construction",Accounts!$E:$E,"QBO")</f>
        <v/>
      </c>
      <c r="FF3" s="76">
        <f>FD3/(FC3+FA17)</f>
        <v/>
      </c>
      <c r="FG3" s="76">
        <f>(FD3+FE3)/(FC3+FA17)</f>
        <v/>
      </c>
      <c r="FH3" s="76">
        <f>FA13*FF3</f>
        <v/>
      </c>
      <c r="FI3" s="76">
        <f>AVERAGEIFS(Accounts!$AY:$AY,Accounts!$AS:$AS, "Construction",Accounts!$B:$B,"Customer",Accounts!$AY:$AY,"&gt;0",Accounts!$E:$E,"QBO")</f>
        <v/>
      </c>
      <c r="FJ3" s="33">
        <f>AVERAGEIFS(Accounts!$AX:$AX,Accounts!$AS:$AS, "Construction",Accounts!$B:$B,"Customer",Accounts!$AX:$AX,"&gt;0",Accounts!$E:$E,"QBO")</f>
        <v/>
      </c>
      <c r="FK3" s="76">
        <f>AVERAGEIFS(Accounts!$AY:$AY,Accounts!$AS:$AS, "Construction",Accounts!$B:$B,"none",Accounts!$AY:$AY,"&gt;0",Accounts!$E:$E,"QBO")</f>
        <v/>
      </c>
      <c r="FL3" s="33">
        <f>AVERAGEIFS(Accounts!$AX:$AX,Accounts!$AS:$AS, "Construction",Accounts!$B:$B,"none",Accounts!$AX:$AX,"&gt;0",Accounts!$E:$E,"QBO")</f>
        <v/>
      </c>
      <c r="FM3" s="55">
        <f>SUMIFS(Accounts!$AA:$AA,Accounts!$B:$B,"Customer",Accounts!$AS:$AS, "Construction",Accounts!$E:$E,"QBO") + SUMIFS(Accounts!$AH:$AH,Accounts!$B:$B,"Customer",Accounts!$AS:$AS, "Construction",Accounts!$E:$E,"QBO") + SUMIFS(Accounts!$AJ:$AJ,Accounts!$B:$B,"Customer",Accounts!$AS:$AS, "Construction",Accounts!$E:$E,"QBO") + SUMIFS(Accounts!$AI:$AI,Accounts!$B:$B,"Customer",Accounts!$AS:$AS, "Construction",Accounts!$E:$E,"QBO") + SUMIFS(Accounts!$AO:$AO,Accounts!$B:$B,"Customer",Accounts!$AS:$AS, "Construction",Accounts!$E:$E,"QBO")</f>
        <v/>
      </c>
      <c r="FN3" s="55">
        <f>(SUMIFS(Accounts!$AC:$AC,Accounts!$B:$B,"Customer",Accounts!$AS:$AS, "Construction",Accounts!$E:$E,"QBO")+SUMIFS(Accounts!$AF:$AF,Accounts!$B:$B,"Customer",Accounts!$AS:$AS, "Construction",Accounts!$E:$E,"QBO")+SUMIFS(Accounts!$AK:$AK,Accounts!$B:$B,"Customer",Accounts!$AS:$AS, "Construction",Accounts!$E:$E,"QBO"))</f>
        <v/>
      </c>
      <c r="FO3" s="55">
        <f>SUMIFS(Accounts!$AB:$AB,Accounts!$B:$B,"Customer",Accounts!$AS:$AS, "Construction",Accounts!$E:$E,"QBO")</f>
        <v/>
      </c>
      <c r="FP3" s="55">
        <f>SUMIFS(Accounts!$AD:$AD,Accounts!$B:$B,"Customer",Accounts!$AS:$AS, "Construction",Accounts!$E:$E,"QBO")+SUMIFS(Accounts!$AM:$AM,Accounts!$B:$B,"Customer",Accounts!$AS:$AS, "Construction",Accounts!$E:$E,"QBO")+SUMIFS(Accounts!$AN:$AN,Accounts!$B:$B,"Customer",Accounts!$AS:$AS, "Construction",Accounts!$E:$E,"QBO")</f>
        <v/>
      </c>
      <c r="FQ3" s="55">
        <f>SUMIFS(Accounts!$AE:$AE,Accounts!$B:$B,"Customer",Accounts!$AS:$AS, "Construction",Accounts!$E:$E,"QBO") + SUMIFS(Accounts!$AP:$AP,Accounts!$B:$B,"Customer",Accounts!$AS:$AS, "Construction",Accounts!$E:$E,"QBO")</f>
        <v/>
      </c>
      <c r="FR3" s="55">
        <f>SUMIFS(Accounts!$Z:$Z,Accounts!$B:$B,"Customer",Accounts!$AS:$AS, "Construction",Accounts!$E:$E,"QBO")</f>
        <v/>
      </c>
      <c r="FS3" s="55">
        <f>SUMIFS(Accounts!$AG:$AG,Accounts!$B:$B,"Customer",Accounts!$AS:$AS, "Construction",Accounts!$E:$E,"QBO") + SUMIFS(Accounts!$AL:$AL,Accounts!$B:$B,"Customer",Accounts!$AS:$AS, "Construction",Accounts!$E:$E,"QBO")</f>
        <v/>
      </c>
      <c r="FT3" s="55">
        <f>SUMIFS(Accounts!$AQ:$AQ,Accounts!$B:$B,"Customer",Accounts!$AS:$AS, "Construction",Accounts!$E:$E,"QBO")</f>
        <v/>
      </c>
      <c r="FU3" s="55">
        <f>SUMIFS(Accounts!$AA:$AA,Accounts!$B:$B,"none",Accounts!$AS:$AS, "Construction",Accounts!$E:$E,"QBO") + SUMIFS(Accounts!$AH:$AH,Accounts!$B:$B,"none",Accounts!$AS:$AS, "Construction",Accounts!$E:$E,"QBO") + SUMIFS(Accounts!$AJ:$AJ,Accounts!$B:$B,"none",Accounts!$AS:$AS, "Construction",Accounts!$E:$E,"QBO") + SUMIFS(Accounts!$AI:$AI,Accounts!$B:$B,"none",Accounts!$AS:$AS, "Construction",Accounts!$E:$E,"QBO") + SUMIFS(Accounts!$AO:$AO,Accounts!$B:$B,"none",Accounts!$AS:$AS, "Construction",Accounts!$E:$E,"QBO")</f>
        <v/>
      </c>
      <c r="FV3" s="55">
        <f>(SUMIFS(Accounts!$AC:$AC,Accounts!$B:$B,"none",Accounts!$AS:$AS, "Construction",Accounts!$E:$E,"QBO")+SUMIFS(Accounts!$AF:$AF,Accounts!$B:$B,"none",Accounts!$AS:$AS, "Construction",Accounts!$E:$E,"QBO")+SUMIFS(Accounts!$AK:$AK,Accounts!$B:$B,"none",Accounts!$AS:$AS, "Construction",Accounts!$E:$E,"QBO"))</f>
        <v/>
      </c>
      <c r="FW3" s="55">
        <f>SUMIFS(Accounts!$AB:$AB,Accounts!$B:$B,"none",Accounts!$AS:$AS, "Construction",Accounts!$E:$E,"QBO")</f>
        <v/>
      </c>
      <c r="FX3" s="55">
        <f>SUMIFS(Accounts!$AD:$AD,Accounts!$B:$B,"none",Accounts!$AS:$AS, "Construction",Accounts!$E:$E,"QBO")+SUMIFS(Accounts!$AM:$AM,Accounts!$B:$B,"none",Accounts!$AS:$AS, "Construction",Accounts!$E:$E,"QBO")+SUMIFS(Accounts!$AN:$AN,Accounts!$B:$B,"none",Accounts!$AS:$AS, "Construction",Accounts!$E:$E,"QBO")</f>
        <v/>
      </c>
      <c r="FY3" s="39">
        <f>SUMIFS(Accounts!$AE:$AE,Accounts!$B:$B,"none",Accounts!$AS:$AS, "Construction",Accounts!$E:$E,"QBO") + SUMIFS(Accounts!$AP:$AP,Accounts!$B:$B,"none",Accounts!$AS:$AS, "Construction",Accounts!$E:$E,"QBO")</f>
        <v/>
      </c>
      <c r="FZ3" s="55">
        <f>SUMIFS(Accounts!$Z:$Z,Accounts!$B:$B,"none",Accounts!$AS:$AS, "Construction",Accounts!$E:$E,"QBO")</f>
        <v/>
      </c>
      <c r="GA3" s="39">
        <f>SUMIFS(Accounts!$AG:$AG,Accounts!$B:$B,"none",Accounts!$AS:$AS, "Construction",Accounts!$E:$E,"QBO") + SUMIFS(Accounts!$AL:$AL,Accounts!$B:$B,"none",Accounts!$AS:$AS, "Construction",Accounts!$E:$E,"QBO")</f>
        <v/>
      </c>
      <c r="GB3" s="55">
        <f>SUMIFS(Accounts!$AQ:$AQ,Accounts!$B:$B,"none",Accounts!$AS:$AS, "Construction",Accounts!$E:$E,"QBO")</f>
        <v/>
      </c>
      <c r="GC3" s="34">
        <f>((GC15+GC18)/((GC14*$C$2)+(0.5*GC17*$C$2)))*$C$2</f>
        <v/>
      </c>
      <c r="GD3" s="39">
        <f>COUNTIFS(Accounts!$AS:$AS, "Field Services",Accounts!$B:$B,"none",Accounts!$E:$E,"QBO")</f>
        <v/>
      </c>
      <c r="GE3" s="33">
        <f>COUNTIFS(Accounts!$AS:$AS, "Field Services",Accounts!$B:$B,"Customer",Accounts!$E:$E,"QBO")</f>
        <v/>
      </c>
      <c r="GF3" s="76">
        <f>SUMIFS(Accounts!$I:$I,Accounts!$AS:$AS, "Field Services",Accounts!$E:$E,"QBO")</f>
        <v/>
      </c>
      <c r="GG3" s="76">
        <f>SUMIFS(Accounts!$N:$N,Accounts!$AS:$AS, "Field Services",Accounts!$E:$E,"QBO")</f>
        <v/>
      </c>
      <c r="GH3" s="76">
        <f>GF3/(GE3+GC17)</f>
        <v/>
      </c>
      <c r="GI3" s="76">
        <f>(GF3+GG3)/(GE3+GC17)</f>
        <v/>
      </c>
      <c r="GJ3" s="76">
        <f>GC13*GH3</f>
        <v/>
      </c>
      <c r="GK3" s="76">
        <f>IFERROR(AVERAGEIFS(Accounts!$AY:$AY,Accounts!$AS:$AS,"Field Services",Accounts!$B:$B,"Customer",Accounts!$AY:$AY,"&gt;0",Accounts!$E:$E,"QBO"),0)</f>
        <v/>
      </c>
      <c r="GL3" s="33">
        <f>IFERROR(AVERAGEIFS(Accounts!$AX:$AX,Accounts!$AS:$AS, "Field Services",Accounts!$B:$B,"Customer",Accounts!$AX:$AX,"&gt;0",Accounts!$E:$E,"QBO"),0)</f>
        <v/>
      </c>
      <c r="GM3" s="76">
        <f>IFERROR(AVERAGEIFS(Accounts!$AY:$AY,Accounts!$AS:$AS, "Field Services",Accounts!$B:$B,"none",Accounts!$AY:$AY,"&gt;0",Accounts!$E:$E,"QBO"),0)</f>
        <v/>
      </c>
      <c r="GN3" s="33">
        <f>IFERROR(AVERAGEIFS(Accounts!$AX:$AX,Accounts!$AS:$AS, "Field Services",Accounts!$B:$B,"none",Accounts!$AX:$AX,"&gt;0",Accounts!$E:$E,"QBO"),0)</f>
        <v/>
      </c>
      <c r="GO3" s="55">
        <f>SUMIFS(Accounts!$AA:$AA,Accounts!$B:$B,"Customer",Accounts!$AS:$AS, "Field Services",Accounts!$E:$E,"QBO") + SUMIFS(Accounts!$AH:$AH,Accounts!$B:$B,"Customer",Accounts!$AS:$AS, "Field Services",Accounts!$E:$E,"QBO") + SUMIFS(Accounts!$AJ:$AJ,Accounts!$B:$B,"Customer",Accounts!$AS:$AS, "Field Services",Accounts!$E:$E,"QBO") + SUMIFS(Accounts!$AI:$AI,Accounts!$B:$B,"Customer",Accounts!$AS:$AS, "Field Services",Accounts!$E:$E,"QBO") + SUMIFS(Accounts!$AO:$AO,Accounts!$B:$B,"Customer",Accounts!$AS:$AS, "Field Services",Accounts!$E:$E,"QBO")</f>
        <v/>
      </c>
      <c r="GP3" s="55">
        <f>(SUMIFS(Accounts!$AC:$AC,Accounts!$B:$B,"Customer",Accounts!$AS:$AS, "Field Services",Accounts!$E:$E,"QBO")+SUMIFS(Accounts!$AF:$AF,Accounts!$B:$B,"Customer",Accounts!$AS:$AS, "Field Services",Accounts!$E:$E,"QBO")+SUMIFS(Accounts!$AK:$AK,Accounts!$B:$B,"Customer",Accounts!$AS:$AS, "Field Services",Accounts!$E:$E,"QBO"))</f>
        <v/>
      </c>
      <c r="GQ3" s="55">
        <f>SUMIFS(Accounts!$AB:$AB,Accounts!$B:$B,"Customer",Accounts!$AS:$AS, "Field Services",Accounts!$E:$E,"QBO")</f>
        <v/>
      </c>
      <c r="GR3" s="55">
        <f>SUMIFS(Accounts!$AD:$AD,Accounts!$B:$B,"Customer",Accounts!$AS:$AS, "Field Services",Accounts!$E:$E,"QBO")+SUMIFS(Accounts!$AM:$AM,Accounts!$B:$B,"Customer",Accounts!$AS:$AS, "Field Services",Accounts!$E:$E,"QBO")+SUMIFS(Accounts!$AN:$AN,Accounts!$B:$B,"Customer",Accounts!$AS:$AS, "Field Services",Accounts!$E:$E,"QBO")</f>
        <v/>
      </c>
      <c r="GS3" s="55">
        <f>SUMIFS(Accounts!$AE:$AE,Accounts!$B:$B,"Customer",Accounts!$AS:$AS, "Field Services",Accounts!$E:$E,"QBO") + SUMIFS(Accounts!$AP:$AP,Accounts!$B:$B,"Customer",Accounts!$AS:$AS, "Field Services",Accounts!$E:$E,"QBO")</f>
        <v/>
      </c>
      <c r="GT3" s="55">
        <f>SUMIFS(Accounts!$Z:$Z,Accounts!$B:$B,"Customer",Accounts!$AS:$AS, "Field Services",Accounts!$E:$E,"QBO")</f>
        <v/>
      </c>
      <c r="GU3" s="55">
        <f>SUMIFS(Accounts!$AG:$AG,Accounts!$B:$B,"Customer",Accounts!$AS:$AS, "Field Services",Accounts!$E:$E,"QBO") + SUMIFS(Accounts!$AL:$AL,Accounts!$B:$B,"Customer",Accounts!$AS:$AS, "Field Services",Accounts!$E:$E,"QBO")</f>
        <v/>
      </c>
      <c r="GV3" s="55">
        <f>SUMIFS(Accounts!$AQ:$AQ,Accounts!$B:$B,"Customer",Accounts!$AS:$AS, "Field Services",Accounts!$E:$E,"QBO")</f>
        <v/>
      </c>
      <c r="GW3" s="55">
        <f>SUMIFS(Accounts!$AA:$AA,Accounts!$B:$B,"none",Accounts!$AS:$AS, "Field Services",Accounts!$E:$E,"QBO") + SUMIFS(Accounts!$AH:$AH,Accounts!$B:$B,"none",Accounts!$AS:$AS, "Field Services",Accounts!$E:$E,"QBO") + SUMIFS(Accounts!$AJ:$AJ,Accounts!$B:$B,"none",Accounts!$AS:$AS, "Field Services",Accounts!$E:$E,"QBO") + SUMIFS(Accounts!$AI:$AI,Accounts!$B:$B,"none",Accounts!$AS:$AS, "Field Services",Accounts!$E:$E,"QBO") + SUMIFS(Accounts!$AO:$AO,Accounts!$B:$B,"none",Accounts!$AS:$AS, "Field Services",Accounts!$E:$E,"QBO")</f>
        <v/>
      </c>
      <c r="GX3" s="55">
        <f>(SUMIFS(Accounts!$AC:$AC,Accounts!$B:$B,"none",Accounts!$AS:$AS, "Field Services",Accounts!$E:$E,"QBO")+SUMIFS(Accounts!$AF:$AF,Accounts!$B:$B,"none",Accounts!$AS:$AS, "Field Services",Accounts!$E:$E,"QBO")+SUMIFS(Accounts!$AK:$AK,Accounts!$B:$B,"none",Accounts!$AS:$AS, "Field Services",Accounts!$E:$E,"QBO"))</f>
        <v/>
      </c>
      <c r="GY3" s="55">
        <f>SUMIFS(Accounts!$AB:$AB,Accounts!$B:$B,"none",Accounts!$AS:$AS, "Field Services",Accounts!$E:$E,"QBO")</f>
        <v/>
      </c>
      <c r="GZ3" s="55">
        <f>SUMIFS(Accounts!$AD:$AD,Accounts!$B:$B,"none",Accounts!$AS:$AS, "Field Services",Accounts!$E:$E,"QBO")+SUMIFS(Accounts!$AM:$AM,Accounts!$B:$B,"none",Accounts!$AS:$AS, "Field Services",Accounts!$E:$E,"QBO")+SUMIFS(Accounts!$AN:$AN,Accounts!$B:$B,"none",Accounts!$AS:$AS, "Field Services",Accounts!$E:$E,"QBO")</f>
        <v/>
      </c>
      <c r="HA3" s="39">
        <f>SUMIFS(Accounts!$AE:$AE,Accounts!$B:$B,"none",Accounts!$AS:$AS, "Field Services",Accounts!$E:$E,"QBO") + SUMIFS(Accounts!$AP:$AP,Accounts!$B:$B,"none",Accounts!$AS:$AS, "Field Services",Accounts!$E:$E,"QBO")</f>
        <v/>
      </c>
      <c r="HB3" s="55">
        <f>SUMIFS(Accounts!$Z:$Z,Accounts!$B:$B,"none",Accounts!$AS:$AS, "Field Services",Accounts!$E:$E,"QBO")</f>
        <v/>
      </c>
      <c r="HC3" s="39">
        <f>SUMIFS(Accounts!$AG:$AG,Accounts!$B:$B,"none",Accounts!$AS:$AS, "Field Services",Accounts!$E:$E,"QBO") + SUMIFS(Accounts!$AL:$AL,Accounts!$B:$B,"none",Accounts!$AS:$AS, "Field Services",Accounts!$E:$E,"QBO")</f>
        <v/>
      </c>
      <c r="HD3" s="55">
        <f>SUMIFS(Accounts!$AQ:$AQ,Accounts!$B:$B,"none",Accounts!$AS:$AS, "Field Services",Accounts!$E:$E,"QBO")</f>
        <v/>
      </c>
      <c r="HE3" s="34">
        <f>((HE15+HE18)/((HE14*$C$2)+(0.5*HE17*$C$2)))*$C$2</f>
        <v/>
      </c>
      <c r="HF3" s="39">
        <f>COUNTIFS(Accounts!$AS:$AS, "Consulting and Professional Services",Accounts!$B:$B,"none",Accounts!$E:$E,"QBO")</f>
        <v/>
      </c>
      <c r="HG3" s="33">
        <f>COUNTIFS(Accounts!$AS:$AS, "Consulting and Professional Services",Accounts!$B:$B,"Customer",Accounts!$E:$E,"QBO")</f>
        <v/>
      </c>
      <c r="HH3" s="76">
        <f>SUMIFS(Accounts!$I:$I,Accounts!$AS:$AS, "Consulting and Professional Services",Accounts!$E:$E,"QBO")</f>
        <v/>
      </c>
      <c r="HI3" s="76">
        <f>SUMIFS(Accounts!$N:$N,Accounts!$AS:$AS, "Consulting and Professional Services",Accounts!$E:$E,"QBO")</f>
        <v/>
      </c>
      <c r="HJ3" s="76">
        <f>HH3/(HG3+HE17)</f>
        <v/>
      </c>
      <c r="HK3" s="76">
        <f>(HH3+HI3)/(HG3+HE17)</f>
        <v/>
      </c>
      <c r="HL3" s="76">
        <f>HE13*HJ3</f>
        <v/>
      </c>
      <c r="HM3" s="76">
        <f>IFERROR(AVERAGEIFS(Accounts!$AY:$AY,Accounts!$AS:$AS,"Consulting and Professional Services",Accounts!$B:$B,"Customer",Accounts!$AY:$AY,"&gt;0",Accounts!$E:$E,"QBO"),0)</f>
        <v/>
      </c>
      <c r="HN3" s="33">
        <f>IFERROR(AVERAGEIFS(Accounts!$AX:$AX,Accounts!$AS:$AS, "Consulting and Professional Services",Accounts!$B:$B,"Customer",Accounts!$AX:$AX,"&gt;0",Accounts!$E:$E,"QBO"),0)</f>
        <v/>
      </c>
      <c r="HO3" s="76">
        <f>IFERROR(AVERAGEIFS(Accounts!$AY:$AY,Accounts!$AS:$AS, "Consulting and Professional Services",Accounts!$B:$B,"none",Accounts!$AY:$AY,"&gt;0",Accounts!$E:$E,"QBO"),0)</f>
        <v/>
      </c>
      <c r="HP3" s="33">
        <f>IFERROR(AVERAGEIFS(Accounts!$AX:$AX,Accounts!$AS:$AS, "Consulting and Professional Services",Accounts!$B:$B,"none",Accounts!$AX:$AX,"&gt;0",Accounts!$E:$E,"QBO"),0)</f>
        <v/>
      </c>
      <c r="HQ3" s="55">
        <f>SUMIFS(Accounts!$AA:$AA,Accounts!$B:$B,"Customer",Accounts!$AS:$AS, "Consulting and Professional Services",Accounts!$E:$E,"QBO") + SUMIFS(Accounts!$AH:$AH,Accounts!$B:$B,"Customer",Accounts!$AS:$AS, "Consulting and Professional Services",Accounts!$E:$E,"QBO") + SUMIFS(Accounts!$AJ:$AJ,Accounts!$B:$B,"Customer",Accounts!$AS:$AS, "Consulting and Professional Services",Accounts!$E:$E,"QBO") + SUMIFS(Accounts!$AI:$AI,Accounts!$B:$B,"Customer",Accounts!$AS:$AS, "Consulting and Professional Services",Accounts!$E:$E,"QBO") + SUMIFS(Accounts!$AO:$AO,Accounts!$B:$B,"Customer",Accounts!$AS:$AS, "Consulting and Professional Services",Accounts!$E:$E,"QBO")</f>
        <v/>
      </c>
      <c r="HR3" s="55">
        <f>(SUMIFS(Accounts!$AC:$AC,Accounts!$B:$B,"Customer",Accounts!$AS:$AS, "Consulting and Professional Services",Accounts!$E:$E,"QBO")+SUMIFS(Accounts!$AF:$AF,Accounts!$B:$B,"Customer",Accounts!$AS:$AS, "Consulting and Professional Services",Accounts!$E:$E,"QBO")+SUMIFS(Accounts!$AK:$AK,Accounts!$B:$B,"Customer",Accounts!$AS:$AS, "Consulting and Professional Services",Accounts!$E:$E,"QBO"))</f>
        <v/>
      </c>
      <c r="HS3" s="55">
        <f>SUMIFS(Accounts!$AB:$AB,Accounts!$B:$B,"Customer",Accounts!$AS:$AS, "Consulting and Professional Services",Accounts!$E:$E,"QBO")</f>
        <v/>
      </c>
      <c r="HT3" s="55">
        <f>SUMIFS(Accounts!$AD:$AD,Accounts!$B:$B,"Customer",Accounts!$AS:$AS, "Consulting and Professional Services",Accounts!$E:$E,"QBO")+SUMIFS(Accounts!$AM:$AM,Accounts!$B:$B,"Customer",Accounts!$AS:$AS, "Consulting and Professional Services",Accounts!$E:$E,"QBO")+SUMIFS(Accounts!$AN:$AN,Accounts!$B:$B,"Customer",Accounts!$AS:$AS, "Consulting and Professional Services",Accounts!$E:$E,"QBO")</f>
        <v/>
      </c>
      <c r="HU3" s="55">
        <f>SUMIFS(Accounts!$AE:$AE,Accounts!$B:$B,"Customer",Accounts!$AS:$AS, "Consulting and Professional Services",Accounts!$E:$E,"QBO") + SUMIFS(Accounts!$AP:$AP,Accounts!$B:$B,"Customer",Accounts!$AS:$AS, "Consulting and Professional Services",Accounts!$E:$E,"QBO")</f>
        <v/>
      </c>
      <c r="HV3" s="55">
        <f>SUMIFS(Accounts!$Z:$Z,Accounts!$B:$B,"Customer",Accounts!$AS:$AS, "Consulting and Professional Services",Accounts!$E:$E,"QBO")</f>
        <v/>
      </c>
      <c r="HW3" s="55">
        <f>SUMIFS(Accounts!$AG:$AG,Accounts!$B:$B,"Customer",Accounts!$AS:$AS, "Consulting and Professional Services",Accounts!$E:$E,"QBO") + SUMIFS(Accounts!$AL:$AL,Accounts!$B:$B,"Customer",Accounts!$AS:$AS, "Consulting and Professional Services",Accounts!$E:$E,"QBO")</f>
        <v/>
      </c>
      <c r="HX3" s="55">
        <f>SUMIFS(Accounts!$AQ:$AQ,Accounts!$B:$B,"Customer",Accounts!$AS:$AS, "Consulting and Professional Services",Accounts!$E:$E,"QBO")</f>
        <v/>
      </c>
      <c r="HY3" s="55">
        <f>SUMIFS(Accounts!$AA:$AA,Accounts!$B:$B,"none",Accounts!$AS:$AS, "Consulting and Professional Services",Accounts!$E:$E,"QBO") + SUMIFS(Accounts!$AH:$AH,Accounts!$B:$B,"none",Accounts!$AS:$AS, "Consulting and Professional Services",Accounts!$E:$E,"QBO") + SUMIFS(Accounts!$AJ:$AJ,Accounts!$B:$B,"none",Accounts!$AS:$AS, "Consulting and Professional Services",Accounts!$E:$E,"QBO") + SUMIFS(Accounts!$AI:$AI,Accounts!$B:$B,"none",Accounts!$AS:$AS, "Consulting and Professional Services",Accounts!$E:$E,"QBO") + SUMIFS(Accounts!$AO:$AO,Accounts!$B:$B,"none",Accounts!$AS:$AS, "Consulting and Professional Services",Accounts!$E:$E,"QBO")</f>
        <v/>
      </c>
      <c r="HZ3" s="55">
        <f>(SUMIFS(Accounts!$AC:$AC,Accounts!$B:$B,"none",Accounts!$AS:$AS, "Consulting and Professional Services",Accounts!$E:$E,"QBO")+SUMIFS(Accounts!$AF:$AF,Accounts!$B:$B,"none",Accounts!$AS:$AS, "Consulting and Professional Services",Accounts!$E:$E,"QBO")+SUMIFS(Accounts!$AK:$AK,Accounts!$B:$B,"none",Accounts!$AS:$AS, "Consulting and Professional Services",Accounts!$E:$E,"QBO"))</f>
        <v/>
      </c>
      <c r="IA3" s="55">
        <f>SUMIFS(Accounts!$AB:$AB,Accounts!$B:$B,"none",Accounts!$AS:$AS, "Consulting and Professional Services",Accounts!$E:$E,"QBO")</f>
        <v/>
      </c>
      <c r="IB3" s="55">
        <f>SUMIFS(Accounts!$AD:$AD,Accounts!$B:$B,"none",Accounts!$AS:$AS, "Consulting and Professional Services",Accounts!$E:$E,"QBO")+SUMIFS(Accounts!$AM:$AM,Accounts!$B:$B,"none",Accounts!$AS:$AS, "Consulting and Professional Services",Accounts!$E:$E,"QBO")+SUMIFS(Accounts!$AN:$AN,Accounts!$B:$B,"none",Accounts!$AS:$AS, "Consulting and Professional Services",Accounts!$E:$E,"QBO")</f>
        <v/>
      </c>
      <c r="IC3" s="39">
        <f>SUMIFS(Accounts!$AE:$AE,Accounts!$B:$B,"none",Accounts!$AS:$AS, "Consulting and Professional Services",Accounts!$E:$E,"QBO") + SUMIFS(Accounts!$AP:$AP,Accounts!$B:$B,"none",Accounts!$AS:$AS, "Consulting and Professional Services",Accounts!$E:$E,"QBO")</f>
        <v/>
      </c>
      <c r="ID3" s="55">
        <f>SUMIFS(Accounts!$Z:$Z,Accounts!$B:$B,"none",Accounts!$AS:$AS, "Consulting and Professional Services",Accounts!$E:$E,"QBO")</f>
        <v/>
      </c>
      <c r="IE3" s="39">
        <f>SUMIFS(Accounts!$AG:$AG,Accounts!$B:$B,"none",Accounts!$AS:$AS, "Consulting and Professional Services",Accounts!$E:$E,"QBO") + SUMIFS(Accounts!$AL:$AL,Accounts!$B:$B,"none",Accounts!$AS:$AS, "Consulting and Professional Services",Accounts!$E:$E,"QBO")</f>
        <v/>
      </c>
      <c r="IF3" s="55">
        <f>SUMIFS(Accounts!$AQ:$AQ,Accounts!$B:$B,"none",Accounts!$AS:$AS, "Consulting and Professional Services",Accounts!$E:$E,"QBO")</f>
        <v/>
      </c>
      <c r="IG3" s="34">
        <f>((IG15+IG18)/((IG14*$C$2)+(0.5*IG17*$C$2)))*$C$2</f>
        <v/>
      </c>
      <c r="IH3" s="39">
        <f>COUNTIFS(Accounts!$AS:$AS, "Retail",Accounts!$B:$B,"none",Accounts!$E:$E,"QBO")</f>
        <v/>
      </c>
      <c r="II3" s="33">
        <f>COUNTIFS(Accounts!$AS:$AS, "Retail",Accounts!$B:$B,"Customer",Accounts!$E:$E,"QBO")</f>
        <v/>
      </c>
      <c r="IJ3" s="76">
        <f>SUMIFS(Accounts!$I:$I,Accounts!$AS:$AS, "Retail",Accounts!$E:$E,"QBO")</f>
        <v/>
      </c>
      <c r="IK3" s="76">
        <f>SUMIFS(Accounts!$N:$N,Accounts!$AS:$AS, "Retail",Accounts!$E:$E,"QBO")</f>
        <v/>
      </c>
      <c r="IL3" s="76">
        <f>IJ3/(II3+IG17)</f>
        <v/>
      </c>
      <c r="IM3" s="76">
        <f>(IJ3+IK3)/(II3+IG17)</f>
        <v/>
      </c>
      <c r="IN3" s="76">
        <f>IG13*IL3</f>
        <v/>
      </c>
      <c r="IO3" s="76">
        <f>IFERROR(AVERAGEIFS(Accounts!$AY:$AY,Accounts!$AS:$AS,"Retail",Accounts!$B:$B,"Customer",Accounts!$AY:$AY,"&gt;0",Accounts!$E:$E,"QBO"),0)</f>
        <v/>
      </c>
      <c r="IP3" s="33">
        <f>IFERROR(AVERAGEIFS(Accounts!$AX:$AX,Accounts!$AS:$AS, "Retail",Accounts!$B:$B,"Customer",Accounts!$AX:$AX,"&gt;0",Accounts!$E:$E,"QBO"),0)</f>
        <v/>
      </c>
      <c r="IQ3" s="76">
        <f>IFERROR(AVERAGEIFS(Accounts!$AY:$AY,Accounts!$AS:$AS, "Retail",Accounts!$B:$B,"none",Accounts!$AY:$AY,"&gt;0",Accounts!$E:$E,"QBO"),0)</f>
        <v/>
      </c>
      <c r="IR3" s="33">
        <f>IFERROR(AVERAGEIFS(Accounts!$AX:$AX,Accounts!$AS:$AS, "Retail",Accounts!$B:$B,"none",Accounts!$AX:$AX,"&gt;0",Accounts!$E:$E,"QBO"),0)</f>
        <v/>
      </c>
      <c r="IS3" s="55">
        <f>SUMIFS(Accounts!$AA:$AA,Accounts!$B:$B,"Customer",Accounts!$AS:$AS, "Retail",Accounts!$E:$E,"QBO") + SUMIFS(Accounts!$AH:$AH,Accounts!$B:$B,"Customer",Accounts!$AS:$AS, "Retail",Accounts!$E:$E,"QBO") + SUMIFS(Accounts!$AJ:$AJ,Accounts!$B:$B,"Customer",Accounts!$AS:$AS, "Retail",Accounts!$E:$E,"QBO") + SUMIFS(Accounts!$AI:$AI,Accounts!$B:$B,"Customer",Accounts!$AS:$AS, "Retail",Accounts!$E:$E,"QBO") + SUMIFS(Accounts!$AO:$AO,Accounts!$B:$B,"Customer",Accounts!$AS:$AS, "Retail",Accounts!$E:$E,"QBO")</f>
        <v/>
      </c>
      <c r="IT3" s="55">
        <f>(SUMIFS(Accounts!$AC:$AC,Accounts!$B:$B,"Customer",Accounts!$AS:$AS, "Retail",Accounts!$E:$E,"QBO")+SUMIFS(Accounts!$AF:$AF,Accounts!$B:$B,"Customer",Accounts!$AS:$AS, "Retail",Accounts!$E:$E,"QBO")+SUMIFS(Accounts!$AK:$AK,Accounts!$B:$B,"Customer",Accounts!$AS:$AS, "Retail",Accounts!$E:$E,"QBO"))</f>
        <v/>
      </c>
      <c r="IU3" s="55">
        <f>SUMIFS(Accounts!$AB:$AB,Accounts!$B:$B,"Customer",Accounts!$AS:$AS, "Retail",Accounts!$E:$E,"QBO")</f>
        <v/>
      </c>
      <c r="IV3" s="55">
        <f>SUMIFS(Accounts!$AD:$AD,Accounts!$B:$B,"Customer",Accounts!$AS:$AS, "Retail",Accounts!$E:$E,"QBO")+SUMIFS(Accounts!$AM:$AM,Accounts!$B:$B,"Customer",Accounts!$AS:$AS, "Retail",Accounts!$E:$E,"QBO")+SUMIFS(Accounts!$AN:$AN,Accounts!$B:$B,"Customer",Accounts!$AS:$AS, "Retail",Accounts!$E:$E,"QBO")</f>
        <v/>
      </c>
      <c r="IW3" s="55">
        <f>SUMIFS(Accounts!$AE:$AE,Accounts!$B:$B,"Customer",Accounts!$AS:$AS, "Retail",Accounts!$E:$E,"QBO") + SUMIFS(Accounts!$AP:$AP,Accounts!$B:$B,"Customer",Accounts!$AS:$AS, "Retail",Accounts!$E:$E,"QBO")</f>
        <v/>
      </c>
      <c r="IX3" s="55">
        <f>SUMIFS(Accounts!$Z:$Z,Accounts!$B:$B,"Customer",Accounts!$AS:$AS, "Retail",Accounts!$E:$E,"QBO")</f>
        <v/>
      </c>
      <c r="IY3" s="55">
        <f>SUMIFS(Accounts!$AG:$AG,Accounts!$B:$B,"Customer",Accounts!$AS:$AS, "Retail",Accounts!$E:$E,"QBO") + SUMIFS(Accounts!$AL:$AL,Accounts!$B:$B,"Customer",Accounts!$AS:$AS, "Retail",Accounts!$E:$E,"QBO")</f>
        <v/>
      </c>
      <c r="IZ3" s="55">
        <f>SUMIFS(Accounts!$AQ:$AQ,Accounts!$B:$B,"Customer",Accounts!$AS:$AS, "Retail",Accounts!$E:$E,"QBO")</f>
        <v/>
      </c>
      <c r="JA3" s="55">
        <f>SUMIFS(Accounts!$AA:$AA,Accounts!$B:$B,"none",Accounts!$AS:$AS, "Retail",Accounts!$E:$E,"QBO") + SUMIFS(Accounts!$AH:$AH,Accounts!$B:$B,"none",Accounts!$AS:$AS, "Retail",Accounts!$E:$E,"QBO") + SUMIFS(Accounts!$AJ:$AJ,Accounts!$B:$B,"none",Accounts!$AS:$AS, "Retail",Accounts!$E:$E,"QBO") + SUMIFS(Accounts!$AI:$AI,Accounts!$B:$B,"none",Accounts!$AS:$AS, "Retail",Accounts!$E:$E,"QBO") + SUMIFS(Accounts!$AO:$AO,Accounts!$B:$B,"none",Accounts!$AS:$AS, "Retail",Accounts!$E:$E,"QBO")</f>
        <v/>
      </c>
      <c r="JB3" s="55">
        <f>(SUMIFS(Accounts!$AC:$AC,Accounts!$B:$B,"none",Accounts!$AS:$AS, "Retail",Accounts!$E:$E,"QBO")+SUMIFS(Accounts!$AF:$AF,Accounts!$B:$B,"none",Accounts!$AS:$AS, "Retail",Accounts!$E:$E,"QBO")+SUMIFS(Accounts!$AK:$AK,Accounts!$B:$B,"none",Accounts!$AS:$AS, "Retail",Accounts!$E:$E,"QBO"))</f>
        <v/>
      </c>
      <c r="JC3" s="55">
        <f>SUMIFS(Accounts!$AB:$AB,Accounts!$B:$B,"none",Accounts!$AS:$AS, "Retail",Accounts!$E:$E,"QBO")</f>
        <v/>
      </c>
      <c r="JD3" s="55">
        <f>SUMIFS(Accounts!$AD:$AD,Accounts!$B:$B,"none",Accounts!$AS:$AS, "Retail",Accounts!$E:$E,"QBO")+SUMIFS(Accounts!$AM:$AM,Accounts!$B:$B,"none",Accounts!$AS:$AS, "Retail",Accounts!$E:$E,"QBO")+SUMIFS(Accounts!$AN:$AN,Accounts!$B:$B,"none",Accounts!$AS:$AS, "Retail",Accounts!$E:$E,"QBO")</f>
        <v/>
      </c>
      <c r="JE3" s="39">
        <f>SUMIFS(Accounts!$AE:$AE,Accounts!$B:$B,"none",Accounts!$AS:$AS, "Retail",Accounts!$E:$E,"QBO") + SUMIFS(Accounts!$AP:$AP,Accounts!$B:$B,"none",Accounts!$AS:$AS, "Retail",Accounts!$E:$E,"QBO")</f>
        <v/>
      </c>
      <c r="JF3" s="55">
        <f>SUMIFS(Accounts!$Z:$Z,Accounts!$B:$B,"none",Accounts!$AS:$AS, "Retail",Accounts!$E:$E,"QBO")</f>
        <v/>
      </c>
      <c r="JG3" s="39">
        <f>SUMIFS(Accounts!$AG:$AG,Accounts!$B:$B,"none",Accounts!$AS:$AS, "Retail",Accounts!$E:$E,"QBO") + SUMIFS(Accounts!$AL:$AL,Accounts!$B:$B,"none",Accounts!$AS:$AS, "Retail",Accounts!$E:$E,"QBO")</f>
        <v/>
      </c>
      <c r="JH3" s="55">
        <f>SUMIFS(Accounts!$AQ:$AQ,Accounts!$B:$B,"none",Accounts!$AS:$AS, "Retail",Accounts!$E:$E,"QBO")</f>
        <v/>
      </c>
      <c r="JI3" s="34">
        <f>((JI15+JI18)/((JI14*$C$2)+(0.5*JI17*$C$2)))*$C$2</f>
        <v/>
      </c>
      <c r="JJ3" s="39">
        <f>COUNTIFS(Accounts!$AS:$AS, "Non-profit, govt or religious organization",Accounts!$B:$B,"none",Accounts!$E:$E,"QBO")</f>
        <v/>
      </c>
      <c r="JK3" s="33">
        <f>COUNTIFS(Accounts!$AS:$AS, "Non-profit, govt or religious organization",Accounts!$B:$B,"Customer",Accounts!$E:$E,"QBO")</f>
        <v/>
      </c>
      <c r="JL3" s="76">
        <f>SUMIFS(Accounts!$I:$I,Accounts!$AS:$AS, "Non-profit, govt or religious organization",Accounts!$E:$E,"QBO")</f>
        <v/>
      </c>
      <c r="JM3" s="76">
        <f>SUMIFS(Accounts!$N:$N,Accounts!$AS:$AS, "Non-profit, govt or religious organization",Accounts!$E:$E,"QBO")</f>
        <v/>
      </c>
      <c r="JN3" s="76">
        <f>JL3/(JK3+JI17)</f>
        <v/>
      </c>
      <c r="JO3" s="76">
        <f>(JL3+JM3)/(JK3+JI17)</f>
        <v/>
      </c>
      <c r="JP3" s="76">
        <f>JI13*JN3</f>
        <v/>
      </c>
      <c r="JQ3" s="76">
        <f>IFERROR(AVERAGEIFS(Accounts!$AY:$AY,Accounts!$AS:$AS,"Non-profit, govt or religious organization",Accounts!$B:$B,"Customer",Accounts!$AY:$AY,"&gt;0",Accounts!$E:$E,"QBO"),0)</f>
        <v/>
      </c>
      <c r="JR3" s="33">
        <f>IFERROR(AVERAGEIFS(Accounts!$AX:$AX,Accounts!$AS:$AS, "Non-profit, govt or religious organization",Accounts!$B:$B,"Customer",Accounts!$AX:$AX,"&gt;0",Accounts!$E:$E,"QBO"),0)</f>
        <v/>
      </c>
      <c r="JS3" s="76">
        <f>IFERROR(AVERAGEIFS(Accounts!$AY:$AY,Accounts!$AS:$AS, "Non-profit, govt or religious organization",Accounts!$B:$B,"none",Accounts!$AY:$AY,"&gt;0",Accounts!$E:$E,"QBO"),0)</f>
        <v/>
      </c>
      <c r="JT3" s="33">
        <f>IFERROR(AVERAGEIFS(Accounts!$AX:$AX,Accounts!$AS:$AS, "Non-profit, govt or religious organization",Accounts!$B:$B,"none",Accounts!$AX:$AX,"&gt;0",Accounts!$E:$E,"QBO"),0)</f>
        <v/>
      </c>
      <c r="JU3" s="55">
        <f>SUMIFS(Accounts!$AA:$AA,Accounts!$B:$B,"Customer",Accounts!$AS:$AS, "Non-profit, govt or religious organization",Accounts!$E:$E,"QBO") + SUMIFS(Accounts!$AH:$AH,Accounts!$B:$B,"Customer",Accounts!$AS:$AS, "Non-profit, govt or religious organization",Accounts!$E:$E,"QBO") + SUMIFS(Accounts!$AJ:$AJ,Accounts!$B:$B,"Customer",Accounts!$AS:$AS, "Non-profit, govt or religious organization",Accounts!$E:$E,"QBO") + SUMIFS(Accounts!$AI:$AI,Accounts!$B:$B,"Customer",Accounts!$AS:$AS, "Non-profit, govt or religious organization",Accounts!$E:$E,"QBO") + SUMIFS(Accounts!$AO:$AO,Accounts!$B:$B,"Customer",Accounts!$AS:$AS, "Non-profit, govt or religious organization",Accounts!$E:$E,"QBO")</f>
        <v/>
      </c>
      <c r="JV3" s="55">
        <f>(SUMIFS(Accounts!$AC:$AC,Accounts!$B:$B,"Customer",Accounts!$AS:$AS, "Non-profit, govt or religious organization",Accounts!$E:$E,"QBO")+SUMIFS(Accounts!$AF:$AF,Accounts!$B:$B,"Customer",Accounts!$AS:$AS, "Non-profit, govt or religious organization",Accounts!$E:$E,"QBO")+SUMIFS(Accounts!$AK:$AK,Accounts!$B:$B,"Customer",Accounts!$AS:$AS, "Non-profit, govt or religious organization",Accounts!$E:$E,"QBO"))</f>
        <v/>
      </c>
      <c r="JW3" s="55">
        <f>SUMIFS(Accounts!$AB:$AB,Accounts!$B:$B,"Customer",Accounts!$AS:$AS, "Non-profit, govt or religious organization",Accounts!$E:$E,"QBO")</f>
        <v/>
      </c>
      <c r="JX3" s="55">
        <f>SUMIFS(Accounts!$AD:$AD,Accounts!$B:$B,"Customer",Accounts!$AS:$AS, "Non-profit, govt or religious organization",Accounts!$E:$E,"QBO")+SUMIFS(Accounts!$AM:$AM,Accounts!$B:$B,"Customer",Accounts!$AS:$AS, "Non-profit, govt or religious organization",Accounts!$E:$E,"QBO")+SUMIFS(Accounts!$AN:$AN,Accounts!$B:$B,"Customer",Accounts!$AS:$AS, "Non-profit, govt or religious organization",Accounts!$E:$E,"QBO")</f>
        <v/>
      </c>
      <c r="JY3" s="55">
        <f>SUMIFS(Accounts!$AE:$AE,Accounts!$B:$B,"Customer",Accounts!$AS:$AS, "Non-profit, govt or religious organization",Accounts!$E:$E,"QBO") + SUMIFS(Accounts!$AP:$AP,Accounts!$B:$B,"Customer",Accounts!$AS:$AS, "Non-profit, govt or religious organization",Accounts!$E:$E,"QBO")</f>
        <v/>
      </c>
      <c r="JZ3" s="55">
        <f>SUMIFS(Accounts!$Z:$Z,Accounts!$B:$B,"Customer",Accounts!$AS:$AS, "Non-profit, govt or religious organization",Accounts!$E:$E,"QBO")</f>
        <v/>
      </c>
      <c r="KA3" s="55">
        <f>SUMIFS(Accounts!$AG:$AG,Accounts!$B:$B,"Customer",Accounts!$AS:$AS, "Non-profit, govt or religious organization",Accounts!$E:$E,"QBO") + SUMIFS(Accounts!$AL:$AL,Accounts!$B:$B,"Customer",Accounts!$AS:$AS, "Non-profit, govt or religious organization",Accounts!$E:$E,"QBO")</f>
        <v/>
      </c>
      <c r="KB3" s="55">
        <f>SUMIFS(Accounts!$AQ:$AQ,Accounts!$B:$B,"Customer",Accounts!$AS:$AS, "Non-profit, govt or religious organization",Accounts!$E:$E,"QBO")</f>
        <v/>
      </c>
      <c r="KC3" s="55">
        <f>SUMIFS(Accounts!$AA:$AA,Accounts!$B:$B,"none",Accounts!$AS:$AS, "Non-profit, govt or religious organization",Accounts!$E:$E,"QBO") + SUMIFS(Accounts!$AH:$AH,Accounts!$B:$B,"none",Accounts!$AS:$AS, "Non-profit, govt or religious organization",Accounts!$E:$E,"QBO") + SUMIFS(Accounts!$AJ:$AJ,Accounts!$B:$B,"none",Accounts!$AS:$AS, "Non-profit, govt or religious organization",Accounts!$E:$E,"QBO") + SUMIFS(Accounts!$AI:$AI,Accounts!$B:$B,"none",Accounts!$AS:$AS, "Non-profit, govt or religious organization",Accounts!$E:$E,"QBO") + SUMIFS(Accounts!$AO:$AO,Accounts!$B:$B,"none",Accounts!$AS:$AS, "Non-profit, govt or religious organization",Accounts!$E:$E,"QBO")</f>
        <v/>
      </c>
      <c r="KD3" s="55">
        <f>(SUMIFS(Accounts!$AC:$AC,Accounts!$B:$B,"none",Accounts!$AS:$AS, "Non-profit, govt or religious organization",Accounts!$E:$E,"QBO")+SUMIFS(Accounts!$AF:$AF,Accounts!$B:$B,"none",Accounts!$AS:$AS, "Non-profit, govt or religious organization",Accounts!$E:$E,"QBO")+SUMIFS(Accounts!$AK:$AK,Accounts!$B:$B,"none",Accounts!$AS:$AS, "Non-profit, govt or religious organization",Accounts!$E:$E,"QBO"))</f>
        <v/>
      </c>
      <c r="KE3" s="55">
        <f>SUMIFS(Accounts!$AB:$AB,Accounts!$B:$B,"none",Accounts!$AS:$AS, "Non-profit, govt or religious organization",Accounts!$E:$E,"QBO")</f>
        <v/>
      </c>
      <c r="KF3" s="55">
        <f>SUMIFS(Accounts!$AD:$AD,Accounts!$B:$B,"none",Accounts!$AS:$AS, "Non-profit, govt or religious organization",Accounts!$E:$E,"QBO")+SUMIFS(Accounts!$AM:$AM,Accounts!$B:$B,"none",Accounts!$AS:$AS, "Non-profit, govt or religious organization",Accounts!$E:$E,"QBO")+SUMIFS(Accounts!$AN:$AN,Accounts!$B:$B,"none",Accounts!$AS:$AS, "Non-profit, govt or religious organization",Accounts!$E:$E,"QBO")</f>
        <v/>
      </c>
      <c r="KG3" s="39">
        <f>SUMIFS(Accounts!$AE:$AE,Accounts!$B:$B,"none",Accounts!$AS:$AS, "Non-profit, govt or religious organization",Accounts!$E:$E,"QBO") + SUMIFS(Accounts!$AP:$AP,Accounts!$B:$B,"none",Accounts!$AS:$AS, "Non-profit, govt or religious organization",Accounts!$E:$E,"QBO")</f>
        <v/>
      </c>
      <c r="KH3" s="55">
        <f>SUMIFS(Accounts!$Z:$Z,Accounts!$B:$B,"none",Accounts!$AS:$AS, "Non-profit, govt or religious organization",Accounts!$E:$E,"QBO")</f>
        <v/>
      </c>
      <c r="KI3" s="39">
        <f>SUMIFS(Accounts!$AG:$AG,Accounts!$B:$B,"none",Accounts!$AS:$AS, "Non-profit, govt or religious organization",Accounts!$E:$E,"QBO") + SUMIFS(Accounts!$AL:$AL,Accounts!$B:$B,"none",Accounts!$AS:$AS, "Non-profit, govt or religious organization",Accounts!$E:$E,"QBO")</f>
        <v/>
      </c>
      <c r="KJ3" s="55">
        <f>SUMIFS(Accounts!$AQ:$AQ,Accounts!$B:$B,"none",Accounts!$AS:$AS, "Non-profit, govt or religious organization",Accounts!$E:$E,"QBO")</f>
        <v/>
      </c>
      <c r="KK3" s="34">
        <f>((KK15+KK18)/((KK14*$C$2)+(0.5*KK17*$C$2)))*$C$2</f>
        <v/>
      </c>
      <c r="KL3" s="39">
        <f>COUNTIFS(Accounts!$AS:$AS, "Communications, Entertainment and Media",Accounts!$B:$B,"none",Accounts!$E:$E,"QBO")</f>
        <v/>
      </c>
      <c r="KM3" s="33">
        <f>COUNTIFS(Accounts!$AS:$AS, "Communications, Entertainment and Media",Accounts!$B:$B,"Customer",Accounts!$E:$E,"QBO")</f>
        <v/>
      </c>
      <c r="KN3" s="76">
        <f>SUMIFS(Accounts!$I:$I,Accounts!$AS:$AS, "Communications, Entertainment and Media",Accounts!$E:$E,"QBO")</f>
        <v/>
      </c>
      <c r="KO3" s="76">
        <f>SUMIFS(Accounts!$N:$N,Accounts!$AS:$AS, "Communications, Entertainment and Media",Accounts!$E:$E,"QBO")</f>
        <v/>
      </c>
      <c r="KP3" s="76">
        <f>KN3/(KM3+KK17)</f>
        <v/>
      </c>
      <c r="KQ3" s="76">
        <f>(KN3+KO3)/(KM3+KK17)</f>
        <v/>
      </c>
      <c r="KR3" s="76">
        <f>KK13*KP3</f>
        <v/>
      </c>
      <c r="KS3" s="76">
        <f>IFERROR(AVERAGEIFS(Accounts!$AY:$AY,Accounts!$AS:$AS,"Communications, Entertainment and Media",Accounts!$B:$B,"Customer",Accounts!$AY:$AY,"&gt;0",Accounts!$E:$E,"QBO"),0)</f>
        <v/>
      </c>
      <c r="KT3" s="33">
        <f>IFERROR(AVERAGEIFS(Accounts!$AX:$AX,Accounts!$AS:$AS, "Communications, Entertainment and Media",Accounts!$B:$B,"Customer",Accounts!$AX:$AX,"&gt;0",Accounts!$E:$E,"QBO"),0)</f>
        <v/>
      </c>
      <c r="KU3" s="76">
        <f>IFERROR(AVERAGEIFS(Accounts!$AY:$AY,Accounts!$AS:$AS, "Communications, Entertainment and Media",Accounts!$B:$B,"none",Accounts!$AY:$AY,"&gt;0",Accounts!$E:$E,"QBO"),0)</f>
        <v/>
      </c>
      <c r="KV3" s="33">
        <f>IFERROR(AVERAGEIFS(Accounts!$AX:$AX,Accounts!$AS:$AS, "Communications, Entertainment and Media",Accounts!$B:$B,"none",Accounts!$AX:$AX,"&gt;0",Accounts!$E:$E,"QBO"),0)</f>
        <v/>
      </c>
      <c r="KW3" s="55">
        <f>SUMIFS(Accounts!$AA:$AA,Accounts!$B:$B,"Customer",Accounts!$AS:$AS, "Communications, Entertainment and Media",Accounts!$E:$E,"QBO") + SUMIFS(Accounts!$AH:$AH,Accounts!$B:$B,"Customer",Accounts!$AS:$AS, "Communications, Entertainment and Media",Accounts!$E:$E,"QBO") + SUMIFS(Accounts!$AJ:$AJ,Accounts!$B:$B,"Customer",Accounts!$AS:$AS, "Communications, Entertainment and Media",Accounts!$E:$E,"QBO") + SUMIFS(Accounts!$AI:$AI,Accounts!$B:$B,"Customer",Accounts!$AS:$AS, "Communications, Entertainment and Media",Accounts!$E:$E,"QBO") + SUMIFS(Accounts!$AO:$AO,Accounts!$B:$B,"Customer",Accounts!$AS:$AS, "Communications, Entertainment and Media",Accounts!$E:$E,"QBO")</f>
        <v/>
      </c>
      <c r="KX3" s="55">
        <f>(SUMIFS(Accounts!$AC:$AC,Accounts!$B:$B,"Customer",Accounts!$AS:$AS, "Communications, Entertainment and Media",Accounts!$E:$E,"QBO")+SUMIFS(Accounts!$AF:$AF,Accounts!$B:$B,"Customer",Accounts!$AS:$AS, "Communications, Entertainment and Media",Accounts!$E:$E,"QBO")+SUMIFS(Accounts!$AK:$AK,Accounts!$B:$B,"Customer",Accounts!$AS:$AS, "Communications, Entertainment and Media",Accounts!$E:$E,"QBO"))</f>
        <v/>
      </c>
      <c r="KY3" s="55">
        <f>SUMIFS(Accounts!$AB:$AB,Accounts!$B:$B,"Customer",Accounts!$AS:$AS, "Communications, Entertainment and Media",Accounts!$E:$E,"QBO")</f>
        <v/>
      </c>
      <c r="KZ3" s="55">
        <f>SUMIFS(Accounts!$AD:$AD,Accounts!$B:$B,"Customer",Accounts!$AS:$AS, "Communications, Entertainment and Media",Accounts!$E:$E,"QBO")+SUMIFS(Accounts!$AM:$AM,Accounts!$B:$B,"Customer",Accounts!$AS:$AS, "Communications, Entertainment and Media",Accounts!$E:$E,"QBO")+SUMIFS(Accounts!$AN:$AN,Accounts!$B:$B,"Customer",Accounts!$AS:$AS, "Communications, Entertainment and Media",Accounts!$E:$E,"QBO")</f>
        <v/>
      </c>
      <c r="LA3" s="55">
        <f>SUMIFS(Accounts!$AE:$AE,Accounts!$B:$B,"Customer",Accounts!$AS:$AS, "Communications, Entertainment and Media",Accounts!$E:$E,"QBO") + SUMIFS(Accounts!$AP:$AP,Accounts!$B:$B,"Customer",Accounts!$AS:$AS, "Communications, Entertainment and Media",Accounts!$E:$E,"QBO")</f>
        <v/>
      </c>
      <c r="LB3" s="55">
        <f>SUMIFS(Accounts!$Z:$Z,Accounts!$B:$B,"Customer",Accounts!$AS:$AS, "Communications, Entertainment and Media",Accounts!$E:$E,"QBO")</f>
        <v/>
      </c>
      <c r="LC3" s="55">
        <f>SUMIFS(Accounts!$AG:$AG,Accounts!$B:$B,"Customer",Accounts!$AS:$AS, "Communications, Entertainment and Media",Accounts!$E:$E,"QBO") + SUMIFS(Accounts!$AL:$AL,Accounts!$B:$B,"Customer",Accounts!$AS:$AS, "Communications, Entertainment and Media",Accounts!$E:$E,"QBO")</f>
        <v/>
      </c>
      <c r="LD3" s="55">
        <f>SUMIFS(Accounts!$AQ:$AQ,Accounts!$B:$B,"Customer",Accounts!$AS:$AS, "Communications, Entertainment and Media",Accounts!$E:$E,"QBO")</f>
        <v/>
      </c>
      <c r="LE3" s="55">
        <f>SUMIFS(Accounts!$AA:$AA,Accounts!$B:$B,"none",Accounts!$AS:$AS, "Communications, Entertainment and Media",Accounts!$E:$E,"QBO") + SUMIFS(Accounts!$AH:$AH,Accounts!$B:$B,"none",Accounts!$AS:$AS, "Communications, Entertainment and Media",Accounts!$E:$E,"QBO") + SUMIFS(Accounts!$AJ:$AJ,Accounts!$B:$B,"none",Accounts!$AS:$AS, "Communications, Entertainment and Media",Accounts!$E:$E,"QBO") + SUMIFS(Accounts!$AI:$AI,Accounts!$B:$B,"none",Accounts!$AS:$AS, "Communications, Entertainment and Media",Accounts!$E:$E,"QBO") + SUMIFS(Accounts!$AO:$AO,Accounts!$B:$B,"none",Accounts!$AS:$AS, "Communications, Entertainment and Media",Accounts!$E:$E,"QBO")</f>
        <v/>
      </c>
      <c r="LF3" s="55">
        <f>(SUMIFS(Accounts!$AC:$AC,Accounts!$B:$B,"none",Accounts!$AS:$AS, "Communications, Entertainment and Media",Accounts!$E:$E,"QBO")+SUMIFS(Accounts!$AF:$AF,Accounts!$B:$B,"none",Accounts!$AS:$AS, "Communications, Entertainment and Media",Accounts!$E:$E,"QBO")+SUMIFS(Accounts!$AK:$AK,Accounts!$B:$B,"none",Accounts!$AS:$AS, "Communications, Entertainment and Media",Accounts!$E:$E,"QBO"))</f>
        <v/>
      </c>
      <c r="LG3" s="55">
        <f>SUMIFS(Accounts!$AB:$AB,Accounts!$B:$B,"none",Accounts!$AS:$AS, "Communications, Entertainment and Media",Accounts!$E:$E,"QBO")</f>
        <v/>
      </c>
      <c r="LH3" s="55">
        <f>SUMIFS(Accounts!$AD:$AD,Accounts!$B:$B,"none",Accounts!$AS:$AS, "Communications, Entertainment and Media",Accounts!$E:$E,"QBO")+SUMIFS(Accounts!$AM:$AM,Accounts!$B:$B,"none",Accounts!$AS:$AS, "Communications, Entertainment and Media",Accounts!$E:$E,"QBO")+SUMIFS(Accounts!$AN:$AN,Accounts!$B:$B,"none",Accounts!$AS:$AS, "Communications, Entertainment and Media",Accounts!$E:$E,"QBO")</f>
        <v/>
      </c>
      <c r="LI3" s="39">
        <f>SUMIFS(Accounts!$AE:$AE,Accounts!$B:$B,"none",Accounts!$AS:$AS, "Communications, Entertainment and Media",Accounts!$E:$E,"QBO") + SUMIFS(Accounts!$AP:$AP,Accounts!$B:$B,"none",Accounts!$AS:$AS, "Communications, Entertainment and Media",Accounts!$E:$E,"QBO")</f>
        <v/>
      </c>
      <c r="LJ3" s="55">
        <f>SUMIFS(Accounts!$Z:$Z,Accounts!$B:$B,"none",Accounts!$AS:$AS, "Communications, Entertainment and Media",Accounts!$E:$E,"QBO")</f>
        <v/>
      </c>
      <c r="LK3" s="39">
        <f>SUMIFS(Accounts!$AG:$AG,Accounts!$B:$B,"none",Accounts!$AS:$AS, "Communications, Entertainment and Media",Accounts!$E:$E,"QBO") + SUMIFS(Accounts!$AL:$AL,Accounts!$B:$B,"none",Accounts!$AS:$AS, "Communications, Entertainment and Media",Accounts!$E:$E,"QBO")</f>
        <v/>
      </c>
      <c r="LL3" s="55">
        <f>SUMIFS(Accounts!$AQ:$AQ,Accounts!$B:$B,"none",Accounts!$AS:$AS, "Communications, Entertainment and Media",Accounts!$E:$E,"QBO")</f>
        <v/>
      </c>
      <c r="LM3" s="34">
        <f>((LM15+LM18)/((LM14*$C$2)+(0.5*LM17*$C$2)))*$C$2</f>
        <v/>
      </c>
      <c r="LN3" s="39">
        <f>COUNTIFS(Accounts!$AS:$AS, "IT and computer related",Accounts!$B:$B,"none",Accounts!$E:$E,"QBO")</f>
        <v/>
      </c>
      <c r="LO3" s="33">
        <f>COUNTIFS(Accounts!$AS:$AS, "IT and computer related",Accounts!$B:$B,"Customer",Accounts!$E:$E,"QBO")</f>
        <v/>
      </c>
      <c r="LP3" s="76">
        <f>SUMIFS(Accounts!$I:$I,Accounts!$AS:$AS, "IT and computer related",Accounts!$E:$E,"QBO")</f>
        <v/>
      </c>
      <c r="LQ3" s="76">
        <f>SUMIFS(Accounts!$N:$N,Accounts!$AS:$AS, "IT and computer related",Accounts!$E:$E,"QBO")</f>
        <v/>
      </c>
      <c r="LR3" s="76">
        <f>LP3/(LO3+LM17)</f>
        <v/>
      </c>
      <c r="LS3" s="76">
        <f>(LP3+LQ3)/(LO3+LM17)</f>
        <v/>
      </c>
      <c r="LT3" s="76">
        <f>LM13*LR3</f>
        <v/>
      </c>
      <c r="LU3" s="76">
        <f>IFERROR(AVERAGEIFS(Accounts!$AY:$AY,Accounts!$AS:$AS,"IT and computer related",Accounts!$B:$B,"Customer",Accounts!$AY:$AY,"&gt;0",Accounts!$E:$E,"QBO"),0)</f>
        <v/>
      </c>
      <c r="LV3" s="33">
        <f>IFERROR(AVERAGEIFS(Accounts!$AX:$AX,Accounts!$AS:$AS, "IT and computer related",Accounts!$B:$B,"Customer",Accounts!$AX:$AX,"&gt;0",Accounts!$E:$E,"QBO"),0)</f>
        <v/>
      </c>
      <c r="LW3" s="76">
        <f>IFERROR(AVERAGEIFS(Accounts!$AY:$AY,Accounts!$AS:$AS, "IT and computer related",Accounts!$B:$B,"none",Accounts!$AY:$AY,"&gt;0",Accounts!$E:$E,"QBO"),0)</f>
        <v/>
      </c>
      <c r="LX3" s="33">
        <f>IFERROR(AVERAGEIFS(Accounts!$AX:$AX,Accounts!$AS:$AS, "IT and computer related",Accounts!$B:$B,"none",Accounts!$AX:$AX,"&gt;0",Accounts!$E:$E,"QBO"),0)</f>
        <v/>
      </c>
      <c r="LY3" s="55">
        <f>SUMIFS(Accounts!$AA:$AA,Accounts!$B:$B,"Customer",Accounts!$AS:$AS, "IT and computer related",Accounts!$E:$E,"QBO") + SUMIFS(Accounts!$AH:$AH,Accounts!$B:$B,"Customer",Accounts!$AS:$AS, "IT and computer related",Accounts!$E:$E,"QBO") + SUMIFS(Accounts!$AJ:$AJ,Accounts!$B:$B,"Customer",Accounts!$AS:$AS, "IT and computer related",Accounts!$E:$E,"QBO") + SUMIFS(Accounts!$AI:$AI,Accounts!$B:$B,"Customer",Accounts!$AS:$AS, "IT and computer related",Accounts!$E:$E,"QBO") + SUMIFS(Accounts!$AO:$AO,Accounts!$B:$B,"Customer",Accounts!$AS:$AS, "IT and computer related",Accounts!$E:$E,"QBO")</f>
        <v/>
      </c>
      <c r="LZ3" s="55">
        <f>(SUMIFS(Accounts!$AC:$AC,Accounts!$B:$B,"Customer",Accounts!$AS:$AS, "IT and computer related",Accounts!$E:$E,"QBO")+SUMIFS(Accounts!$AF:$AF,Accounts!$B:$B,"Customer",Accounts!$AS:$AS, "IT and computer related",Accounts!$E:$E,"QBO")+SUMIFS(Accounts!$AK:$AK,Accounts!$B:$B,"Customer",Accounts!$AS:$AS, "IT and computer related",Accounts!$E:$E,"QBO"))</f>
        <v/>
      </c>
      <c r="MA3" s="55">
        <f>SUMIFS(Accounts!$AB:$AB,Accounts!$B:$B,"Customer",Accounts!$AS:$AS, "IT and computer related",Accounts!$E:$E,"QBO")</f>
        <v/>
      </c>
      <c r="MB3" s="55">
        <f>SUMIFS(Accounts!$AD:$AD,Accounts!$B:$B,"Customer",Accounts!$AS:$AS, "IT and computer related",Accounts!$E:$E,"QBO")+SUMIFS(Accounts!$AM:$AM,Accounts!$B:$B,"Customer",Accounts!$AS:$AS, "IT and computer related",Accounts!$E:$E,"QBO")+SUMIFS(Accounts!$AN:$AN,Accounts!$B:$B,"Customer",Accounts!$AS:$AS, "IT and computer related",Accounts!$E:$E,"QBO")</f>
        <v/>
      </c>
      <c r="MC3" s="55">
        <f>SUMIFS(Accounts!$AE:$AE,Accounts!$B:$B,"Customer",Accounts!$AS:$AS, "IT and computer related",Accounts!$E:$E,"QBO") + SUMIFS(Accounts!$AP:$AP,Accounts!$B:$B,"Customer",Accounts!$AS:$AS, "IT and computer related",Accounts!$E:$E,"QBO")</f>
        <v/>
      </c>
      <c r="MD3" s="55">
        <f>SUMIFS(Accounts!$Z:$Z,Accounts!$B:$B,"Customer",Accounts!$AS:$AS, "IT and computer related",Accounts!$E:$E,"QBO")</f>
        <v/>
      </c>
      <c r="ME3" s="55">
        <f>SUMIFS(Accounts!$AG:$AG,Accounts!$B:$B,"Customer",Accounts!$AS:$AS, "IT and computer related",Accounts!$E:$E,"QBO") + SUMIFS(Accounts!$AL:$AL,Accounts!$B:$B,"Customer",Accounts!$AS:$AS, "IT and computer related",Accounts!$E:$E,"QBO")</f>
        <v/>
      </c>
      <c r="MF3" s="55">
        <f>SUMIFS(Accounts!$AQ:$AQ,Accounts!$B:$B,"Customer",Accounts!$AS:$AS, "IT and computer related",Accounts!$E:$E,"QBO")</f>
        <v/>
      </c>
      <c r="MG3" s="55">
        <f>SUMIFS(Accounts!$AA:$AA,Accounts!$B:$B,"none",Accounts!$AS:$AS, "IT and computer related",Accounts!$E:$E,"QBO") + SUMIFS(Accounts!$AH:$AH,Accounts!$B:$B,"none",Accounts!$AS:$AS, "IT and computer related",Accounts!$E:$E,"QBO") + SUMIFS(Accounts!$AJ:$AJ,Accounts!$B:$B,"none",Accounts!$AS:$AS, "IT and computer related",Accounts!$E:$E,"QBO") + SUMIFS(Accounts!$AI:$AI,Accounts!$B:$B,"none",Accounts!$AS:$AS, "IT and computer related",Accounts!$E:$E,"QBO") + SUMIFS(Accounts!$AO:$AO,Accounts!$B:$B,"none",Accounts!$AS:$AS, "IT and computer related",Accounts!$E:$E,"QBO")</f>
        <v/>
      </c>
      <c r="MH3" s="55">
        <f>(SUMIFS(Accounts!$AC:$AC,Accounts!$B:$B,"none",Accounts!$AS:$AS, "IT and computer related",Accounts!$E:$E,"QBO")+SUMIFS(Accounts!$AF:$AF,Accounts!$B:$B,"none",Accounts!$AS:$AS, "IT and computer related",Accounts!$E:$E,"QBO")+SUMIFS(Accounts!$AK:$AK,Accounts!$B:$B,"none",Accounts!$AS:$AS, "IT and computer related",Accounts!$E:$E,"QBO"))</f>
        <v/>
      </c>
      <c r="MI3" s="55">
        <f>SUMIFS(Accounts!$AB:$AB,Accounts!$B:$B,"none",Accounts!$AS:$AS, "IT and computer related",Accounts!$E:$E,"QBO")</f>
        <v/>
      </c>
      <c r="MJ3" s="55">
        <f>SUMIFS(Accounts!$AD:$AD,Accounts!$B:$B,"none",Accounts!$AS:$AS, "IT and computer related",Accounts!$E:$E,"QBO")+SUMIFS(Accounts!$AM:$AM,Accounts!$B:$B,"none",Accounts!$AS:$AS, "IT and computer related",Accounts!$E:$E,"QBO")+SUMIFS(Accounts!$AN:$AN,Accounts!$B:$B,"none",Accounts!$AS:$AS, "IT and computer related",Accounts!$E:$E,"QBO")</f>
        <v/>
      </c>
      <c r="MK3" s="39">
        <f>SUMIFS(Accounts!$AE:$AE,Accounts!$B:$B,"none",Accounts!$AS:$AS, "IT and computer related",Accounts!$E:$E,"QBO") + SUMIFS(Accounts!$AP:$AP,Accounts!$B:$B,"none",Accounts!$AS:$AS, "IT and computer related",Accounts!$E:$E,"QBO")</f>
        <v/>
      </c>
      <c r="ML3" s="55">
        <f>SUMIFS(Accounts!$Z:$Z,Accounts!$B:$B,"none",Accounts!$AS:$AS, "IT and computer related",Accounts!$E:$E,"QBO")</f>
        <v/>
      </c>
      <c r="MM3" s="39">
        <f>SUMIFS(Accounts!$AG:$AG,Accounts!$B:$B,"none",Accounts!$AS:$AS, "IT and computer related",Accounts!$E:$E,"QBO") + SUMIFS(Accounts!$AL:$AL,Accounts!$B:$B,"none",Accounts!$AS:$AS, "IT and computer related",Accounts!$E:$E,"QBO")</f>
        <v/>
      </c>
      <c r="MN3" s="55">
        <f>SUMIFS(Accounts!$AQ:$AQ,Accounts!$B:$B,"none",Accounts!$AS:$AS, "IT and computer related",Accounts!$E:$E,"QBO")</f>
        <v/>
      </c>
      <c r="MO3" s="34">
        <f>((MO15+MO18)/((MO14*$C$2)+(0.5*MO17*$C$2)))*$C$2</f>
        <v/>
      </c>
      <c r="MP3" s="39">
        <f>COUNTIFS(Accounts!$AS:$AS, {"General service based","General"},Accounts!$B:$B,"none",Accounts!$E:$E,"QBO")</f>
        <v/>
      </c>
      <c r="MQ3" s="33">
        <f>COUNTIFS(Accounts!$AS:$AS, {"General service based","General"},Accounts!$B:$B,"Customer",Accounts!$E:$E,"QBO")</f>
        <v/>
      </c>
      <c r="MR3" s="76">
        <f>SUMIFS(Accounts!$I:$I,Accounts!$AS:$AS, {"General service based","General"},Accounts!$E:$E,"QBO")</f>
        <v/>
      </c>
      <c r="MS3" s="76">
        <f>SUMIFS(Accounts!$N:$N,Accounts!$AS:$AS, {"General service based","General"},Accounts!$E:$E,"QBO")</f>
        <v/>
      </c>
      <c r="MT3" s="76">
        <f>MR3/(MQ3+MO17)</f>
        <v/>
      </c>
      <c r="MU3" s="76">
        <f>(MR3+MS3)/(MQ3+MO17)</f>
        <v/>
      </c>
      <c r="MV3" s="76">
        <f>MO13*MT3</f>
        <v/>
      </c>
      <c r="MW3" s="76">
        <f>IFERROR(AVERAGEIFS(Accounts!$AY:$AY,Accounts!$AS:$AS,{"General service based","General"},Accounts!$B:$B,"Customer",Accounts!$AY:$AY,"&gt;0",Accounts!$E:$E,"QBO"),0)</f>
        <v/>
      </c>
      <c r="MX3" s="33">
        <f>IFERROR(AVERAGEIFS(Accounts!$AX:$AX,Accounts!$AS:$AS, {"General service based","General"},Accounts!$B:$B,"Customer",Accounts!$AX:$AX,"&gt;0",Accounts!$E:$E,"QBO"),0)</f>
        <v/>
      </c>
      <c r="MY3" s="76">
        <f>IFERROR(AVERAGEIFS(Accounts!$AY:$AY,Accounts!$AS:$AS, {"General service based","General"},Accounts!$B:$B,"none",Accounts!$AY:$AY,"&gt;0",Accounts!$E:$E,"QBO"),0)</f>
        <v/>
      </c>
      <c r="MZ3" s="33">
        <f>IFERROR(AVERAGEIFS(Accounts!$AX:$AX,Accounts!$AS:$AS, {"General service based","General"},Accounts!$B:$B,"none",Accounts!$AX:$AX,"&gt;0",Accounts!$E:$E,"QBO"),0)</f>
        <v/>
      </c>
      <c r="NA3" s="55">
        <f>SUMIFS(Accounts!$AA:$AA,Accounts!$B:$B,"Customer",Accounts!$AS:$AS, {"General service based","General"},Accounts!$E:$E,"QBO") + SUMIFS(Accounts!$AH:$AH,Accounts!$B:$B,"Customer",Accounts!$AS:$AS, {"General service based","General"},Accounts!$E:$E,"QBO") + SUMIFS(Accounts!$AJ:$AJ,Accounts!$B:$B,"Customer",Accounts!$AS:$AS, {"General service based","General"},Accounts!$E:$E,"QBO") + SUMIFS(Accounts!$AI:$AI,Accounts!$B:$B,"Customer",Accounts!$AS:$AS, {"General service based","General"},Accounts!$E:$E,"QBO") + SUMIFS(Accounts!$AO:$AO,Accounts!$B:$B,"Customer",Accounts!$AS:$AS, {"General service based","General"},Accounts!$E:$E,"QBO")</f>
        <v/>
      </c>
      <c r="NB3" s="55">
        <f>(SUMIFS(Accounts!$AC:$AC,Accounts!$B:$B,"Customer",Accounts!$AS:$AS, {"General service based","General"},Accounts!$E:$E,"QBO")+SUMIFS(Accounts!$AF:$AF,Accounts!$B:$B,"Customer",Accounts!$AS:$AS, {"General service based","General"},Accounts!$E:$E,"QBO")+SUMIFS(Accounts!$AK:$AK,Accounts!$B:$B,"Customer",Accounts!$AS:$AS, {"General service based","General"},Accounts!$E:$E,"QBO"))</f>
        <v/>
      </c>
      <c r="NC3" s="55">
        <f>SUMIFS(Accounts!$AB:$AB,Accounts!$B:$B,"Customer",Accounts!$AS:$AS, {"General service based","General"},Accounts!$E:$E,"QBO")</f>
        <v/>
      </c>
      <c r="ND3" s="55">
        <f>SUMIFS(Accounts!$AD:$AD,Accounts!$B:$B,"Customer",Accounts!$AS:$AS, {"General service based","General"},Accounts!$E:$E,"QBO")+SUMIFS(Accounts!$AM:$AM,Accounts!$B:$B,"Customer",Accounts!$AS:$AS, {"General service based","General"},Accounts!$E:$E,"QBO")+SUMIFS(Accounts!$AN:$AN,Accounts!$B:$B,"Customer",Accounts!$AS:$AS, {"General service based","General"},Accounts!$E:$E,"QBO")</f>
        <v/>
      </c>
      <c r="NE3" s="55">
        <f>SUMIFS(Accounts!$AE:$AE,Accounts!$B:$B,"Customer",Accounts!$AS:$AS, {"General service based","General"},Accounts!$E:$E,"QBO") + SUMIFS(Accounts!$AP:$AP,Accounts!$B:$B,"Customer",Accounts!$AS:$AS, {"General service based","General"},Accounts!$E:$E,"QBO")</f>
        <v/>
      </c>
      <c r="NF3" s="55">
        <f>SUMIFS(Accounts!$Z:$Z,Accounts!$B:$B,"Customer",Accounts!$AS:$AS, {"General service based","General"},Accounts!$E:$E,"QBO")</f>
        <v/>
      </c>
      <c r="NG3" s="55">
        <f>SUMIFS(Accounts!$AG:$AG,Accounts!$B:$B,"Customer",Accounts!$AS:$AS, {"General service based","General"},Accounts!$E:$E,"QBO") + SUMIFS(Accounts!$AL:$AL,Accounts!$B:$B,"Customer",Accounts!$AS:$AS, {"General service based","General"},Accounts!$E:$E,"QBO")</f>
        <v/>
      </c>
      <c r="NH3" s="55">
        <f>SUMIFS(Accounts!$AQ:$AQ,Accounts!$B:$B,"Customer",Accounts!$AS:$AS, {"General service based","General"},Accounts!$E:$E,"QBO")</f>
        <v/>
      </c>
      <c r="NI3" s="55">
        <f>SUMIFS(Accounts!$AA:$AA,Accounts!$B:$B,"none",Accounts!$AS:$AS, {"General service based","General"},Accounts!$E:$E,"QBO") + SUMIFS(Accounts!$AH:$AH,Accounts!$B:$B,"none",Accounts!$AS:$AS, {"General service based","General"},Accounts!$E:$E,"QBO") + SUMIFS(Accounts!$AJ:$AJ,Accounts!$B:$B,"none",Accounts!$AS:$AS, {"General service based","General"},Accounts!$E:$E,"QBO") + SUMIFS(Accounts!$AI:$AI,Accounts!$B:$B,"none",Accounts!$AS:$AS, {"General service based","General"},Accounts!$E:$E,"QBO") + SUMIFS(Accounts!$AO:$AO,Accounts!$B:$B,"none",Accounts!$AS:$AS, {"General service based","General"},Accounts!$E:$E,"QBO")</f>
        <v/>
      </c>
      <c r="NJ3" s="55">
        <f>(SUMIFS(Accounts!$AC:$AC,Accounts!$B:$B,"none",Accounts!$AS:$AS, {"General service based","General"},Accounts!$E:$E,"QBO")+SUMIFS(Accounts!$AF:$AF,Accounts!$B:$B,"none",Accounts!$AS:$AS, {"General service based","General"},Accounts!$E:$E,"QBO")+SUMIFS(Accounts!$AK:$AK,Accounts!$B:$B,"none",Accounts!$AS:$AS, {"General service based","General"},Accounts!$E:$E,"QBO"))</f>
        <v/>
      </c>
      <c r="NK3" s="55">
        <f>SUMIFS(Accounts!$AB:$AB,Accounts!$B:$B,"none",Accounts!$AS:$AS, {"General service based","General"},Accounts!$E:$E,"QBO")</f>
        <v/>
      </c>
      <c r="NL3" s="55">
        <f>SUMIFS(Accounts!$AD:$AD,Accounts!$B:$B,"none",Accounts!$AS:$AS, {"General service based","General"},Accounts!$E:$E,"QBO")+SUMIFS(Accounts!$AM:$AM,Accounts!$B:$B,"none",Accounts!$AS:$AS, {"General service based","General"},Accounts!$E:$E,"QBO")+SUMIFS(Accounts!$AN:$AN,Accounts!$B:$B,"none",Accounts!$AS:$AS, {"General service based","General"},Accounts!$E:$E,"QBO")</f>
        <v/>
      </c>
      <c r="NM3" s="39">
        <f>SUMIFS(Accounts!$AE:$AE,Accounts!$B:$B,"none",Accounts!$AS:$AS, {"General service based","General"},Accounts!$E:$E,"QBO") + SUMIFS(Accounts!$AP:$AP,Accounts!$B:$B,"none",Accounts!$AS:$AS, {"General service based","General"},Accounts!$E:$E,"QBO")</f>
        <v/>
      </c>
      <c r="NN3" s="55">
        <f>SUMIFS(Accounts!$Z:$Z,Accounts!$B:$B,"none",Accounts!$AS:$AS, {"General service based","General"},Accounts!$E:$E,"QBO")</f>
        <v/>
      </c>
      <c r="NO3" s="39">
        <f>SUMIFS(Accounts!$AG:$AG,Accounts!$B:$B,"none",Accounts!$AS:$AS, {"General service based","General"},Accounts!$E:$E,"QBO") + SUMIFS(Accounts!$AL:$AL,Accounts!$B:$B,"none",Accounts!$AS:$AS, {"General service based","General"},Accounts!$E:$E,"QBO")</f>
        <v/>
      </c>
      <c r="NP3" s="55">
        <f>SUMIFS(Accounts!$AQ:$AQ,Accounts!$B:$B,"none",Accounts!$AS:$AS, {"General service based","General"},Accounts!$E:$E,"QBO")</f>
        <v/>
      </c>
      <c r="NQ3" s="34">
        <f>((NQ15+NQ18)/((NQ14*$C$2)+(0.5*NQ17*$C$2)))*$C$2</f>
        <v/>
      </c>
      <c r="NR3" s="39">
        <f>COUNTIFS(Accounts!$AS:$AS, "Other",Accounts!$B:$B,"none",Accounts!$E:$E,"QBO")</f>
        <v/>
      </c>
      <c r="NS3" s="33">
        <f>COUNTIFS(Accounts!$AS:$AS, "Other",Accounts!$B:$B,"Customer",Accounts!$E:$E,"QBO")</f>
        <v/>
      </c>
      <c r="NT3" s="76">
        <f>SUMIFS(Accounts!$I:$I,Accounts!$AS:$AS, "Other",Accounts!$E:$E,"QBO")</f>
        <v/>
      </c>
      <c r="NU3" s="76">
        <f>SUMIFS(Accounts!$N:$N,Accounts!$AS:$AS, "Other",Accounts!$E:$E,"QBO")</f>
        <v/>
      </c>
      <c r="NV3" s="76">
        <f>NT3/(NS3+NQ17)</f>
        <v/>
      </c>
      <c r="NW3" s="76">
        <f>(NT3+NU3)/(NS3+NQ17)</f>
        <v/>
      </c>
      <c r="NX3" s="76">
        <f>NQ13*NV3</f>
        <v/>
      </c>
      <c r="NY3" s="76">
        <f>IFERROR(AVERAGEIFS(Accounts!$AY:$AY,Accounts!$AS:$AS,"Other",Accounts!$B:$B,"Customer",Accounts!$AY:$AY,"&gt;0",Accounts!$E:$E,"QBO"),0)</f>
        <v/>
      </c>
      <c r="NZ3" s="33">
        <f>IFERROR(AVERAGEIFS(Accounts!$AX:$AX,Accounts!$AS:$AS, "Other",Accounts!$B:$B,"Customer",Accounts!$AX:$AX,"&gt;0",Accounts!$E:$E,"QBO"),0)</f>
        <v/>
      </c>
      <c r="OA3" s="76">
        <f>IFERROR(AVERAGEIFS(Accounts!$AY:$AY,Accounts!$AS:$AS, "Other",Accounts!$B:$B,"none",Accounts!$AY:$AY,"&gt;0",Accounts!$E:$E,"QBO"),0)</f>
        <v/>
      </c>
      <c r="OB3" s="33">
        <f>IFERROR(AVERAGEIFS(Accounts!$AX:$AX,Accounts!$AS:$AS, "Other",Accounts!$B:$B,"none",Accounts!$AX:$AX,"&gt;0",Accounts!$E:$E,"QBO"),0)</f>
        <v/>
      </c>
      <c r="OC3" s="55">
        <f>SUMIFS(Accounts!$AA:$AA,Accounts!$B:$B,"Customer",Accounts!$AS:$AS, "Other",Accounts!$E:$E,"QBO") + SUMIFS(Accounts!$AH:$AH,Accounts!$B:$B,"Customer",Accounts!$AS:$AS, "Other",Accounts!$E:$E,"QBO") + SUMIFS(Accounts!$AJ:$AJ,Accounts!$B:$B,"Customer",Accounts!$AS:$AS, "Other",Accounts!$E:$E,"QBO") + SUMIFS(Accounts!$AI:$AI,Accounts!$B:$B,"Customer",Accounts!$AS:$AS, "Other",Accounts!$E:$E,"QBO") + SUMIFS(Accounts!$AO:$AO,Accounts!$B:$B,"Customer",Accounts!$AS:$AS, "Other",Accounts!$E:$E,"QBO")</f>
        <v/>
      </c>
      <c r="OD3" s="55">
        <f>(SUMIFS(Accounts!$AC:$AC,Accounts!$B:$B,"Customer",Accounts!$AS:$AS, "Other",Accounts!$E:$E,"QBO")+SUMIFS(Accounts!$AF:$AF,Accounts!$B:$B,"Customer",Accounts!$AS:$AS, "Other",Accounts!$E:$E,"QBO")+SUMIFS(Accounts!$AK:$AK,Accounts!$B:$B,"Customer",Accounts!$AS:$AS, "Other",Accounts!$E:$E,"QBO"))</f>
        <v/>
      </c>
      <c r="OE3" s="55">
        <f>SUMIFS(Accounts!$AB:$AB,Accounts!$B:$B,"Customer",Accounts!$AS:$AS, "Other",Accounts!$E:$E,"QBO")</f>
        <v/>
      </c>
      <c r="OF3" s="55">
        <f>SUMIFS(Accounts!$AD:$AD,Accounts!$B:$B,"Customer",Accounts!$AS:$AS, "Other",Accounts!$E:$E,"QBO")+SUMIFS(Accounts!$AM:$AM,Accounts!$B:$B,"Customer",Accounts!$AS:$AS, "Other",Accounts!$E:$E,"QBO")+SUMIFS(Accounts!$AN:$AN,Accounts!$B:$B,"Customer",Accounts!$AS:$AS, "Other",Accounts!$E:$E,"QBO")</f>
        <v/>
      </c>
      <c r="OG3" s="55">
        <f>SUMIFS(Accounts!$AE:$AE,Accounts!$B:$B,"Customer",Accounts!$AS:$AS, "Other",Accounts!$E:$E,"QBO") + SUMIFS(Accounts!$AP:$AP,Accounts!$B:$B,"Customer",Accounts!$AS:$AS, "Other",Accounts!$E:$E,"QBO")</f>
        <v/>
      </c>
      <c r="OH3" s="55">
        <f>SUMIFS(Accounts!$Z:$Z,Accounts!$B:$B,"Customer",Accounts!$AS:$AS, "Other",Accounts!$E:$E,"QBO")</f>
        <v/>
      </c>
      <c r="OI3" s="55">
        <f>SUMIFS(Accounts!$AG:$AG,Accounts!$B:$B,"Customer",Accounts!$AS:$AS, "Other",Accounts!$E:$E,"QBO") + SUMIFS(Accounts!$AL:$AL,Accounts!$B:$B,"Customer",Accounts!$AS:$AS, "Other",Accounts!$E:$E,"QBO")</f>
        <v/>
      </c>
      <c r="OJ3" s="55">
        <f>SUMIFS(Accounts!$AQ:$AQ,Accounts!$B:$B,"Customer",Accounts!$AS:$AS, "Other",Accounts!$E:$E,"QBO")</f>
        <v/>
      </c>
      <c r="OK3" s="55">
        <f>SUMIFS(Accounts!$AA:$AA,Accounts!$B:$B,"none",Accounts!$AS:$AS, "Other",Accounts!$E:$E,"QBO") + SUMIFS(Accounts!$AH:$AH,Accounts!$B:$B,"none",Accounts!$AS:$AS, "Other",Accounts!$E:$E,"QBO") + SUMIFS(Accounts!$AJ:$AJ,Accounts!$B:$B,"none",Accounts!$AS:$AS, "Other",Accounts!$E:$E,"QBO") + SUMIFS(Accounts!$AI:$AI,Accounts!$B:$B,"none",Accounts!$AS:$AS, "Other",Accounts!$E:$E,"QBO") + SUMIFS(Accounts!$AO:$AO,Accounts!$B:$B,"none",Accounts!$AS:$AS, "Other",Accounts!$E:$E,"QBO")</f>
        <v/>
      </c>
      <c r="OL3" s="55">
        <f>(SUMIFS(Accounts!$AC:$AC,Accounts!$B:$B,"none",Accounts!$AS:$AS, "Other",Accounts!$E:$E,"QBO")+SUMIFS(Accounts!$AF:$AF,Accounts!$B:$B,"none",Accounts!$AS:$AS, "Other",Accounts!$E:$E,"QBO")+SUMIFS(Accounts!$AK:$AK,Accounts!$B:$B,"none",Accounts!$AS:$AS, "Other",Accounts!$E:$E,"QBO"))</f>
        <v/>
      </c>
      <c r="OM3" s="55">
        <f>SUMIFS(Accounts!$AB:$AB,Accounts!$B:$B,"none",Accounts!$AS:$AS, "Other",Accounts!$E:$E,"QBO")</f>
        <v/>
      </c>
      <c r="ON3" s="55">
        <f>SUMIFS(Accounts!$AD:$AD,Accounts!$B:$B,"none",Accounts!$AS:$AS, "Other",Accounts!$E:$E,"QBO")+SUMIFS(Accounts!$AM:$AM,Accounts!$B:$B,"none",Accounts!$AS:$AS, "Other",Accounts!$E:$E,"QBO")+SUMIFS(Accounts!$AN:$AN,Accounts!$B:$B,"none",Accounts!$AS:$AS, "Other",Accounts!$E:$E,"QBO")</f>
        <v/>
      </c>
      <c r="OO3" s="39">
        <f>SUMIFS(Accounts!$AE:$AE,Accounts!$B:$B,"none",Accounts!$AS:$AS, "Other",Accounts!$E:$E,"QBO") + SUMIFS(Accounts!$AP:$AP,Accounts!$B:$B,"none",Accounts!$AS:$AS, "Other",Accounts!$E:$E,"QBO")</f>
        <v/>
      </c>
      <c r="OP3" s="55">
        <f>SUMIFS(Accounts!$Z:$Z,Accounts!$B:$B,"none",Accounts!$AS:$AS, "Other",Accounts!$E:$E,"QBO")</f>
        <v/>
      </c>
      <c r="OQ3" s="39">
        <f>SUMIFS(Accounts!$AG:$AG,Accounts!$B:$B,"none",Accounts!$AS:$AS, "Other",Accounts!$E:$E,"QBO") + SUMIFS(Accounts!$AL:$AL,Accounts!$B:$B,"none",Accounts!$AS:$AS, "Other",Accounts!$E:$E,"QBO")</f>
        <v/>
      </c>
      <c r="OR3" s="55">
        <f>SUMIFS(Accounts!$AQ:$AQ,Accounts!$B:$B,"none",Accounts!$AS:$AS, "Other",Accounts!$E:$E,"QBO")</f>
        <v/>
      </c>
      <c r="OS3" s="34">
        <f>((OS15+OS18)/((OS14*$C$2)+(0.5*OS17*$C$2)))*$C$2</f>
        <v/>
      </c>
      <c r="OT3" s="39">
        <f>COUNTIFS(Accounts!$AS:$AS, "Accounting and Bookkeeping",Accounts!$B:$B,"none",Accounts!$E:$E,"QBO")</f>
        <v/>
      </c>
      <c r="OU3" s="33">
        <f>COUNTIFS(Accounts!$AS:$AS, "Accounting and Bookkeeping",Accounts!$B:$B,"Customer",Accounts!$E:$E,"QBO")</f>
        <v/>
      </c>
      <c r="OV3" s="76">
        <f>SUMIFS(Accounts!$I:$I,Accounts!$AS:$AS, "Accounting and Bookkeeping",Accounts!$E:$E,"QBO")</f>
        <v/>
      </c>
      <c r="OW3" s="76">
        <f>SUMIFS(Accounts!$N:$N,Accounts!$AS:$AS, "Accounting and Bookkeeping",Accounts!$E:$E,"QBO")</f>
        <v/>
      </c>
      <c r="OX3" s="76">
        <f>OV3/(OU3+OS17)</f>
        <v/>
      </c>
      <c r="OY3" s="76">
        <f>(OV3+OW3)/(OU3+OS17)</f>
        <v/>
      </c>
      <c r="OZ3" s="76">
        <f>OS13*OX3</f>
        <v/>
      </c>
      <c r="PA3" s="76">
        <f>IFERROR(AVERAGEIFS(Accounts!$AY:$AY,Accounts!$AS:$AS,"Accounting and Bookkeeping",Accounts!$B:$B,"Customer",Accounts!$AY:$AY,"&gt;0",Accounts!$E:$E,"QBO"),0)</f>
        <v/>
      </c>
      <c r="PB3" s="33">
        <f>IFERROR(AVERAGEIFS(Accounts!$AX:$AX,Accounts!$AS:$AS, "Accounting and Bookkeeping",Accounts!$B:$B,"Customer",Accounts!$AX:$AX,"&gt;0",Accounts!$E:$E,"QBO"),0)</f>
        <v/>
      </c>
      <c r="PC3" s="76">
        <f>IFERROR(AVERAGEIFS(Accounts!$AY:$AY,Accounts!$AS:$AS, "Accounting and Bookkeeping",Accounts!$B:$B,"none",Accounts!$AY:$AY,"&gt;0",Accounts!$E:$E,"QBO"),0)</f>
        <v/>
      </c>
      <c r="PD3" s="33">
        <f>IFERROR(AVERAGEIFS(Accounts!$AX:$AX,Accounts!$AS:$AS, "Accounting and Bookkeeping",Accounts!$B:$B,"none",Accounts!$AX:$AX,"&gt;0",Accounts!$E:$E,"QBO"),0)</f>
        <v/>
      </c>
      <c r="PE3" s="55">
        <f>SUMIFS(Accounts!$AA:$AA,Accounts!$B:$B,"Customer",Accounts!$AS:$AS, "Accounting and Bookkeeping",Accounts!$E:$E,"QBO") + SUMIFS(Accounts!$AH:$AH,Accounts!$B:$B,"Customer",Accounts!$AS:$AS, "Accounting and Bookkeeping",Accounts!$E:$E,"QBO") + SUMIFS(Accounts!$AJ:$AJ,Accounts!$B:$B,"Customer",Accounts!$AS:$AS, "Accounting and Bookkeeping",Accounts!$E:$E,"QBO") + SUMIFS(Accounts!$AI:$AI,Accounts!$B:$B,"Customer",Accounts!$AS:$AS, "Accounting and Bookkeeping",Accounts!$E:$E,"QBO") + SUMIFS(Accounts!$AO:$AO,Accounts!$B:$B,"Customer",Accounts!$AS:$AS, "Accounting and Bookkeeping",Accounts!$E:$E,"QBO")</f>
        <v/>
      </c>
      <c r="PF3" s="55">
        <f>(SUMIFS(Accounts!$AC:$AC,Accounts!$B:$B,"Customer",Accounts!$AS:$AS, "Accounting and Bookkeeping",Accounts!$E:$E,"QBO")+SUMIFS(Accounts!$AF:$AF,Accounts!$B:$B,"Customer",Accounts!$AS:$AS, "Accounting and Bookkeeping",Accounts!$E:$E,"QBO")+SUMIFS(Accounts!$AK:$AK,Accounts!$B:$B,"Customer",Accounts!$AS:$AS, "Accounting and Bookkeeping",Accounts!$E:$E,"QBO"))</f>
        <v/>
      </c>
      <c r="PG3" s="55">
        <f>SUMIFS(Accounts!$AB:$AB,Accounts!$B:$B,"Customer",Accounts!$AS:$AS, "Accounting and Bookkeeping",Accounts!$E:$E,"QBO")</f>
        <v/>
      </c>
      <c r="PH3" s="55">
        <f>SUMIFS(Accounts!$AD:$AD,Accounts!$B:$B,"Customer",Accounts!$AS:$AS, "Accounting and Bookkeeping",Accounts!$E:$E,"QBO")+SUMIFS(Accounts!$AM:$AM,Accounts!$B:$B,"Customer",Accounts!$AS:$AS, "Accounting and Bookkeeping",Accounts!$E:$E,"QBO")+SUMIFS(Accounts!$AN:$AN,Accounts!$B:$B,"Customer",Accounts!$AS:$AS, "Accounting and Bookkeeping",Accounts!$E:$E,"QBO")</f>
        <v/>
      </c>
      <c r="PI3" s="55">
        <f>SUMIFS(Accounts!$AE:$AE,Accounts!$B:$B,"Customer",Accounts!$AS:$AS, "Accounting and Bookkeeping",Accounts!$E:$E,"QBO") + SUMIFS(Accounts!$AP:$AP,Accounts!$B:$B,"Customer",Accounts!$AS:$AS, "Accounting and Bookkeeping",Accounts!$E:$E,"QBO")</f>
        <v/>
      </c>
      <c r="PJ3" s="55">
        <f>SUMIFS(Accounts!$Z:$Z,Accounts!$B:$B,"Customer",Accounts!$AS:$AS, "Accounting and Bookkeeping",Accounts!$E:$E,"QBO")</f>
        <v/>
      </c>
      <c r="PK3" s="55">
        <f>SUMIFS(Accounts!$AG:$AG,Accounts!$B:$B,"Customer",Accounts!$AS:$AS, "Accounting and Bookkeeping",Accounts!$E:$E,"QBO") + SUMIFS(Accounts!$AL:$AL,Accounts!$B:$B,"Customer",Accounts!$AS:$AS, "Accounting and Bookkeeping",Accounts!$E:$E,"QBO")</f>
        <v/>
      </c>
      <c r="PL3" s="55">
        <f>SUMIFS(Accounts!$AQ:$AQ,Accounts!$B:$B,"Customer",Accounts!$AS:$AS, "Accounting and Bookkeeping",Accounts!$E:$E,"QBO")</f>
        <v/>
      </c>
      <c r="PM3" s="55">
        <f>SUMIFS(Accounts!$AA:$AA,Accounts!$B:$B,"none",Accounts!$AS:$AS, "Accounting and Bookkeeping",Accounts!$E:$E,"QBO") + SUMIFS(Accounts!$AH:$AH,Accounts!$B:$B,"none",Accounts!$AS:$AS, "Accounting and Bookkeeping",Accounts!$E:$E,"QBO") + SUMIFS(Accounts!$AJ:$AJ,Accounts!$B:$B,"none",Accounts!$AS:$AS, "Accounting and Bookkeeping",Accounts!$E:$E,"QBO") + SUMIFS(Accounts!$AI:$AI,Accounts!$B:$B,"none",Accounts!$AS:$AS, "Accounting and Bookkeeping",Accounts!$E:$E,"QBO") + SUMIFS(Accounts!$AO:$AO,Accounts!$B:$B,"none",Accounts!$AS:$AS, "Accounting and Bookkeeping",Accounts!$E:$E,"QBO")</f>
        <v/>
      </c>
      <c r="PN3" s="55">
        <f>(SUMIFS(Accounts!$AC:$AC,Accounts!$B:$B,"none",Accounts!$AS:$AS, "Accounting and Bookkeeping",Accounts!$E:$E,"QBO")+SUMIFS(Accounts!$AF:$AF,Accounts!$B:$B,"none",Accounts!$AS:$AS, "Accounting and Bookkeeping",Accounts!$E:$E,"QBO")+SUMIFS(Accounts!$AK:$AK,Accounts!$B:$B,"none",Accounts!$AS:$AS, "Accounting and Bookkeeping",Accounts!$E:$E,"QBO"))</f>
        <v/>
      </c>
      <c r="PO3" s="55">
        <f>SUMIFS(Accounts!$AB:$AB,Accounts!$B:$B,"none",Accounts!$AS:$AS, "Accounting and Bookkeeping",Accounts!$E:$E,"QBO")</f>
        <v/>
      </c>
      <c r="PP3" s="55">
        <f>SUMIFS(Accounts!$AD:$AD,Accounts!$B:$B,"none",Accounts!$AS:$AS, "Accounting and Bookkeeping",Accounts!$E:$E,"QBO")+SUMIFS(Accounts!$AM:$AM,Accounts!$B:$B,"none",Accounts!$AS:$AS, "Accounting and Bookkeeping",Accounts!$E:$E,"QBO")+SUMIFS(Accounts!$AN:$AN,Accounts!$B:$B,"none",Accounts!$AS:$AS, "Accounting and Bookkeeping",Accounts!$E:$E,"QBO")</f>
        <v/>
      </c>
      <c r="PQ3" s="39">
        <f>SUMIFS(Accounts!$AE:$AE,Accounts!$B:$B,"none",Accounts!$AS:$AS, "Accounting and Bookkeeping",Accounts!$E:$E,"QBO") + SUMIFS(Accounts!$AP:$AP,Accounts!$B:$B,"none",Accounts!$AS:$AS, "Accounting and Bookkeeping",Accounts!$E:$E,"QBO")</f>
        <v/>
      </c>
      <c r="PR3" s="55">
        <f>SUMIFS(Accounts!$Z:$Z,Accounts!$B:$B,"none",Accounts!$AS:$AS, "Accounting and Bookkeeping",Accounts!$E:$E,"QBO")</f>
        <v/>
      </c>
      <c r="PS3" s="39">
        <f>SUMIFS(Accounts!$AG:$AG,Accounts!$B:$B,"none",Accounts!$AS:$AS, "Accounting and Bookkeeping",Accounts!$E:$E,"QBO") + SUMIFS(Accounts!$AL:$AL,Accounts!$B:$B,"none",Accounts!$AS:$AS, "Accounting and Bookkeeping",Accounts!$E:$E,"QBO")</f>
        <v/>
      </c>
      <c r="PT3" s="55">
        <f>SUMIFS(Accounts!$AQ:$AQ,Accounts!$B:$B,"none",Accounts!$AS:$AS, "Accounting and Bookkeeping",Accounts!$E:$E,"QBO")</f>
        <v/>
      </c>
    </row>
    <row r="4" ht="16" customFormat="1" customHeight="1" s="31">
      <c r="A4" s="31" t="inlineStr">
        <is>
          <t>QBDT</t>
        </is>
      </c>
      <c r="B4" s="75">
        <f>Accounts!$BD$2</f>
        <v/>
      </c>
      <c r="C4" s="33">
        <f>DAY(EOMONTH(B4,0))</f>
        <v/>
      </c>
      <c r="D4" s="33">
        <f>COUNTIFS(Accounts!$B:$B,"none",Accounts!$E:$E,"QBDT",Accounts!$BF:$BF,"FALSE")</f>
        <v/>
      </c>
      <c r="E4" s="33">
        <f>COUNTIFS(Accounts!$B:$B,"Customer",Accounts!$E:$E,"QBDT")</f>
        <v/>
      </c>
      <c r="F4" s="33">
        <f>COUNTIFS(Accounts!$C:$C,"Customer",Accounts!$E:$E,"QBDT")</f>
        <v/>
      </c>
      <c r="G4" s="33">
        <f>COUNTIFS(Accounts!$B:$B,"Customer",Accounts!$C:$C,"Lost",Accounts!$E:$E,"QBDT")</f>
        <v/>
      </c>
      <c r="H4" s="33">
        <f>COUNTIFS(Accounts!$B:$B,"none",Accounts!$C:$C,"Customer",Accounts!$E:$E,"QBDT")</f>
        <v/>
      </c>
      <c r="I4" s="34">
        <f>H4/D4</f>
        <v/>
      </c>
      <c r="J4" s="59">
        <f>COUNTIFS(Accounts!$T:$T,"&gt;="&amp;DATE($C$10,$C$11,1),Accounts!$T:$T,"&lt;"&amp;DATE($C$7,$C$8,1),Accounts!$B:$B,"Trialer",Accounts!$C:$C,"Customer",Accounts!$E:$E,"QBDT")</f>
        <v/>
      </c>
      <c r="K4" s="59">
        <f>COUNTIFS(Accounts!$T:$T,"&gt;="&amp;DATE($C$13,$C$14,1),Accounts!$T:$T,"&lt;"&amp;DATE($C$10,$C$11,1),Accounts!$B:$B,"Trialer",Accounts!$C:$C,"Customer",Accounts!$E:$E,"QBDT")</f>
        <v/>
      </c>
      <c r="L4" s="59">
        <f>COUNTIFS(Accounts!$T:$T,"&gt;="&amp;DATE($C$16,$C$17,1),Accounts!$T:$T,"&lt;"&amp;DATE($C$13,$C$14,1),Accounts!$B:$B,"Trialer",Accounts!$C:$C,"Customer",Accounts!$E:$E,"QBDT")</f>
        <v/>
      </c>
      <c r="M4" s="33">
        <f>SUM(COUNTIFS(Accounts!$B:$B,{"Trialer","none"},Accounts!$C:$C,"Customer",Accounts!$E:$E,"QBDT"))</f>
        <v/>
      </c>
      <c r="N4" s="34">
        <f>$M$4/$D$4</f>
        <v/>
      </c>
      <c r="O4" s="76">
        <f>P4/(COUNTIFS(Accounts!$W:$W,1,Accounts!$E:$E,"QBDT"))</f>
        <v/>
      </c>
      <c r="P4" s="76">
        <f>SUMIFS(Accounts!$I:$I,Accounts!$W:$W,1,Accounts!$E:$E,"QBDT")</f>
        <v/>
      </c>
      <c r="Q4" s="76">
        <f>SUMIFS(Accounts!$I:$I,Accounts!$E:$E,"QBDT")</f>
        <v/>
      </c>
      <c r="R4" s="76">
        <f>SUMIFS(Accounts!$N:$N,Accounts!$E:$E,"QBDT")</f>
        <v/>
      </c>
      <c r="S4" s="76">
        <f>($Q$4+R4)/($BC$23+$BC26)</f>
        <v/>
      </c>
      <c r="T4" s="76">
        <f>$Q$4/($BC$23+$BC26)</f>
        <v/>
      </c>
      <c r="U4" s="61">
        <f>SUMIFS(Accounts!$AA:$AA,Accounts!$B:$B,"none",Accounts!$C:$C,"Customer",Accounts!$E:$E,"QBDT") + SUMIFS(Accounts!$AH:$AH,Accounts!$B:$B,"none",Accounts!$C:$C,"Customer",Accounts!$E:$E,"QBDT") + SUMIFS(Accounts!$AJ:$AJ,Accounts!$B:$B,"none",Accounts!$C:$C,"Customer",Accounts!$E:$E,"QBDT") + SUMIFS(Accounts!$AI:$AI,Accounts!$B:$B,"none",Accounts!$C:$C,"Customer",Accounts!$E:$E,"QBDT") + SUMIFS(Accounts!$AO:$AO,Accounts!$B:$B,"none",Accounts!$C:$C,"Customer",Accounts!$E:$E,"QBDT")</f>
        <v/>
      </c>
      <c r="V4" s="61">
        <f>SUMIFS(Accounts!$AC:$AC,Accounts!$B:$B,"none",Accounts!$C:$C,"Customer",Accounts!$E:$E,"QBDT")+SUMIFS(Accounts!$AF:$AF,Accounts!$B:$B,"none",Accounts!$C:$C,"Customer",Accounts!$E:$E,"QBDT")+SUMIFS(Accounts!$AK:$AK,Accounts!$B:$B,"none",Accounts!$C:$C,"Customer",Accounts!$E:$E,"QBDT")</f>
        <v/>
      </c>
      <c r="W4" s="61">
        <f>SUMIFS(Accounts!$AB:$AB,Accounts!$B:$B,"none",Accounts!$C:$C,"Customer",Accounts!$E:$E,"QBDT")</f>
        <v/>
      </c>
      <c r="X4" s="61">
        <f>SUMIFS(Accounts!$AD:$AD,Accounts!$B:$B,"none",Accounts!$C:$C,"Customer",Accounts!$E:$E,"QBDT")+SUMIFS(Accounts!$AM:$AM,Accounts!$B:$B,"none",Accounts!$C:$C,"Customer",Accounts!$E:$E,"QBDT")+SUMIFS(Accounts!$AN:$AN,Accounts!$B:$B,"none",Accounts!$C:$C,"Customer",Accounts!$E:$E,"QBDT")</f>
        <v/>
      </c>
      <c r="Y4" s="33">
        <f>SUM(Z4:AB4)</f>
        <v/>
      </c>
      <c r="Z4" s="61">
        <f>SUMIFS(Accounts!$AE:$AE,Accounts!$B:$B,"none",Accounts!$C:$C,"Customer",Accounts!$E:$E,"QBDT") + SUMIFS(Accounts!$AP:$AP,Accounts!$B:$B,"none",Accounts!$C:$C,"Customer",Accounts!$E:$E,"QBDT")</f>
        <v/>
      </c>
      <c r="AA4" s="61">
        <f>SUMIFS(Accounts!$Z:$Z,Accounts!$B:$B,"none",Accounts!$C:$C,"Customer",Accounts!$E:$E,"QBDT")</f>
        <v/>
      </c>
      <c r="AB4" s="61">
        <f>SUMIFS(Accounts!$AG:$AG,Accounts!$B:$B,"none",Accounts!$C:$C,"Customer",Accounts!$E:$E,"QBDT") + SUMIFS(Accounts!$AL:$AL,Accounts!$B:$B,"none",Accounts!$C:$C,"Customer",Accounts!$E:$E,"QBDT")</f>
        <v/>
      </c>
      <c r="AC4" s="61">
        <f>SUMIFS(Accounts!$AQ:$AQ,Accounts!$B:$B,"none",Accounts!$C:$C,"Customer",Accounts!$E:$E,"QBDT")</f>
        <v/>
      </c>
      <c r="AD4" s="61">
        <f>SUMIFS(Accounts!$AA:$AA,Accounts!$T:$T,"&gt;="&amp;DATE($C$10,$C$11,1),Accounts!$T:$T,"&lt;"&amp;DATE($C$7,$C$8,1),Accounts!$B:$B,"Trialer",Accounts!$C:$C,"Customer",Accounts!$E:$E,"QBDT") + SUMIFS(Accounts!$AH:$AH,Accounts!$T:$T,"&gt;="&amp;DATE($C$10,$C$11,1),Accounts!$T:$T,"&lt;"&amp;DATE($C$7,$C$8,1),Accounts!$B:$B,"Trialer",Accounts!$C:$C,"Customer",Accounts!$E:$E,"QBDT") + SUMIFS(Accounts!$AJ:$AJ,Accounts!$T:$T,"&gt;="&amp;DATE($C$10,$C$11,1),Accounts!$T:$T,"&lt;"&amp;DATE($C$7,$C$8,1),Accounts!$B:$B,"Trialer",Accounts!$C:$C,"Customer",Accounts!$E:$E,"QBDT") + SUMIFS(Accounts!$AI:$AI,Accounts!$T:$T,"&gt;="&amp;DATE($C$10,$C$11,1),Accounts!$T:$T,"&lt;"&amp;DATE($C$7,$C$8,1),Accounts!$B:$B,"Trialer",Accounts!$C:$C,"Customer",Accounts!$E:$E,"QBDT") + SUMIFS(Accounts!$AO:$AO,Accounts!$T:$T,"&gt;="&amp;DATE($C$10,$C$11,1),Accounts!$T:$T,"&lt;"&amp;DATE($C$7,$C$8,1),Accounts!$B:$B,"Trialer",Accounts!$C:$C,"Customer",Accounts!$E:$E,"QBDT")</f>
        <v/>
      </c>
      <c r="AE4" s="61">
        <f>SUMIFS(Accounts!$AC:$AC,Accounts!$T:$T,"&gt;="&amp;DATE($C$10,$C$11,1),Accounts!$T:$T,"&lt;"&amp;DATE($C$7,$C$8,1),Accounts!$B:$B,"Trialer",Accounts!$C:$C,"Customer",Accounts!$E:$E,"QBDT")+SUMIFS(Accounts!$AF:$AF,Accounts!$T:$T,"&gt;="&amp;DATE($C$10,$C$11,1),Accounts!$T:$T,"&lt;"&amp;DATE($C$7,$C$8,1),Accounts!$B:$B,"Trialer",Accounts!$C:$C,"Customer",Accounts!$E:$E,"QBDT")+SUMIFS(Accounts!$AK:$AK,Accounts!$T:$T,"&gt;="&amp;DATE($C$10,$C$11,1),Accounts!$T:$T,"&lt;"&amp;DATE($C$7,$C$8,1),Accounts!$B:$B,"Trialer",Accounts!$C:$C,"Customer",Accounts!$E:$E,"QBDT")</f>
        <v/>
      </c>
      <c r="AF4" s="61">
        <f>SUMIFS(Accounts!$AB:$AB,Accounts!$T:$T,"&gt;="&amp;DATE($C$10,$C$11,1),Accounts!$T:$T,"&lt;"&amp;DATE($C$7,$C$8,1),Accounts!$B:$B,"Trialer",Accounts!$C:$C,"Customer",Accounts!$E:$E,"QBDT")</f>
        <v/>
      </c>
      <c r="AG4" s="61">
        <f>SUMIFS(Accounts!$AD:$AD,Accounts!$T:$T,"&gt;="&amp;DATE($C$10,$C$11,1),Accounts!$T:$T,"&lt;"&amp;DATE($C$7,$C$8,1),Accounts!$B:$B,"Trialer",Accounts!$C:$C,"Customer",Accounts!$E:$E,"QBDT")+SUMIFS(Accounts!$AM:$AM,Accounts!$T:$T,"&gt;="&amp;DATE($C$10,$C$11,1),Accounts!$T:$T,"&lt;"&amp;DATE($C$7,$C$8,1),Accounts!$B:$B,"Trialer",Accounts!$C:$C,"Customer",Accounts!$E:$E,"QBDT")+SUMIFS(Accounts!$AN:$AN,Accounts!$T:$T,"&gt;="&amp;DATE($C$10,$C$11,1),Accounts!$T:$T,"&lt;"&amp;DATE($C$7,$C$8,1),Accounts!$B:$B,"Trialer",Accounts!$C:$C,"Customer",Accounts!$E:$E,"QBDT")</f>
        <v/>
      </c>
      <c r="AH4" s="61">
        <f>SUMIFS(Accounts!$AE:$AE,Accounts!$T:$T,"&gt;="&amp;DATE($C$10,$C$11,1),Accounts!$T:$T,"&lt;"&amp;DATE($C$7,$C$8,1),Accounts!$B:$B,"Trialer",Accounts!$C:$C,"Customer",Accounts!$E:$E,"QBDT") + SUMIFS(Accounts!$AP:$AP,Accounts!$T:$T,"&gt;="&amp;DATE($C$10,$C$11,1),Accounts!$T:$T,"&lt;"&amp;DATE($C$7,$C$8,1),Accounts!$B:$B,"Trialer",Accounts!$C:$C,"Customer",Accounts!$E:$E,"QBDT")</f>
        <v/>
      </c>
      <c r="AI4" s="61">
        <f>SUMIFS(Accounts!$Z:$Z,Accounts!$T:$T,"&gt;="&amp;DATE($C$10,$C$11,1),Accounts!$T:$T,"&lt;"&amp;DATE($C$7,$C$8,1),Accounts!$B:$B,"Trialer",Accounts!$C:$C,"Customer",Accounts!$E:$E,"QBDT")</f>
        <v/>
      </c>
      <c r="AJ4" s="61">
        <f>SUMIFS(Accounts!$AG:$AG,Accounts!$T:$T,"&gt;="&amp;DATE($C$10,$C$11,1),Accounts!$T:$T,"&lt;"&amp;DATE($C$7,$C$8,1),Accounts!$B:$B,"Trialer",Accounts!$C:$C,"Customer",Accounts!$E:$E,"QBDT") + SUMIFS(Accounts!$AL:$AL,Accounts!$T:$T,"&gt;="&amp;DATE($C$10,$C$11,1),Accounts!$T:$T,"&lt;"&amp;DATE($C$7,$C$8,1),Accounts!$B:$B,"Trialer",Accounts!$C:$C,"Customer",Accounts!$E:$E,"QBDT")</f>
        <v/>
      </c>
      <c r="AK4" s="61">
        <f>SUMIFS(Accounts!$AQ:$AQ,Accounts!$T:$T,"&gt;="&amp;DATE($C$10,$C$11,1),Accounts!$T:$T,"&lt;"&amp;DATE($C$7,$C$8,1),Accounts!$B:$B,"Trialer",Accounts!$C:$C,"Customer",Accounts!$E:$E,"QBDT")</f>
        <v/>
      </c>
      <c r="AL4" s="61">
        <f>SUMIFS(Accounts!$AA:$AA,Accounts!$T:$T,"&gt;="&amp;DATE($C$13,$C$14,1),Accounts!$T:$T,"&lt;"&amp;DATE($C$10,$C$11,1),Accounts!$B:$B,"Trialer",Accounts!$C:$C,"Customer",Accounts!$E:$E,"QBDT") + SUMIFS(Accounts!$AH:$AH,Accounts!$T:$T,"&gt;="&amp;DATE($C$13,$C$14,1),Accounts!$T:$T,"&lt;"&amp;DATE($C$10,$C$11,1),Accounts!$B:$B,"Trialer",Accounts!$C:$C,"Customer",Accounts!$E:$E,"QBDT") + SUMIFS(Accounts!$AJ:$AJ,Accounts!$T:$T,"&gt;="&amp;DATE($C$13,$C$14,1),Accounts!$T:$T,"&lt;"&amp;DATE($C$10,$C$11,1),Accounts!$B:$B,"Trialer",Accounts!$C:$C,"Customer",Accounts!$E:$E,"QBDT") + SUMIFS(Accounts!$AI:$AI,Accounts!$T:$T,"&gt;="&amp;DATE($C$13,$C$14,1),Accounts!$T:$T,"&lt;"&amp;DATE($C$10,$C$11,1),Accounts!$B:$B,"Trialer",Accounts!$C:$C,"Customer",Accounts!$E:$E,"QBDT") + SUMIFS(Accounts!$AO:$AO,Accounts!$T:$T,"&gt;="&amp;DATE($C$13,$C$14,1),Accounts!$T:$T,"&lt;"&amp;DATE($C$10,$C$11,1),Accounts!$B:$B,"Trialer",Accounts!$C:$C,"Customer",Accounts!$E:$E,"QBDT")</f>
        <v/>
      </c>
      <c r="AM4" s="61">
        <f>SUMIFS(Accounts!$AC:$AC,Accounts!$T:$T,"&gt;="&amp;DATE($C$13,$C$14,1),Accounts!$T:$T,"&lt;"&amp;DATE($C$10,$C$11,1),Accounts!$B:$B,"Trialer",Accounts!$C:$C,"Customer",Accounts!$E:$E,"QBDT")+SUMIFS(Accounts!$AF:$AF,Accounts!$T:$T,"&gt;="&amp;DATE($C$13,$C$14,1),Accounts!$T:$T,"&lt;"&amp;DATE($C$10,$C$11,1),Accounts!$B:$B,"Trialer",Accounts!$C:$C,"Customer",Accounts!$E:$E,"QBDT")+SUMIFS(Accounts!$AK:$AK,Accounts!$T:$T,"&gt;="&amp;DATE($C$13,$C$14,1),Accounts!$T:$T,"&lt;"&amp;DATE($C$10,$C$11,1),Accounts!$B:$B,"Trialer",Accounts!$C:$C,"Customer",Accounts!$E:$E,"QBDT")</f>
        <v/>
      </c>
      <c r="AN4" s="61">
        <f>SUMIFS(Accounts!$AB:$AB,Accounts!$T:$T,"&gt;="&amp;DATE($C$13,$C$14,1),Accounts!$T:$T,"&lt;"&amp;DATE($C$10,$C$11,1),Accounts!$B:$B,"Trialer",Accounts!$C:$C,"Customer",Accounts!$E:$E,"QBDT")</f>
        <v/>
      </c>
      <c r="AO4" s="61">
        <f>SUMIFS(Accounts!$AD:$AD,Accounts!$T:$T,"&gt;="&amp;DATE($C$13,$C$14,1),Accounts!$T:$T,"&lt;"&amp;DATE($C$10,$C$11,1),Accounts!$B:$B,"Trialer",Accounts!$C:$C,"Customer",Accounts!$E:$E,"QBDT")+SUMIFS(Accounts!$AM:$AM,Accounts!$T:$T,"&gt;="&amp;DATE($C$13,$C$14,1),Accounts!$T:$T,"&lt;"&amp;DATE($C$10,$C$11,1),Accounts!$B:$B,"Trialer",Accounts!$C:$C,"Customer",Accounts!$E:$E,"QBDT")+SUMIFS(Accounts!$AN:$AN,Accounts!$T:$T,"&gt;="&amp;DATE($C$13,$C$14,1),Accounts!$T:$T,"&lt;"&amp;DATE($C$10,$C$11,1),Accounts!$B:$B,"Trialer",Accounts!$C:$C,"Customer",Accounts!$E:$E,"QBDT")</f>
        <v/>
      </c>
      <c r="AP4" s="61">
        <f>SUMIFS(Accounts!$AE:$AE,Accounts!$T:$T,"&gt;="&amp;DATE($C$13,$C$14,1),Accounts!$T:$T,"&lt;"&amp;DATE($C$10,$C$11,1),Accounts!$B:$B,"Trialer",Accounts!$C:$C,"Customer",Accounts!$E:$E,"QBDT") + SUMIFS(Accounts!$AP:$AP,Accounts!$T:$T,"&gt;="&amp;DATE($C$13,$C$14,1),Accounts!$T:$T,"&lt;"&amp;DATE($C$10,$C$11,1),Accounts!$B:$B,"Trialer",Accounts!$C:$C,"Customer",Accounts!$E:$E,"QBDT")</f>
        <v/>
      </c>
      <c r="AQ4" s="61">
        <f>SUMIFS(Accounts!$Z:$Z,Accounts!$T:$T,"&gt;="&amp;DATE($C$13,$C$14,1),Accounts!$T:$T,"&lt;"&amp;DATE($C$10,$C$11,1),Accounts!$B:$B,"Trialer",Accounts!$C:$C,"Customer",Accounts!$E:$E,"QBDT")</f>
        <v/>
      </c>
      <c r="AR4" s="61">
        <f>SUMIFS(Accounts!$AG:$AG,Accounts!$T:$T,"&gt;="&amp;DATE($C$13,$C$14,1),Accounts!$T:$T,"&lt;"&amp;DATE($C$10,$C$11,1),Accounts!$B:$B,"Trialer",Accounts!$C:$C,"Customer",Accounts!$E:$E,"QBDT") + SUMIFS(Accounts!$AL:$AL,Accounts!$T:$T,"&gt;="&amp;DATE($C$13,$C$14,1),Accounts!$T:$T,"&lt;"&amp;DATE($C$10,$C$11,1),Accounts!$B:$B,"Trialer",Accounts!$C:$C,"Customer",Accounts!$E:$E,"QBDT")</f>
        <v/>
      </c>
      <c r="AS4" s="61">
        <f>SUMIFS(Accounts!$AQ:$AQ,Accounts!$T:$T,"&gt;="&amp;DATE($C$13,$C$14,1),Accounts!$T:$T,"&lt;"&amp;DATE($C$10,$C$11,1),Accounts!$B:$B,"Trialer",Accounts!$C:$C,"Customer",Accounts!$E:$E,"QBDT")</f>
        <v/>
      </c>
      <c r="AT4" s="19">
        <f>IFERROR((
SUMPRODUCT(SUMIFS(Accounts!$AA:$AA,Accounts!$B:$B,{"Trialer","none"},Accounts!$C:$C,"Customer",Accounts!$E:$E,"QBDT")) +
SUMPRODUCT(SUMIFS(Accounts!$AH:$AH,Accounts!$B:$B,{"Trialer","none"},Accounts!$C:$C,"Customer",Accounts!$E:$E,"QBDT")) +
SUMPRODUCT(SUMIFS(Accounts!$AJ:$AJ,Accounts!$B:$B,{"Trialer","none"},Accounts!$C:$C,"Customer",Accounts!$E:$E,"QBDT")) +
SUMPRODUCT(SUMIFS(Accounts!$AI:$AI,Accounts!$B:$B,{"Trialer","none"},Accounts!$C:$C,"Customer",Accounts!$E:$E,"QBDT")) +
SUMPRODUCT(SUMIFS(Accounts!$AO:$AO,Accounts!$B:$B,{"Trialer","none"},Accounts!$C:$C,"Customer",Accounts!$E:$E,"QBDT"))
)
/BM4,0
)</f>
        <v/>
      </c>
      <c r="AU4" s="19">
        <f>IFERROR((SUMPRODUCT(SUMIFS(Accounts!$AC:$AC,Accounts!$B:$B,{"Trialer","none"},Accounts!$C:$C,"Customer",Accounts!$E:$E,"QBDT"))+SUMPRODUCT(SUMIFS(Accounts!$AF:$AF,Accounts!$B:$B,{"Trialer","none"},Accounts!$C:$C,"Customer",Accounts!$E:$E,"QBDT"))+SUMPRODUCT(SUMIFS(Accounts!$AK:$AK,Accounts!$B:$B,{"Trialer","none"},Accounts!$C:$C,"Customer",Accounts!$E:$E,"QBDT")))/BN4,0)</f>
        <v/>
      </c>
      <c r="AV4" s="19">
        <f>IFERROR((SUMPRODUCT(SUMIFS(Accounts!$AB:$AB,Accounts!$B:$B,{"Trialer","none"},Accounts!$C:$C,"Customer",Accounts!$E:$E,"QBDT")))/BO4,0)</f>
        <v/>
      </c>
      <c r="AW4" s="19">
        <f>IFERROR((SUMPRODUCT(SUMIFS(Accounts!$AD:$AD,Accounts!$B:$B,{"Trialer","none"},Accounts!$C:$C,"Customer",Accounts!$E:$E,"QBDT"))+SUMPRODUCT(SUMIFS(Accounts!$AM:$AM,Accounts!$B:$B,{"Trialer","none"},Accounts!$C:$C,"Customer",Accounts!$E:$E,"QBDT"))+SUMPRODUCT(SUMIFS(Accounts!$AN:$AN,Accounts!$B:$B,{"Trialer","none"},Accounts!$C:$C,"Customer",Accounts!$E:$E,"QBDT")))/BP4,0)</f>
        <v/>
      </c>
      <c r="AX4" s="19">
        <f>IFERROR((
SUMPRODUCT(SUMIFS(Accounts!$AP:$AP,Accounts!$B:$B,{"Trialer","none"},Accounts!$C:$C,"Customer",Accounts!$E:$E,"QBDT"))+
SUMPRODUCT(SUMIFS(Accounts!$AE:$AE,Accounts!$B:$B,{"Trialer","none"},Accounts!$C:$C,"Customer",Accounts!$E:$E,"QBDT"))+
SUMPRODUCT(SUMIFS(Accounts!$Z:$Z,Accounts!$B:$B,{"Trialer","none"},Accounts!$C:$C,"Customer",Accounts!$E:$E,"QBDT"))+
SUMPRODUCT(SUMIFS(Accounts!$AG:$AG,Accounts!$B:$B,{"Trialer","none"},Accounts!$C:$C,"Customer",Accounts!$E:$E,"QBDT"))+
SUMPRODUCT(SUMIFS(Accounts!$AL:$AL,Accounts!$B:$B,{"Trialer","none"},Accounts!$C:$C,"Customer",Accounts!$E:$E,"QBDT"))
)
/(BQ4+BS4+BT4),0
)</f>
        <v/>
      </c>
      <c r="AY4" s="19">
        <f>IFERROR((
SUMPRODUCT(SUMIFS(Accounts!$AE:$AE,Accounts!$B:$B,{"Trialer","none"},Accounts!$C:$C,"Customer",Accounts!$E:$E,"QBDT")) +
SUMPRODUCT(SUMIFS(Accounts!$AP:$AP,Accounts!$B:$B,{"Trialer","none"},Accounts!$C:$C,"Customer",Accounts!$E:$E,"QBDT"))
)
/BQ4,0
)</f>
        <v/>
      </c>
      <c r="AZ4" s="19">
        <f>IFERROR(SUMPRODUCT(SUMIFS(Accounts!$Z:$Z,Accounts!$B:$B,{"Trialer","none"},Accounts!$C:$C,"Customer",Accounts!$E:$E,"QBDT"))/BS4,0)</f>
        <v/>
      </c>
      <c r="BA4" s="19">
        <f>IFERROR((SUMPRODUCT(SUMIFS(Accounts!$AG:$AG,Accounts!$B:$B,{"Trialer","none"},Accounts!$C:$C,"Customer",Accounts!$E:$E,"QBDT")) + SUMPRODUCT(SUMIFS(Accounts!$AL:$AL,Accounts!$B:$B,{"Trialer","none"},Accounts!$C:$C,"Customer",Accounts!$E:$E,"QBDT")))/BT4,0)</f>
        <v/>
      </c>
      <c r="BB4" s="19">
        <f>IFERROR((SUMPRODUCT(SUMIFS(Accounts!$AQ:$AQ,Accounts!$B:$B,{"none","Trialer"},Accounts!$C:$C,"Customer",Accounts!$E:$E,"QBDT")))/BU4,0)</f>
        <v/>
      </c>
      <c r="BC4" s="34">
        <f>(($BC$24+$BC$27)/(($BC$23*$C$3)+(0.5*$BC$26*$C$3)))*$C$3</f>
        <v/>
      </c>
      <c r="BD4" s="34">
        <f>(($BD$24+$BD$27)/((($BD$23*$C$2)+(0.5*$BD$26*$C$2)))*$C$2)</f>
        <v/>
      </c>
      <c r="BE4" s="34">
        <f>((BE24+BE27)/((BE23*$C$2)+(0.5*BE26*$C$2)))*$C$2</f>
        <v/>
      </c>
      <c r="BF4" s="34">
        <f>((BF24+BF27)/((BF23*$C$2)+(0.5*BF26*$C$2)))*$C$2</f>
        <v/>
      </c>
      <c r="BG4" s="34">
        <f>((BG24+BG27)/((BG23*$C$2)+(0.5*BG26*$C$2)))*$C$2</f>
        <v/>
      </c>
      <c r="BH4" s="34">
        <f>((BH24+BH27)/((BH23*$C$2)+(0.5*BH26*$C$2)))*$C$2</f>
        <v/>
      </c>
      <c r="BI4" s="34">
        <f>((BI24+BI27)/((BI23*$C$2)+(0.5*BI26*$C$2)))*$C$2</f>
        <v/>
      </c>
      <c r="BJ4" s="34">
        <f>((BJ24+BJ27)/((BJ23*$C$2)+(0.5*BJ26*$C$2)))*$C$2</f>
        <v/>
      </c>
      <c r="BK4" s="34">
        <f>((BK24+BK27)/((BK23*$C$2)+(0.5*BK26*$C$2)))*$C$2</f>
        <v/>
      </c>
      <c r="BL4" s="34">
        <f>((BL24+BL27)/((BL23*$C$2)+(0.5*BL26*$C$2)))*$C$2</f>
        <v/>
      </c>
      <c r="BM4" s="39">
        <f>SUMIFS(Accounts!$AA:$AA,Accounts!$B:$B,"none",Accounts!$E:$E,"QBDT") + SUMIFS(Accounts!$AH:$AH,Accounts!$B:$B,"none",Accounts!$E:$E,"QBDT") + SUMIFS(Accounts!$AJ:$AJ,Accounts!$B:$B,"none",Accounts!$E:$E,"QBDT") + SUMIFS(Accounts!$AI:$AI,Accounts!$B:$B,"none",Accounts!$E:$E,"QBDT") + SUMIFS(Accounts!$AO:$AO,Accounts!$B:$B,"none",Accounts!$E:$E,"QBDT")</f>
        <v/>
      </c>
      <c r="BN4" s="39">
        <f>SUMIFS(Accounts!$AC:$AC,Accounts!$B:$B,"none",Accounts!$E:$E,"QBDT") + SUMIFS(Accounts!$AF:$AF,Accounts!$B:$B,"none") + SUMIFS(Accounts!$AK:$AK,Accounts!$B:$B,"none",Accounts!$E:$E,"QBDT")</f>
        <v/>
      </c>
      <c r="BO4" s="39">
        <f>SUMIFS(Accounts!$AB:$AB,Accounts!$B:$B,"none",Accounts!$E:$E,"QBDT")</f>
        <v/>
      </c>
      <c r="BP4" s="39">
        <f>SUMIFS(Accounts!$AD:$AD,Accounts!$B:$B,"none",Accounts!$E:$E,"QBDT") + SUMIFS(Accounts!$AM:$AM,Accounts!$B:$B,"none",Accounts!$E:$E,"QBDT") + SUMIFS(Accounts!$AN:$AN,Accounts!$B:$B,"none",Accounts!$E:$E,"QBDT")</f>
        <v/>
      </c>
      <c r="BQ4" s="39">
        <f>SUMIFS(Accounts!$AE:$AE,Accounts!$B:$B,"none",Accounts!$E:$E,"QBDT") + SUMIFS(Accounts!$AP:$AP,Accounts!$B:$B,"none",Accounts!$E:$E,"QBDT")</f>
        <v/>
      </c>
      <c r="BR4" s="39">
        <f>SUM(BS4:BT4,BQ4)</f>
        <v/>
      </c>
      <c r="BS4" s="39">
        <f>SUMIFS(Accounts!$Z:$Z,Accounts!$B:$B,"none",Accounts!$E:$E,"QBDT")</f>
        <v/>
      </c>
      <c r="BT4" s="39">
        <f>SUMIFS(Accounts!$AG:$AG,Accounts!$B:$B,"none",Accounts!$E:$E,"QBDT") + SUMIFS(Accounts!$AL:$AL,Accounts!$B:$B,"none",Accounts!$E:$E,"QBDT")</f>
        <v/>
      </c>
      <c r="BU4" s="39">
        <f>SUMIFS(Accounts!$AQ:$AQ,Accounts!$B:$B,"none",Accounts!$E:$E,"QBDT")</f>
        <v/>
      </c>
      <c r="BV4" s="76">
        <f>T$31/(BD$23+BD$26)</f>
        <v/>
      </c>
      <c r="BW4" s="76">
        <f>V$31/(BE$23+BE$26)</f>
        <v/>
      </c>
      <c r="BX4" s="76">
        <f>X$31/(BF$23+BF$26)</f>
        <v/>
      </c>
      <c r="BY4" s="76">
        <f>Z$31/(BG$23+BG$26)</f>
        <v/>
      </c>
      <c r="BZ4" s="76">
        <f>($AB$31+AD31+AF31)/($BI$23+$BJ$23+BK23+$BI$26+BJ26+BK26)</f>
        <v/>
      </c>
      <c r="CA4" s="76">
        <f>$AB$31/($BI$23+$BI$26)</f>
        <v/>
      </c>
      <c r="CB4" s="76">
        <f>AD$31/(BJ$23+BJ$26)</f>
        <v/>
      </c>
      <c r="CC4" s="76">
        <f>AF$31/(BK$23+BK$26)</f>
        <v/>
      </c>
      <c r="CD4" s="76">
        <f>AH$31/(BL$23+BL$26)</f>
        <v/>
      </c>
      <c r="CE4" s="76">
        <f>(T$31+AJ$31)/(BD$23+BD$26)</f>
        <v/>
      </c>
      <c r="CF4" s="76">
        <f>(V$31+AL$31)/(BE$23+BE$26)</f>
        <v/>
      </c>
      <c r="CG4" s="76">
        <f>(X$31+AN$31)/(BF$23+BF$26)</f>
        <v/>
      </c>
      <c r="CH4" s="76">
        <f>(Z$31+AP$31)/(BG$23+BG$26)</f>
        <v/>
      </c>
      <c r="CI4" s="76">
        <f>($AB$31+$AR$31+AD31+AF31+AT31+AV31)/($BI$23+$BI$26+BJ23+BK23+BJ26+BK26)</f>
        <v/>
      </c>
      <c r="CJ4" s="76">
        <f>($AB$31+$AR$31)/($BI$23+$BI$26)</f>
        <v/>
      </c>
      <c r="CK4" s="76">
        <f>(AD$31+AT$31)/(BJ$23+BJ$26)</f>
        <v/>
      </c>
      <c r="CL4" s="76">
        <f>(AF$31+AV$31)/(BK$23+BK$26)</f>
        <v/>
      </c>
      <c r="CM4" s="76">
        <f>(AH$31+AX$31)/(BL$23+BL$26)</f>
        <v/>
      </c>
      <c r="CN4" s="76">
        <f>BV$4*BD$22</f>
        <v/>
      </c>
      <c r="CO4" s="76">
        <f>BW$4*BE$22</f>
        <v/>
      </c>
      <c r="CP4" s="76">
        <f>BX$4*BF$22</f>
        <v/>
      </c>
      <c r="CQ4" s="76">
        <f>BY$4*BG$22</f>
        <v/>
      </c>
      <c r="CR4" s="76">
        <f>$BZ$4*$BH$22</f>
        <v/>
      </c>
      <c r="CS4" s="76">
        <f>$CA$4*$BI$22</f>
        <v/>
      </c>
      <c r="CT4" s="76">
        <f>CB$4*BJ$22</f>
        <v/>
      </c>
      <c r="CU4" s="76">
        <f>CC$4*BK$22</f>
        <v/>
      </c>
      <c r="CV4" s="76">
        <f>CD$4*BL$22</f>
        <v/>
      </c>
      <c r="CW4" s="34">
        <f>((CW22+CW25)/((CW21*$C$2)+(0.5*CW24*$C$2)))*$C$2</f>
        <v/>
      </c>
      <c r="CX4" s="39">
        <f>COUNTIFS(Accounts!$AS:$AS, "Manufacturing (MWD)",Accounts!$B:$B,"none",Accounts!$E:$E,"QBDT")</f>
        <v/>
      </c>
      <c r="CY4" s="33">
        <f>COUNTIFS(Accounts!$AS:$AS, "Manufacturing (MWD)",Accounts!$B:$B,"Customer",Accounts!$E:$E,"QBDT")</f>
        <v/>
      </c>
      <c r="CZ4" s="76">
        <f>SUMIFS(Accounts!$I:$I,Accounts!$AS:$AS, "Manufacturing (MWD)",Accounts!$E:$E,"QBDT")</f>
        <v/>
      </c>
      <c r="DA4" s="76">
        <f>SUMIFS(Accounts!$N:$N,Accounts!$AS:$AS, "Manufacturing (MWD)",Accounts!$E:$E,"QBDT")</f>
        <v/>
      </c>
      <c r="DB4" s="76">
        <f>CZ4/(CY4+CW24)</f>
        <v/>
      </c>
      <c r="DC4" s="76">
        <f>(CZ4+DA4)/(CY4+CW24)</f>
        <v/>
      </c>
      <c r="DD4" s="76">
        <f>CW20*DB4</f>
        <v/>
      </c>
      <c r="DE4" s="76">
        <f>AVERAGEIFS(Accounts!$AY:$AY,Accounts!$AS:$AS, "Manufacturing (MWD)",Accounts!$B:$B,"Customer",Accounts!$AY:$AY,"&gt;0",Accounts!$E:$E,"QBDT")</f>
        <v/>
      </c>
      <c r="DF4" s="33">
        <f>AVERAGEIFS(Accounts!$AX:$AX,Accounts!$AS:$AS, "Manufacturing (MWD)",Accounts!$B:$B,"Customer",Accounts!$AX:$AX,"&gt;0",Accounts!$E:$E,"QBDT")</f>
        <v/>
      </c>
      <c r="DG4" s="76">
        <f>AVERAGEIFS(Accounts!$AY:$AY,Accounts!$AS:$AS, "Manufacturing (MWD)",Accounts!$B:$B,"none",Accounts!$AY:$AY,"&gt;0",Accounts!$E:$E,"QBDT")</f>
        <v/>
      </c>
      <c r="DH4" s="33">
        <f>AVERAGEIFS(Accounts!$AX:$AX,Accounts!$AS:$AS, "Manufacturing (MWD)",Accounts!$B:$B,"none",Accounts!$AX:$AX,"&gt;0",Accounts!$E:$E,"QBDT")</f>
        <v/>
      </c>
      <c r="DI4" s="55">
        <f>SUMIFS(Accounts!$AA:$AA,Accounts!$B:$B,"Customer",Accounts!$AS:$AS, "Manufacturing (MWD)",Accounts!$E:$E,"QBDT") + SUMIFS(Accounts!$AH:$AH,Accounts!$B:$B,"Customer",Accounts!$AS:$AS, "Manufacturing (MWD)",Accounts!$E:$E,"QBDT") + SUMIFS(Accounts!$AJ:$AJ,Accounts!$B:$B,"Customer",Accounts!$AS:$AS, "Manufacturing (MWD)",Accounts!$E:$E,"QBDT") + SUMIFS(Accounts!$AI:$AI,Accounts!$B:$B,"Customer",Accounts!$AS:$AS, "Manufacturing (MWD)",Accounts!$E:$E,"QBDT") + SUMIFS(Accounts!$AO:$AO,Accounts!$B:$B,"Customer",Accounts!$AS:$AS, "Manufacturing (MWD)",Accounts!$E:$E,"QBDT")</f>
        <v/>
      </c>
      <c r="DJ4" s="55">
        <f>(SUMIFS(Accounts!$AC:$AC,Accounts!$B:$B,"Customer",Accounts!$AS:$AS, "Manufacturing (MWD)",Accounts!$E:$E,"QBDT")+SUMIFS(Accounts!$AF:$AF,Accounts!$B:$B,"Customer",Accounts!$AS:$AS, "Manufacturing (MWD)",Accounts!$E:$E,"QBDT")+SUMIFS(Accounts!$AK:$AK,Accounts!$B:$B,"Customer",Accounts!$AS:$AS, "Manufacturing (MWD)",Accounts!$E:$E,"QBDT"))</f>
        <v/>
      </c>
      <c r="DK4" s="55">
        <f>SUMIFS(Accounts!$AB:$AB,Accounts!$B:$B,"Customer",Accounts!$AS:$AS, "Manufacturing (MWD)",Accounts!$E:$E,"QBDT")</f>
        <v/>
      </c>
      <c r="DL4" s="55">
        <f>SUMIFS(Accounts!$AD:$AD,Accounts!$B:$B,"Customer",Accounts!$AS:$AS, "Manufacturing (MWD)",Accounts!$E:$E,"QBDT")+SUMIFS(Accounts!$AM:$AM,Accounts!$B:$B,"Customer",Accounts!$AS:$AS, "Manufacturing (MWD)",Accounts!$E:$E,"QBDT")+SUMIFS(Accounts!$AN:$AN,Accounts!$B:$B,"Customer",Accounts!$AS:$AS, "Manufacturing (MWD)",Accounts!$E:$E,"QBDT")</f>
        <v/>
      </c>
      <c r="DM4" s="55">
        <f>SUMIFS(Accounts!$AE:$AE,Accounts!$B:$B,"Customer",Accounts!$AS:$AS, "Manufacturing (MWD)",Accounts!$E:$E,"QBDT") + SUMIFS(Accounts!$AP:$AP,Accounts!$B:$B,"Customer",Accounts!$AS:$AS, "Manufacturing (MWD)",Accounts!$E:$E,"QBDT")</f>
        <v/>
      </c>
      <c r="DN4" s="55">
        <f>SUMIFS(Accounts!$Z:$Z,Accounts!$B:$B,"Customer",Accounts!$AS:$AS, "Manufacturing (MWD)",Accounts!$E:$E,"QBDT")</f>
        <v/>
      </c>
      <c r="DO4" s="55">
        <f>SUMIFS(Accounts!$AG:$AG,Accounts!$B:$B,"Customer",Accounts!$AS:$AS, "Manufacturing (MWD)",Accounts!$E:$E,"QBDT") + SUMIFS(Accounts!$AL:$AL,Accounts!$B:$B,"Customer",Accounts!$AS:$AS, "Manufacturing (MWD)",Accounts!$E:$E,"QBDT")</f>
        <v/>
      </c>
      <c r="DP4" s="55">
        <f>SUMIFS(Accounts!$AQ:$AQ,Accounts!$B:$B,"Customer",Accounts!$AS:$AS, "Manufacturing (MWD)",Accounts!$E:$E,"QBDT")</f>
        <v/>
      </c>
      <c r="DQ4" s="55">
        <f>SUMIFS(Accounts!$AA:$AA,Accounts!$B:$B,"none",Accounts!$AS:$AS, "Manufacturing (MWD)",Accounts!$E:$E,"QBDT") + SUMIFS(Accounts!$AH:$AH,Accounts!$B:$B,"none",Accounts!$AS:$AS, "Manufacturing (MWD)",Accounts!$E:$E,"QBDT") + SUMIFS(Accounts!$AJ:$AJ,Accounts!$B:$B,"none",Accounts!$AS:$AS, "Manufacturing (MWD)",Accounts!$E:$E,"QBDT") + SUMIFS(Accounts!$AI:$AI,Accounts!$B:$B,"none",Accounts!$AS:$AS, "Manufacturing (MWD)",Accounts!$E:$E,"QBDT") + SUMIFS(Accounts!$AO:$AO,Accounts!$B:$B,"none",Accounts!$AS:$AS, "Manufacturing (MWD)",Accounts!$E:$E,"QBDT")</f>
        <v/>
      </c>
      <c r="DR4" s="55">
        <f>(SUMIFS(Accounts!$AC:$AC,Accounts!$B:$B,"none",Accounts!$AS:$AS, "Manufacturing (MWD)",Accounts!$E:$E,"QBDT")+SUMIFS(Accounts!$AF:$AF,Accounts!$B:$B,"none",Accounts!$AS:$AS, "Manufacturing (MWD)",Accounts!$E:$E,"QBDT")+SUMIFS(Accounts!$AK:$AK,Accounts!$B:$B,"none",Accounts!$AS:$AS, "Manufacturing (MWD)",Accounts!$E:$E,"QBDT"))</f>
        <v/>
      </c>
      <c r="DS4" s="55">
        <f>SUMIFS(Accounts!$AB:$AB,Accounts!$B:$B,"none",Accounts!$AS:$AS, "Manufacturing (MWD)",Accounts!$E:$E,"QBDT")</f>
        <v/>
      </c>
      <c r="DT4" s="55">
        <f>SUMIFS(Accounts!$AD:$AD,Accounts!$B:$B,"none",Accounts!$AS:$AS, "Manufacturing (MWD)",Accounts!$E:$E,"QBDT")+SUMIFS(Accounts!$AM:$AM,Accounts!$B:$B,"none",Accounts!$AS:$AS, "Manufacturing (MWD)",Accounts!$E:$E,"QBDT")+SUMIFS(Accounts!$AN:$AN,Accounts!$B:$B,"none",Accounts!$AS:$AS, "Manufacturing (MWD)",Accounts!$E:$E,"QBDT")</f>
        <v/>
      </c>
      <c r="DU4" s="39">
        <f>SUMIFS(Accounts!$AE:$AE,Accounts!$B:$B,"none",Accounts!$AS:$AS, "Manufacturing (MWD)",Accounts!$E:$E,"QBDT") + SUMIFS(Accounts!$AP:$AP,Accounts!$B:$B,"none",Accounts!$AS:$AS, "Manufacturing (MWD)",Accounts!$E:$E,"QBDT")</f>
        <v/>
      </c>
      <c r="DV4" s="55">
        <f>SUMIFS(Accounts!$Z:$Z,Accounts!$B:$B,"none",Accounts!$AS:$AS, "Manufacturing (MWD)",Accounts!$E:$E,"QBDT")</f>
        <v/>
      </c>
      <c r="DW4" s="39">
        <f>SUMIFS(Accounts!$AG:$AG,Accounts!$B:$B,"none",Accounts!$AS:$AS, "Manufacturing (MWD)",Accounts!$E:$E,"QBDT") + SUMIFS(Accounts!$AL:$AL,Accounts!$B:$B,"none",Accounts!$AS:$AS, "Manufacturing (MWD)",Accounts!$E:$E,"QBDT")</f>
        <v/>
      </c>
      <c r="DX4" s="55">
        <f>SUMIFS(Accounts!$AQ:$AQ,Accounts!$B:$B,"none",Accounts!$AS:$AS, "Manufacturing (MWD)",Accounts!$E:$E,"QBDT")</f>
        <v/>
      </c>
      <c r="DY4" s="34">
        <f>((DY22+DY25)/((DY21*$C$2)+(0.5*DY24*$C$2)))*$C$2</f>
        <v/>
      </c>
      <c r="DZ4" s="39">
        <f>COUNTIFS(Accounts!$AS:$AS, "Wholesale and distribution services (MWD)",Accounts!$B:$B,"none",Accounts!$E:$E,"QBDT")</f>
        <v/>
      </c>
      <c r="EA4" s="33">
        <f>COUNTIFS(Accounts!$AS:$AS, "Wholesale and distribution services (MWD)",Accounts!$B:$B,"Customer",Accounts!$E:$E,"QBDT")</f>
        <v/>
      </c>
      <c r="EB4" s="76">
        <f>SUMIFS(Accounts!$I:$I,Accounts!$AS:$AS, "Wholesale and distribution services (MWD)",Accounts!$E:$E,"QBDT")</f>
        <v/>
      </c>
      <c r="EC4" s="76">
        <f>SUMIFS(Accounts!$N:$N,Accounts!$AS:$AS, "Wholesale and distribution services (MWD)",Accounts!$E:$E,"QBDT")</f>
        <v/>
      </c>
      <c r="ED4" s="76">
        <f>EB4/(EA4+DY24)</f>
        <v/>
      </c>
      <c r="EE4" s="76">
        <f>(EB4+EC4)/(EA4+DY24)</f>
        <v/>
      </c>
      <c r="EF4" s="76">
        <f>DY20*ED4</f>
        <v/>
      </c>
      <c r="EG4" s="76">
        <f>AVERAGEIFS(Accounts!$AY:$AY,Accounts!$AS:$AS, "Wholesale and distribution services (MWD)",Accounts!$B:$B,"Customer",Accounts!$AY:$AY,"&gt;0",Accounts!$E:$E,"QBDT")</f>
        <v/>
      </c>
      <c r="EH4" s="33">
        <f>AVERAGEIFS(Accounts!$AX:$AX,Accounts!$AS:$AS, "Wholesale and distribution services (MWD)",Accounts!$B:$B,"Customer",Accounts!$AX:$AX,"&gt;0",Accounts!$E:$E,"QBDT")</f>
        <v/>
      </c>
      <c r="EI4" s="76">
        <f>AVERAGEIFS(Accounts!$AY:$AY,Accounts!$AS:$AS, "Wholesale and distribution services (MWD)",Accounts!$B:$B,"none",Accounts!$AY:$AY,"&gt;0",Accounts!$E:$E,"QBDT")</f>
        <v/>
      </c>
      <c r="EJ4" s="33">
        <f>AVERAGEIFS(Accounts!$AX:$AX,Accounts!$AS:$AS, "Wholesale and distribution services (MWD)",Accounts!$B:$B,"none",Accounts!$AX:$AX,"&gt;0",Accounts!$E:$E,"QBDT")</f>
        <v/>
      </c>
      <c r="EK4" s="55">
        <f>SUMIFS(Accounts!$AA:$AA,Accounts!$B:$B,"Customer",Accounts!$AS:$AS, "Wholesale and distribution services (MWD)",Accounts!$E:$E,"QBDT") + SUMIFS(Accounts!$AH:$AH,Accounts!$B:$B,"Customer",Accounts!$AS:$AS, "Wholesale and distribution services (MWD)",Accounts!$E:$E,"QBDT") + SUMIFS(Accounts!$AJ:$AJ,Accounts!$B:$B,"Customer",Accounts!$AS:$AS, "Wholesale and distribution services (MWD)",Accounts!$E:$E,"QBDT") + SUMIFS(Accounts!$AI:$AI,Accounts!$B:$B,"Customer",Accounts!$AS:$AS, "Wholesale and distribution services (MWD)",Accounts!$E:$E,"QBDT") + SUMIFS(Accounts!$AO:$AO,Accounts!$B:$B,"Customer",Accounts!$AS:$AS, "Wholesale and distribution services (MWD)",Accounts!$E:$E,"QBDT")</f>
        <v/>
      </c>
      <c r="EL4" s="55">
        <f>(SUMIFS(Accounts!$AC:$AC,Accounts!$B:$B,"Customer",Accounts!$AS:$AS, "Wholesale and distribution services (MWD)",Accounts!$E:$E,"QBDT")+SUMIFS(Accounts!$AF:$AF,Accounts!$B:$B,"Customer",Accounts!$AS:$AS, "Wholesale and distribution services (MWD)",Accounts!$E:$E,"QBDT")+SUMIFS(Accounts!$AK:$AK,Accounts!$B:$B,"Customer",Accounts!$AS:$AS, "Wholesale and distribution services (MWD)",Accounts!$E:$E,"QBDT"))</f>
        <v/>
      </c>
      <c r="EM4" s="55">
        <f>SUMIFS(Accounts!$AB:$AB,Accounts!$B:$B,"Customer",Accounts!$AS:$AS, "Wholesale and distribution services (MWD)",Accounts!$E:$E,"QBDT")</f>
        <v/>
      </c>
      <c r="EN4" s="55">
        <f>SUMIFS(Accounts!$AD:$AD,Accounts!$B:$B,"Customer",Accounts!$AS:$AS, "Wholesale and distribution services (MWD)",Accounts!$E:$E,"QBDT")+SUMIFS(Accounts!$AM:$AM,Accounts!$B:$B,"Customer",Accounts!$AS:$AS, "Wholesale and distribution services (MWD)",Accounts!$E:$E,"QBDT")+SUMIFS(Accounts!$AN:$AN,Accounts!$B:$B,"Customer",Accounts!$AS:$AS, "Wholesale and distribution services (MWD)",Accounts!$E:$E,"QBDT")</f>
        <v/>
      </c>
      <c r="EO4" s="55">
        <f>SUMIFS(Accounts!$AE:$AE,Accounts!$B:$B,"Customer",Accounts!$AS:$AS, "Wholesale and distribution services (MWD)",Accounts!$E:$E,"QBDT") + SUMIFS(Accounts!$AP:$AP,Accounts!$B:$B,"Customer",Accounts!$AS:$AS, "Wholesale and distribution services (MWD)",Accounts!$E:$E,"QBDT")</f>
        <v/>
      </c>
      <c r="EP4" s="55">
        <f>SUMIFS(Accounts!$Z:$Z,Accounts!$B:$B,"Customer",Accounts!$AS:$AS, "Wholesale and distribution services (MWD)",Accounts!$E:$E,"QBDT")</f>
        <v/>
      </c>
      <c r="EQ4" s="55">
        <f>SUMIFS(Accounts!$AG:$AG,Accounts!$B:$B,"Customer",Accounts!$AS:$AS, "Wholesale and distribution services (MWD)",Accounts!$E:$E,"QBDT") + SUMIFS(Accounts!$AL:$AL,Accounts!$B:$B,"Customer",Accounts!$AS:$AS, "Wholesale and distribution services (MWD)",Accounts!$E:$E,"QBDT")</f>
        <v/>
      </c>
      <c r="ER4" s="55">
        <f>SUMIFS(Accounts!$AQ:$AQ,Accounts!$B:$B,"Customer",Accounts!$AS:$AS, "Wholesale and distribution services (MWD)",Accounts!$E:$E,"QBDT")</f>
        <v/>
      </c>
      <c r="ES4" s="55">
        <f>SUMIFS(Accounts!$AA:$AA,Accounts!$B:$B,"none",Accounts!$AS:$AS, "Wholesale and distribution services (MWD)",Accounts!$E:$E,"QBDT") + SUMIFS(Accounts!$AH:$AH,Accounts!$B:$B,"none",Accounts!$AS:$AS, "Wholesale and distribution services (MWD)",Accounts!$E:$E,"QBDT") + SUMIFS(Accounts!$AJ:$AJ,Accounts!$B:$B,"none",Accounts!$AS:$AS, "Wholesale and distribution services (MWD)",Accounts!$E:$E,"QBDT") + SUMIFS(Accounts!$AI:$AI,Accounts!$B:$B,"none",Accounts!$AS:$AS, "Wholesale and distribution services (MWD)",Accounts!$E:$E,"QBDT") + SUMIFS(Accounts!$AO:$AO,Accounts!$B:$B,"none",Accounts!$AS:$AS, "Wholesale and distribution services (MWD)",Accounts!$E:$E,"QBDT")</f>
        <v/>
      </c>
      <c r="ET4" s="55">
        <f>(SUMIFS(Accounts!$AC:$AC,Accounts!$B:$B,"none",Accounts!$AS:$AS, "Wholesale and distribution services (MWD)",Accounts!$E:$E,"QBDT")+SUMIFS(Accounts!$AF:$AF,Accounts!$B:$B,"none",Accounts!$AS:$AS, "Wholesale and distribution services (MWD)",Accounts!$E:$E,"QBDT")+SUMIFS(Accounts!$AK:$AK,Accounts!$B:$B,"none",Accounts!$AS:$AS, "Wholesale and distribution services (MWD)",Accounts!$E:$E,"QBDT"))</f>
        <v/>
      </c>
      <c r="EU4" s="55">
        <f>SUMIFS(Accounts!$AB:$AB,Accounts!$B:$B,"none",Accounts!$AS:$AS, "Wholesale and distribution services (MWD)",Accounts!$E:$E,"QBDT")</f>
        <v/>
      </c>
      <c r="EV4" s="55">
        <f>SUMIFS(Accounts!$AD:$AD,Accounts!$B:$B,"none",Accounts!$AS:$AS, "Wholesale and distribution services (MWD)",Accounts!$E:$E,"QBDT")+SUMIFS(Accounts!$AM:$AM,Accounts!$B:$B,"none",Accounts!$AS:$AS, "Wholesale and distribution services (MWD)",Accounts!$E:$E,"QBDT")+SUMIFS(Accounts!$AN:$AN,Accounts!$B:$B,"none",Accounts!$AS:$AS, "Wholesale and distribution services (MWD)",Accounts!$E:$E,"QBDT")</f>
        <v/>
      </c>
      <c r="EW4" s="39">
        <f>SUMIFS(Accounts!$AE:$AE,Accounts!$B:$B,"none",Accounts!$AS:$AS, "Wholesale and distribution services (MWD)",Accounts!$E:$E,"QBDT") + SUMIFS(Accounts!$AP:$AP,Accounts!$B:$B,"none",Accounts!$AS:$AS, "Wholesale and distribution services (MWD)",Accounts!$E:$E,"QBDT")</f>
        <v/>
      </c>
      <c r="EX4" s="55">
        <f>SUMIFS(Accounts!$Z:$Z,Accounts!$B:$B,"none",Accounts!$AS:$AS, "Wholesale and distribution services (MWD)",Accounts!$E:$E,"QBDT")</f>
        <v/>
      </c>
      <c r="EY4" s="39">
        <f>SUMIFS(Accounts!$AG:$AG,Accounts!$B:$B,"none",Accounts!$AS:$AS, "Wholesale and distribution services (MWD)",Accounts!$E:$E,"QBDT") + SUMIFS(Accounts!$AL:$AL,Accounts!$B:$B,"none",Accounts!$AS:$AS, "Wholesale and distribution services (MWD)",Accounts!$E:$E,"QBDT")</f>
        <v/>
      </c>
      <c r="EZ4" s="55">
        <f>SUMIFS(Accounts!$AQ:$AQ,Accounts!$B:$B,"none",Accounts!$AS:$AS, "Wholesale and distribution services (MWD)",Accounts!$E:$E,"QBDT")</f>
        <v/>
      </c>
      <c r="FA4" s="34">
        <f>((FA22+FA25)/((FA21*$C$2)+(0.5*FA24*$C$2)))*$C$2</f>
        <v/>
      </c>
      <c r="FB4" s="39">
        <f>COUNTIFS(Accounts!$AS:$AS, "Construction",Accounts!$B:$B,"none",Accounts!$E:$E,"QBDT")</f>
        <v/>
      </c>
      <c r="FC4" s="33">
        <f>COUNTIFS(Accounts!$AS:$AS, "Construction",Accounts!$B:$B,"Customer",Accounts!$E:$E,"QBDT")</f>
        <v/>
      </c>
      <c r="FD4" s="76">
        <f>SUMIFS(Accounts!$I:$I,Accounts!$AS:$AS, "Construction",Accounts!$E:$E,"QBDT")</f>
        <v/>
      </c>
      <c r="FE4" s="76">
        <f>SUMIFS(Accounts!$N:$N,Accounts!$AS:$AS, "Construction",Accounts!$E:$E,"QBDT")</f>
        <v/>
      </c>
      <c r="FF4" s="76">
        <f>FD4/(FC4+FA24)</f>
        <v/>
      </c>
      <c r="FG4" s="76">
        <f>(FD4+FE4)/(FC4+FA24)</f>
        <v/>
      </c>
      <c r="FH4" s="76">
        <f>FA20*FF4</f>
        <v/>
      </c>
      <c r="FI4" s="76">
        <f>AVERAGEIFS(Accounts!$AY:$AY,Accounts!$AS:$AS, "Construction",Accounts!$B:$B,"Customer",Accounts!$AY:$AY,"&gt;0",Accounts!$E:$E,"QBDT")</f>
        <v/>
      </c>
      <c r="FJ4" s="33">
        <f>AVERAGEIFS(Accounts!$AX:$AX,Accounts!$AS:$AS, "Construction",Accounts!$B:$B,"Customer",Accounts!$AX:$AX,"&gt;0",Accounts!$E:$E,"QBDT")</f>
        <v/>
      </c>
      <c r="FK4" s="76">
        <f>AVERAGEIFS(Accounts!$AY:$AY,Accounts!$AS:$AS, "Construction",Accounts!$B:$B,"none",Accounts!$AY:$AY,"&gt;0",Accounts!$E:$E,"QBDT")</f>
        <v/>
      </c>
      <c r="FL4" s="33">
        <f>AVERAGEIFS(Accounts!$AX:$AX,Accounts!$AS:$AS, "Construction",Accounts!$B:$B,"none",Accounts!$AX:$AX,"&gt;0",Accounts!$E:$E,"QBDT")</f>
        <v/>
      </c>
      <c r="FM4" s="55">
        <f>SUMIFS(Accounts!$AA:$AA,Accounts!$B:$B,"Customer",Accounts!$AS:$AS, "Construction",Accounts!$E:$E,"QBDT") + SUMIFS(Accounts!$AH:$AH,Accounts!$B:$B,"Customer",Accounts!$AS:$AS, "Construction",Accounts!$E:$E,"QBDT") + SUMIFS(Accounts!$AJ:$AJ,Accounts!$B:$B,"Customer",Accounts!$AS:$AS, "Construction",Accounts!$E:$E,"QBDT") + SUMIFS(Accounts!$AI:$AI,Accounts!$B:$B,"Customer",Accounts!$AS:$AS, "Construction",Accounts!$E:$E,"QBDT") + SUMIFS(Accounts!$AO:$AO,Accounts!$B:$B,"Customer",Accounts!$AS:$AS, "Construction",Accounts!$E:$E,"QBDT")</f>
        <v/>
      </c>
      <c r="FN4" s="55">
        <f>(SUMIFS(Accounts!$AC:$AC,Accounts!$B:$B,"Customer",Accounts!$AS:$AS, "Construction",Accounts!$E:$E,"QBDT")+SUMIFS(Accounts!$AF:$AF,Accounts!$B:$B,"Customer",Accounts!$AS:$AS, "Construction",Accounts!$E:$E,"QBDT")+SUMIFS(Accounts!$AK:$AK,Accounts!$B:$B,"Customer",Accounts!$AS:$AS, "Construction",Accounts!$E:$E,"QBDT"))</f>
        <v/>
      </c>
      <c r="FO4" s="55">
        <f>SUMIFS(Accounts!$AB:$AB,Accounts!$B:$B,"Customer",Accounts!$AS:$AS, "Construction",Accounts!$E:$E,"QBDT")</f>
        <v/>
      </c>
      <c r="FP4" s="55">
        <f>SUMIFS(Accounts!$AD:$AD,Accounts!$B:$B,"Customer",Accounts!$AS:$AS, "Construction",Accounts!$E:$E,"QBDT")+SUMIFS(Accounts!$AM:$AM,Accounts!$B:$B,"Customer",Accounts!$AS:$AS, "Construction",Accounts!$E:$E,"QBDT")+SUMIFS(Accounts!$AN:$AN,Accounts!$B:$B,"Customer",Accounts!$AS:$AS, "Construction",Accounts!$E:$E,"QBDT")</f>
        <v/>
      </c>
      <c r="FQ4" s="55">
        <f>SUMIFS(Accounts!$AE:$AE,Accounts!$B:$B,"Customer",Accounts!$AS:$AS, "Construction",Accounts!$E:$E,"QBDT") + SUMIFS(Accounts!$AP:$AP,Accounts!$B:$B,"Customer",Accounts!$AS:$AS, "Construction",Accounts!$E:$E,"QBDT")</f>
        <v/>
      </c>
      <c r="FR4" s="55">
        <f>SUMIFS(Accounts!$Z:$Z,Accounts!$B:$B,"Customer",Accounts!$AS:$AS, "Construction",Accounts!$E:$E,"QBDT")</f>
        <v/>
      </c>
      <c r="FS4" s="55">
        <f>SUMIFS(Accounts!$AG:$AG,Accounts!$B:$B,"Customer",Accounts!$AS:$AS, "Construction",Accounts!$E:$E,"QBDT") + SUMIFS(Accounts!$AL:$AL,Accounts!$B:$B,"Customer",Accounts!$AS:$AS, "Construction",Accounts!$E:$E,"QBDT")</f>
        <v/>
      </c>
      <c r="FT4" s="55">
        <f>SUMIFS(Accounts!$AQ:$AQ,Accounts!$B:$B,"Customer",Accounts!$AS:$AS, "Construction",Accounts!$E:$E,"QBDT")</f>
        <v/>
      </c>
      <c r="FU4" s="55">
        <f>SUMIFS(Accounts!$AA:$AA,Accounts!$B:$B,"none",Accounts!$AS:$AS, "Construction",Accounts!$E:$E,"QBDT") + SUMIFS(Accounts!$AH:$AH,Accounts!$B:$B,"none",Accounts!$AS:$AS, "Construction",Accounts!$E:$E,"QBDT") + SUMIFS(Accounts!$AJ:$AJ,Accounts!$B:$B,"none",Accounts!$AS:$AS, "Construction",Accounts!$E:$E,"QBDT") + SUMIFS(Accounts!$AI:$AI,Accounts!$B:$B,"none",Accounts!$AS:$AS, "Construction",Accounts!$E:$E,"QBDT") + SUMIFS(Accounts!$AO:$AO,Accounts!$B:$B,"none",Accounts!$AS:$AS, "Construction",Accounts!$E:$E,"QBDT")</f>
        <v/>
      </c>
      <c r="FV4" s="55">
        <f>(SUMIFS(Accounts!$AC:$AC,Accounts!$B:$B,"none",Accounts!$AS:$AS, "Construction",Accounts!$E:$E,"QBDT")+SUMIFS(Accounts!$AF:$AF,Accounts!$B:$B,"none",Accounts!$AS:$AS, "Construction",Accounts!$E:$E,"QBDT")+SUMIFS(Accounts!$AK:$AK,Accounts!$B:$B,"none",Accounts!$AS:$AS, "Construction",Accounts!$E:$E,"QBDT"))</f>
        <v/>
      </c>
      <c r="FW4" s="55">
        <f>SUMIFS(Accounts!$AB:$AB,Accounts!$B:$B,"none",Accounts!$AS:$AS, "Construction",Accounts!$E:$E,"QBDT")</f>
        <v/>
      </c>
      <c r="FX4" s="55">
        <f>SUMIFS(Accounts!$AD:$AD,Accounts!$B:$B,"none",Accounts!$AS:$AS, "Construction",Accounts!$E:$E,"QBDT")+SUMIFS(Accounts!$AM:$AM,Accounts!$B:$B,"none",Accounts!$AS:$AS, "Construction",Accounts!$E:$E,"QBDT")+SUMIFS(Accounts!$AN:$AN,Accounts!$B:$B,"none",Accounts!$AS:$AS, "Construction",Accounts!$E:$E,"QBDT")</f>
        <v/>
      </c>
      <c r="FY4" s="39">
        <f>SUMIFS(Accounts!$AE:$AE,Accounts!$B:$B,"none",Accounts!$AS:$AS, "Construction",Accounts!$E:$E,"QBDT") + SUMIFS(Accounts!$AP:$AP,Accounts!$B:$B,"none",Accounts!$AS:$AS, "Construction",Accounts!$E:$E,"QBDT")</f>
        <v/>
      </c>
      <c r="FZ4" s="55">
        <f>SUMIFS(Accounts!$Z:$Z,Accounts!$B:$B,"none",Accounts!$AS:$AS, "Construction",Accounts!$E:$E,"QBDT")</f>
        <v/>
      </c>
      <c r="GA4" s="39">
        <f>SUMIFS(Accounts!$AG:$AG,Accounts!$B:$B,"none",Accounts!$AS:$AS, "Construction",Accounts!$E:$E,"QBDT") + SUMIFS(Accounts!$AL:$AL,Accounts!$B:$B,"none",Accounts!$AS:$AS, "Construction",Accounts!$E:$E,"QBDT")</f>
        <v/>
      </c>
      <c r="GB4" s="55">
        <f>SUMIFS(Accounts!$AQ:$AQ,Accounts!$B:$B,"none",Accounts!$AS:$AS, "Construction",Accounts!$E:$E,"QBDT")</f>
        <v/>
      </c>
      <c r="GC4" s="34">
        <f>((GC22+GC25)/((GC21*$C$2)+(0.5*GC24*$C$2)))*$C$2</f>
        <v/>
      </c>
      <c r="GD4" s="39">
        <f>COUNTIFS(Accounts!$AS:$AS, "Field Services",Accounts!$B:$B,"none",Accounts!$E:$E,"QBDT")</f>
        <v/>
      </c>
      <c r="GE4" s="33">
        <f>COUNTIFS(Accounts!$AS:$AS, "Field Services",Accounts!$B:$B,"Customer",Accounts!$E:$E,"QBDT")</f>
        <v/>
      </c>
      <c r="GF4" s="76">
        <f>SUMIFS(Accounts!$I:$I,Accounts!$AS:$AS, "Field Services",Accounts!$E:$E,"QBDT")</f>
        <v/>
      </c>
      <c r="GG4" s="76">
        <f>SUMIFS(Accounts!$N:$N,Accounts!$AS:$AS, "Field Services",Accounts!$E:$E,"QBDT")</f>
        <v/>
      </c>
      <c r="GH4" s="76">
        <f>GF4/(GE4+GC24)</f>
        <v/>
      </c>
      <c r="GI4" s="76">
        <f>(GF4+GG4)/(GE4+GC24)</f>
        <v/>
      </c>
      <c r="GJ4" s="76">
        <f>GC20*GH4</f>
        <v/>
      </c>
      <c r="GK4" s="76">
        <f>IFERROR(AVERAGEIFS(Accounts!$AY:$AY,Accounts!$AS:$AS, "Field Services",Accounts!$B:$B,"Customer",Accounts!$AY:$AY,"&gt;0",Accounts!$E:$E,"QBDT"),0)</f>
        <v/>
      </c>
      <c r="GL4" s="33">
        <f>IFERROR(AVERAGEIFS(Accounts!$AX:$AX,Accounts!$AS:$AS, "Field Services",Accounts!$B:$B,"Customer",Accounts!$AX:$AX,"&gt;0",Accounts!$E:$E,"QBDT"),0)</f>
        <v/>
      </c>
      <c r="GM4" s="76">
        <f>IFERROR(AVERAGEIFS(Accounts!$AY:$AY,Accounts!$AS:$AS,"Field Services",Accounts!$B:$B,"none",Accounts!$AY:$AY,"&gt;0",Accounts!$E:$E,"QBDT"),0)</f>
        <v/>
      </c>
      <c r="GN4" s="33">
        <f>IFERROR(AVERAGEIFS(Accounts!$AX:$AX,Accounts!$AS:$AS,"Field Services",Accounts!$B:$B,"none",Accounts!$AX:$AX,"&gt;0",Accounts!$E:$E,"QBDT"),0)</f>
        <v/>
      </c>
      <c r="GO4" s="55">
        <f>SUMIFS(Accounts!$AA:$AA,Accounts!$B:$B,"Customer",Accounts!$AS:$AS, "Field Services",Accounts!$E:$E,"QBDT") + SUMIFS(Accounts!$AH:$AH,Accounts!$B:$B,"Customer",Accounts!$AS:$AS, "Field Services",Accounts!$E:$E,"QBDT") + SUMIFS(Accounts!$AJ:$AJ,Accounts!$B:$B,"Customer",Accounts!$AS:$AS, "Field Services",Accounts!$E:$E,"QBDT") + SUMIFS(Accounts!$AI:$AI,Accounts!$B:$B,"Customer",Accounts!$AS:$AS, "Field Services",Accounts!$E:$E,"QBDT") + SUMIFS(Accounts!$AO:$AO,Accounts!$B:$B,"Customer",Accounts!$AS:$AS, "Field Services",Accounts!$E:$E,"QBDT")</f>
        <v/>
      </c>
      <c r="GP4" s="55">
        <f>(SUMIFS(Accounts!$AC:$AC,Accounts!$B:$B,"Customer",Accounts!$AS:$AS, "Field Services",Accounts!$E:$E,"QBDT")+SUMIFS(Accounts!$AF:$AF,Accounts!$B:$B,"Customer",Accounts!$AS:$AS, "Field Services",Accounts!$E:$E,"QBDT")+SUMIFS(Accounts!$AK:$AK,Accounts!$B:$B,"Customer",Accounts!$AS:$AS, "Field Services",Accounts!$E:$E,"QBDT"))</f>
        <v/>
      </c>
      <c r="GQ4" s="55">
        <f>SUMIFS(Accounts!$AB:$AB,Accounts!$B:$B,"Customer",Accounts!$AS:$AS, "Field Services",Accounts!$E:$E,"QBDT")</f>
        <v/>
      </c>
      <c r="GR4" s="55">
        <f>SUMIFS(Accounts!$AD:$AD,Accounts!$B:$B,"Customer",Accounts!$AS:$AS, "Field Services",Accounts!$E:$E,"QBDT")+SUMIFS(Accounts!$AM:$AM,Accounts!$B:$B,"Customer",Accounts!$AS:$AS, "Field Services",Accounts!$E:$E,"QBDT")+SUMIFS(Accounts!$AN:$AN,Accounts!$B:$B,"Customer",Accounts!$AS:$AS, "Field Services",Accounts!$E:$E,"QBDT")</f>
        <v/>
      </c>
      <c r="GS4" s="55">
        <f>SUMIFS(Accounts!$AE:$AE,Accounts!$B:$B,"Customer",Accounts!$AS:$AS, "Field Services",Accounts!$E:$E,"QBDT") + SUMIFS(Accounts!$AP:$AP,Accounts!$B:$B,"Customer",Accounts!$AS:$AS, "Field Services",Accounts!$E:$E,"QBDT")</f>
        <v/>
      </c>
      <c r="GT4" s="55">
        <f>SUMIFS(Accounts!$Z:$Z,Accounts!$B:$B,"Customer",Accounts!$AS:$AS, "Field Services",Accounts!$E:$E,"QBDT")</f>
        <v/>
      </c>
      <c r="GU4" s="55">
        <f>SUMIFS(Accounts!$AG:$AG,Accounts!$B:$B,"Customer",Accounts!$AS:$AS, "Field Services",Accounts!$E:$E,"QBDT") + SUMIFS(Accounts!$AL:$AL,Accounts!$B:$B,"Customer",Accounts!$AS:$AS, "Field Services",Accounts!$E:$E,"QBDT")</f>
        <v/>
      </c>
      <c r="GV4" s="55">
        <f>SUMIFS(Accounts!$AQ:$AQ,Accounts!$B:$B,"Customer",Accounts!$AS:$AS, "Field Services",Accounts!$E:$E,"QBDT")</f>
        <v/>
      </c>
      <c r="GW4" s="55">
        <f>SUMIFS(Accounts!$AA:$AA,Accounts!$B:$B,"none",Accounts!$AS:$AS, "Field Services",Accounts!$E:$E,"QBDT") + SUMIFS(Accounts!$AH:$AH,Accounts!$B:$B,"none",Accounts!$AS:$AS, "Field Services",Accounts!$E:$E,"QBDT") + SUMIFS(Accounts!$AJ:$AJ,Accounts!$B:$B,"none",Accounts!$AS:$AS, "Field Services",Accounts!$E:$E,"QBDT") + SUMIFS(Accounts!$AI:$AI,Accounts!$B:$B,"none",Accounts!$AS:$AS, "Field Services",Accounts!$E:$E,"QBDT") + SUMIFS(Accounts!$AO:$AO,Accounts!$B:$B,"none",Accounts!$AS:$AS, "Field Services",Accounts!$E:$E,"QBDT")</f>
        <v/>
      </c>
      <c r="GX4" s="55">
        <f>(SUMIFS(Accounts!$AC:$AC,Accounts!$B:$B,"none",Accounts!$AS:$AS, "Field Services",Accounts!$E:$E,"QBDT")+SUMIFS(Accounts!$AF:$AF,Accounts!$B:$B,"none",Accounts!$AS:$AS, "Field Services",Accounts!$E:$E,"QBDT")+SUMIFS(Accounts!$AK:$AK,Accounts!$B:$B,"none",Accounts!$AS:$AS, "Field Services",Accounts!$E:$E,"QBDT"))</f>
        <v/>
      </c>
      <c r="GY4" s="55">
        <f>SUMIFS(Accounts!$AB:$AB,Accounts!$B:$B,"none",Accounts!$AS:$AS, "Field Services",Accounts!$E:$E,"QBDT")</f>
        <v/>
      </c>
      <c r="GZ4" s="55">
        <f>SUMIFS(Accounts!$AD:$AD,Accounts!$B:$B,"none",Accounts!$AS:$AS, "Field Services",Accounts!$E:$E,"QBDT")+SUMIFS(Accounts!$AM:$AM,Accounts!$B:$B,"none",Accounts!$AS:$AS, "Field Services",Accounts!$E:$E,"QBDT")+SUMIFS(Accounts!$AN:$AN,Accounts!$B:$B,"none",Accounts!$AS:$AS, "Field Services",Accounts!$E:$E,"QBDT")</f>
        <v/>
      </c>
      <c r="HA4" s="39">
        <f>SUMIFS(Accounts!$AE:$AE,Accounts!$B:$B,"none",Accounts!$AS:$AS, "Field Services",Accounts!$E:$E,"QBDT") + SUMIFS(Accounts!$AP:$AP,Accounts!$B:$B,"none",Accounts!$AS:$AS, "Field Services",Accounts!$E:$E,"QBDT")</f>
        <v/>
      </c>
      <c r="HB4" s="55">
        <f>SUMIFS(Accounts!$Z:$Z,Accounts!$B:$B,"none",Accounts!$AS:$AS, "Field Services",Accounts!$E:$E,"QBDT")</f>
        <v/>
      </c>
      <c r="HC4" s="39">
        <f>SUMIFS(Accounts!$AG:$AG,Accounts!$B:$B,"none",Accounts!$AS:$AS, "Field Services",Accounts!$E:$E,"QBDT") + SUMIFS(Accounts!$AL:$AL,Accounts!$B:$B,"none",Accounts!$AS:$AS, "Field Services",Accounts!$E:$E,"QBDT")</f>
        <v/>
      </c>
      <c r="HD4" s="55">
        <f>SUMIFS(Accounts!$AQ:$AQ,Accounts!$B:$B,"none",Accounts!$AS:$AS, "Field Services",Accounts!$E:$E,"QBDT")</f>
        <v/>
      </c>
      <c r="HE4" s="34">
        <f>((HE22+HE25)/((HE21*$C$2)+(0.5*HE24*$C$2)))*$C$2</f>
        <v/>
      </c>
      <c r="HF4" s="39">
        <f>COUNTIFS(Accounts!$AS:$AS, "Consulting and Professional Services",Accounts!$B:$B,"none",Accounts!$E:$E,"QBDT")</f>
        <v/>
      </c>
      <c r="HG4" s="33">
        <f>COUNTIFS(Accounts!$AS:$AS, "Consulting and Professional Services",Accounts!$B:$B,"Customer",Accounts!$E:$E,"QBDT")</f>
        <v/>
      </c>
      <c r="HH4" s="76">
        <f>SUMIFS(Accounts!$I:$I,Accounts!$AS:$AS, "Consulting and Professional Services",Accounts!$E:$E,"QBDT")</f>
        <v/>
      </c>
      <c r="HI4" s="76">
        <f>SUMIFS(Accounts!$N:$N,Accounts!$AS:$AS, "Consulting and Professional Services",Accounts!$E:$E,"QBDT")</f>
        <v/>
      </c>
      <c r="HJ4" s="76">
        <f>HH4/(HG4+HE24)</f>
        <v/>
      </c>
      <c r="HK4" s="76">
        <f>(HH4+HI4)/(HG4+HE24)</f>
        <v/>
      </c>
      <c r="HL4" s="76">
        <f>HE20*HJ4</f>
        <v/>
      </c>
      <c r="HM4" s="76">
        <f>IFERROR(AVERAGEIFS(Accounts!$AY:$AY,Accounts!$AS:$AS, "Consulting and Professional Services",Accounts!$B:$B,"Customer",Accounts!$AY:$AY,"&gt;0",Accounts!$E:$E,"QBDT"),0)</f>
        <v/>
      </c>
      <c r="HN4" s="33">
        <f>IFERROR(AVERAGEIFS(Accounts!$AX:$AX,Accounts!$AS:$AS, "Consulting and Professional Services",Accounts!$B:$B,"Customer",Accounts!$AX:$AX,"&gt;0",Accounts!$E:$E,"QBDT"),0)</f>
        <v/>
      </c>
      <c r="HO4" s="76">
        <f>IFERROR(AVERAGEIFS(Accounts!$AY:$AY,Accounts!$AS:$AS,"Consulting and Professional Services",Accounts!$B:$B,"none",Accounts!$AY:$AY,"&gt;0",Accounts!$E:$E,"QBDT"),0)</f>
        <v/>
      </c>
      <c r="HP4" s="33">
        <f>IFERROR(AVERAGEIFS(Accounts!$AX:$AX,Accounts!$AS:$AS,"Consulting and Professional Services",Accounts!$B:$B,"none",Accounts!$AX:$AX,"&gt;0",Accounts!$E:$E,"QBDT"),0)</f>
        <v/>
      </c>
      <c r="HQ4" s="55">
        <f>SUMIFS(Accounts!$AA:$AA,Accounts!$B:$B,"Customer",Accounts!$AS:$AS, "Consulting and Professional Services",Accounts!$E:$E,"QBDT") + SUMIFS(Accounts!$AH:$AH,Accounts!$B:$B,"Customer",Accounts!$AS:$AS, "Consulting and Professional Services",Accounts!$E:$E,"QBDT") + SUMIFS(Accounts!$AJ:$AJ,Accounts!$B:$B,"Customer",Accounts!$AS:$AS, "Consulting and Professional Services",Accounts!$E:$E,"QBDT") + SUMIFS(Accounts!$AI:$AI,Accounts!$B:$B,"Customer",Accounts!$AS:$AS, "Consulting and Professional Services",Accounts!$E:$E,"QBDT") + SUMIFS(Accounts!$AO:$AO,Accounts!$B:$B,"Customer",Accounts!$AS:$AS, "Consulting and Professional Services",Accounts!$E:$E,"QBDT")</f>
        <v/>
      </c>
      <c r="HR4" s="55">
        <f>(SUMIFS(Accounts!$AC:$AC,Accounts!$B:$B,"Customer",Accounts!$AS:$AS, "Consulting and Professional Services",Accounts!$E:$E,"QBDT")+SUMIFS(Accounts!$AF:$AF,Accounts!$B:$B,"Customer",Accounts!$AS:$AS, "Consulting and Professional Services",Accounts!$E:$E,"QBDT")+SUMIFS(Accounts!$AK:$AK,Accounts!$B:$B,"Customer",Accounts!$AS:$AS, "Consulting and Professional Services",Accounts!$E:$E,"QBDT"))</f>
        <v/>
      </c>
      <c r="HS4" s="55">
        <f>SUMIFS(Accounts!$AB:$AB,Accounts!$B:$B,"Customer",Accounts!$AS:$AS, "Consulting and Professional Services",Accounts!$E:$E,"QBDT")</f>
        <v/>
      </c>
      <c r="HT4" s="55">
        <f>SUMIFS(Accounts!$AD:$AD,Accounts!$B:$B,"Customer",Accounts!$AS:$AS, "Consulting and Professional Services",Accounts!$E:$E,"QBDT")+SUMIFS(Accounts!$AM:$AM,Accounts!$B:$B,"Customer",Accounts!$AS:$AS, "Consulting and Professional Services",Accounts!$E:$E,"QBDT")+SUMIFS(Accounts!$AN:$AN,Accounts!$B:$B,"Customer",Accounts!$AS:$AS, "Consulting and Professional Services",Accounts!$E:$E,"QBDT")</f>
        <v/>
      </c>
      <c r="HU4" s="55">
        <f>SUMIFS(Accounts!$AE:$AE,Accounts!$B:$B,"Customer",Accounts!$AS:$AS, "Consulting and Professional Services",Accounts!$E:$E,"QBDT") + SUMIFS(Accounts!$AP:$AP,Accounts!$B:$B,"Customer",Accounts!$AS:$AS, "Consulting and Professional Services",Accounts!$E:$E,"QBDT")</f>
        <v/>
      </c>
      <c r="HV4" s="55">
        <f>SUMIFS(Accounts!$Z:$Z,Accounts!$B:$B,"Customer",Accounts!$AS:$AS, "Consulting and Professional Services",Accounts!$E:$E,"QBDT")</f>
        <v/>
      </c>
      <c r="HW4" s="55">
        <f>SUMIFS(Accounts!$AG:$AG,Accounts!$B:$B,"Customer",Accounts!$AS:$AS, "Consulting and Professional Services",Accounts!$E:$E,"QBDT") + SUMIFS(Accounts!$AL:$AL,Accounts!$B:$B,"Customer",Accounts!$AS:$AS, "Consulting and Professional Services",Accounts!$E:$E,"QBDT")</f>
        <v/>
      </c>
      <c r="HX4" s="55">
        <f>SUMIFS(Accounts!$AQ:$AQ,Accounts!$B:$B,"Customer",Accounts!$AS:$AS, "Consulting and Professional Services",Accounts!$E:$E,"QBDT")</f>
        <v/>
      </c>
      <c r="HY4" s="55">
        <f>SUMIFS(Accounts!$AA:$AA,Accounts!$B:$B,"none",Accounts!$AS:$AS, "Consulting and Professional Services",Accounts!$E:$E,"QBDT") + SUMIFS(Accounts!$AH:$AH,Accounts!$B:$B,"none",Accounts!$AS:$AS, "Consulting and Professional Services",Accounts!$E:$E,"QBDT") + SUMIFS(Accounts!$AJ:$AJ,Accounts!$B:$B,"none",Accounts!$AS:$AS, "Consulting and Professional Services",Accounts!$E:$E,"QBDT") + SUMIFS(Accounts!$AI:$AI,Accounts!$B:$B,"none",Accounts!$AS:$AS, "Consulting and Professional Services",Accounts!$E:$E,"QBDT") + SUMIFS(Accounts!$AO:$AO,Accounts!$B:$B,"none",Accounts!$AS:$AS, "Consulting and Professional Services",Accounts!$E:$E,"QBDT")</f>
        <v/>
      </c>
      <c r="HZ4" s="55">
        <f>(SUMIFS(Accounts!$AC:$AC,Accounts!$B:$B,"none",Accounts!$AS:$AS, "Consulting and Professional Services",Accounts!$E:$E,"QBDT")+SUMIFS(Accounts!$AF:$AF,Accounts!$B:$B,"none",Accounts!$AS:$AS, "Consulting and Professional Services",Accounts!$E:$E,"QBDT")+SUMIFS(Accounts!$AK:$AK,Accounts!$B:$B,"none",Accounts!$AS:$AS, "Consulting and Professional Services",Accounts!$E:$E,"QBDT"))</f>
        <v/>
      </c>
      <c r="IA4" s="55">
        <f>SUMIFS(Accounts!$AB:$AB,Accounts!$B:$B,"none",Accounts!$AS:$AS, "Consulting and Professional Services",Accounts!$E:$E,"QBDT")</f>
        <v/>
      </c>
      <c r="IB4" s="55">
        <f>SUMIFS(Accounts!$AD:$AD,Accounts!$B:$B,"none",Accounts!$AS:$AS, "Consulting and Professional Services",Accounts!$E:$E,"QBDT")+SUMIFS(Accounts!$AM:$AM,Accounts!$B:$B,"none",Accounts!$AS:$AS, "Consulting and Professional Services",Accounts!$E:$E,"QBDT")+SUMIFS(Accounts!$AN:$AN,Accounts!$B:$B,"none",Accounts!$AS:$AS, "Consulting and Professional Services",Accounts!$E:$E,"QBDT")</f>
        <v/>
      </c>
      <c r="IC4" s="39">
        <f>SUMIFS(Accounts!$AE:$AE,Accounts!$B:$B,"none",Accounts!$AS:$AS, "Consulting and Professional Services",Accounts!$E:$E,"QBDT") + SUMIFS(Accounts!$AP:$AP,Accounts!$B:$B,"none",Accounts!$AS:$AS, "Consulting and Professional Services",Accounts!$E:$E,"QBDT")</f>
        <v/>
      </c>
      <c r="ID4" s="55">
        <f>SUMIFS(Accounts!$Z:$Z,Accounts!$B:$B,"none",Accounts!$AS:$AS, "Consulting and Professional Services",Accounts!$E:$E,"QBDT")</f>
        <v/>
      </c>
      <c r="IE4" s="39">
        <f>SUMIFS(Accounts!$AG:$AG,Accounts!$B:$B,"none",Accounts!$AS:$AS, "Consulting and Professional Services",Accounts!$E:$E,"QBDT") + SUMIFS(Accounts!$AL:$AL,Accounts!$B:$B,"none",Accounts!$AS:$AS, "Consulting and Professional Services",Accounts!$E:$E,"QBDT")</f>
        <v/>
      </c>
      <c r="IF4" s="55">
        <f>SUMIFS(Accounts!$AQ:$AQ,Accounts!$B:$B,"none",Accounts!$AS:$AS, "Consulting and Professional Services",Accounts!$E:$E,"QBDT")</f>
        <v/>
      </c>
      <c r="IG4" s="34">
        <f>((IG22+IG25)/((IG21*$C$2)+(0.5*IG24*$C$2)))*$C$2</f>
        <v/>
      </c>
      <c r="IH4" s="39">
        <f>COUNTIFS(Accounts!$AS:$AS, "Retail",Accounts!$B:$B,"none",Accounts!$E:$E,"QBDT")</f>
        <v/>
      </c>
      <c r="II4" s="33">
        <f>COUNTIFS(Accounts!$AS:$AS, "Retail",Accounts!$B:$B,"Customer",Accounts!$E:$E,"QBDT")</f>
        <v/>
      </c>
      <c r="IJ4" s="76">
        <f>SUMIFS(Accounts!$I:$I,Accounts!$AS:$AS, "Retail",Accounts!$E:$E,"QBDT")</f>
        <v/>
      </c>
      <c r="IK4" s="76">
        <f>SUMIFS(Accounts!$N:$N,Accounts!$AS:$AS, "Retail",Accounts!$E:$E,"QBDT")</f>
        <v/>
      </c>
      <c r="IL4" s="76">
        <f>IJ4/(II4+IG24)</f>
        <v/>
      </c>
      <c r="IM4" s="76">
        <f>(IJ4+IK4)/(II4+IG24)</f>
        <v/>
      </c>
      <c r="IN4" s="76">
        <f>IG20*IL4</f>
        <v/>
      </c>
      <c r="IO4" s="76">
        <f>IFERROR(AVERAGEIFS(Accounts!$AY:$AY,Accounts!$AS:$AS, "Retail",Accounts!$B:$B,"Customer",Accounts!$AY:$AY,"&gt;0",Accounts!$E:$E,"QBDT"),0)</f>
        <v/>
      </c>
      <c r="IP4" s="33">
        <f>IFERROR(AVERAGEIFS(Accounts!$AX:$AX,Accounts!$AS:$AS, "Retail",Accounts!$B:$B,"Customer",Accounts!$AX:$AX,"&gt;0",Accounts!$E:$E,"QBDT"),0)</f>
        <v/>
      </c>
      <c r="IQ4" s="76">
        <f>IFERROR(AVERAGEIFS(Accounts!$AY:$AY,Accounts!$AS:$AS,"Retail",Accounts!$B:$B,"none",Accounts!$AY:$AY,"&gt;0",Accounts!$E:$E,"QBDT"),0)</f>
        <v/>
      </c>
      <c r="IR4" s="33">
        <f>IFERROR(AVERAGEIFS(Accounts!$AX:$AX,Accounts!$AS:$AS,"Retail",Accounts!$B:$B,"none",Accounts!$AX:$AX,"&gt;0",Accounts!$E:$E,"QBDT"),0)</f>
        <v/>
      </c>
      <c r="IS4" s="55">
        <f>SUMIFS(Accounts!$AA:$AA,Accounts!$B:$B,"Customer",Accounts!$AS:$AS, "Retail",Accounts!$E:$E,"QBDT") + SUMIFS(Accounts!$AH:$AH,Accounts!$B:$B,"Customer",Accounts!$AS:$AS, "Retail",Accounts!$E:$E,"QBDT") + SUMIFS(Accounts!$AJ:$AJ,Accounts!$B:$B,"Customer",Accounts!$AS:$AS, "Retail",Accounts!$E:$E,"QBDT") + SUMIFS(Accounts!$AI:$AI,Accounts!$B:$B,"Customer",Accounts!$AS:$AS, "Retail",Accounts!$E:$E,"QBDT") + SUMIFS(Accounts!$AO:$AO,Accounts!$B:$B,"Customer",Accounts!$AS:$AS, "Retail",Accounts!$E:$E,"QBDT")</f>
        <v/>
      </c>
      <c r="IT4" s="55">
        <f>(SUMIFS(Accounts!$AC:$AC,Accounts!$B:$B,"Customer",Accounts!$AS:$AS, "Retail",Accounts!$E:$E,"QBDT")+SUMIFS(Accounts!$AF:$AF,Accounts!$B:$B,"Customer",Accounts!$AS:$AS, "Retail",Accounts!$E:$E,"QBDT")+SUMIFS(Accounts!$AK:$AK,Accounts!$B:$B,"Customer",Accounts!$AS:$AS, "Retail",Accounts!$E:$E,"QBDT"))</f>
        <v/>
      </c>
      <c r="IU4" s="55">
        <f>SUMIFS(Accounts!$AB:$AB,Accounts!$B:$B,"Customer",Accounts!$AS:$AS, "Retail",Accounts!$E:$E,"QBDT")</f>
        <v/>
      </c>
      <c r="IV4" s="55">
        <f>SUMIFS(Accounts!$AD:$AD,Accounts!$B:$B,"Customer",Accounts!$AS:$AS, "Retail",Accounts!$E:$E,"QBDT")+SUMIFS(Accounts!$AM:$AM,Accounts!$B:$B,"Customer",Accounts!$AS:$AS, "Retail",Accounts!$E:$E,"QBDT")+SUMIFS(Accounts!$AN:$AN,Accounts!$B:$B,"Customer",Accounts!$AS:$AS, "Retail",Accounts!$E:$E,"QBDT")</f>
        <v/>
      </c>
      <c r="IW4" s="55">
        <f>SUMIFS(Accounts!$AE:$AE,Accounts!$B:$B,"Customer",Accounts!$AS:$AS, "Retail",Accounts!$E:$E,"QBDT") + SUMIFS(Accounts!$AP:$AP,Accounts!$B:$B,"Customer",Accounts!$AS:$AS, "Retail",Accounts!$E:$E,"QBDT")</f>
        <v/>
      </c>
      <c r="IX4" s="55">
        <f>SUMIFS(Accounts!$Z:$Z,Accounts!$B:$B,"Customer",Accounts!$AS:$AS, "Retail",Accounts!$E:$E,"QBDT")</f>
        <v/>
      </c>
      <c r="IY4" s="55">
        <f>SUMIFS(Accounts!$AG:$AG,Accounts!$B:$B,"Customer",Accounts!$AS:$AS, "Retail",Accounts!$E:$E,"QBDT") + SUMIFS(Accounts!$AL:$AL,Accounts!$B:$B,"Customer",Accounts!$AS:$AS, "Retail",Accounts!$E:$E,"QBDT")</f>
        <v/>
      </c>
      <c r="IZ4" s="55">
        <f>SUMIFS(Accounts!$AQ:$AQ,Accounts!$B:$B,"Customer",Accounts!$AS:$AS, "Retail",Accounts!$E:$E,"QBDT")</f>
        <v/>
      </c>
      <c r="JA4" s="55">
        <f>SUMIFS(Accounts!$AA:$AA,Accounts!$B:$B,"none",Accounts!$AS:$AS, "Retail",Accounts!$E:$E,"QBDT") + SUMIFS(Accounts!$AH:$AH,Accounts!$B:$B,"none",Accounts!$AS:$AS, "Retail",Accounts!$E:$E,"QBDT") + SUMIFS(Accounts!$AJ:$AJ,Accounts!$B:$B,"none",Accounts!$AS:$AS, "Retail",Accounts!$E:$E,"QBDT") + SUMIFS(Accounts!$AI:$AI,Accounts!$B:$B,"none",Accounts!$AS:$AS, "Retail",Accounts!$E:$E,"QBDT") + SUMIFS(Accounts!$AO:$AO,Accounts!$B:$B,"none",Accounts!$AS:$AS, "Retail",Accounts!$E:$E,"QBDT")</f>
        <v/>
      </c>
      <c r="JB4" s="55">
        <f>(SUMIFS(Accounts!$AC:$AC,Accounts!$B:$B,"none",Accounts!$AS:$AS, "Retail",Accounts!$E:$E,"QBDT")+SUMIFS(Accounts!$AF:$AF,Accounts!$B:$B,"none",Accounts!$AS:$AS, "Retail",Accounts!$E:$E,"QBDT")+SUMIFS(Accounts!$AK:$AK,Accounts!$B:$B,"none",Accounts!$AS:$AS, "Retail",Accounts!$E:$E,"QBDT"))</f>
        <v/>
      </c>
      <c r="JC4" s="55">
        <f>SUMIFS(Accounts!$AB:$AB,Accounts!$B:$B,"none",Accounts!$AS:$AS, "Retail",Accounts!$E:$E,"QBDT")</f>
        <v/>
      </c>
      <c r="JD4" s="55">
        <f>SUMIFS(Accounts!$AD:$AD,Accounts!$B:$B,"none",Accounts!$AS:$AS, "Retail",Accounts!$E:$E,"QBDT")+SUMIFS(Accounts!$AM:$AM,Accounts!$B:$B,"none",Accounts!$AS:$AS, "Retail",Accounts!$E:$E,"QBDT")+SUMIFS(Accounts!$AN:$AN,Accounts!$B:$B,"none",Accounts!$AS:$AS, "Retail",Accounts!$E:$E,"QBDT")</f>
        <v/>
      </c>
      <c r="JE4" s="39">
        <f>SUMIFS(Accounts!$AE:$AE,Accounts!$B:$B,"none",Accounts!$AS:$AS, "Retail",Accounts!$E:$E,"QBDT") + SUMIFS(Accounts!$AP:$AP,Accounts!$B:$B,"none",Accounts!$AS:$AS, "Retail",Accounts!$E:$E,"QBDT")</f>
        <v/>
      </c>
      <c r="JF4" s="55">
        <f>SUMIFS(Accounts!$Z:$Z,Accounts!$B:$B,"none",Accounts!$AS:$AS, "Retail",Accounts!$E:$E,"QBDT")</f>
        <v/>
      </c>
      <c r="JG4" s="39">
        <f>SUMIFS(Accounts!$AG:$AG,Accounts!$B:$B,"none",Accounts!$AS:$AS, "Retail",Accounts!$E:$E,"QBDT") + SUMIFS(Accounts!$AL:$AL,Accounts!$B:$B,"none",Accounts!$AS:$AS, "Retail",Accounts!$E:$E,"QBDT")</f>
        <v/>
      </c>
      <c r="JH4" s="55">
        <f>SUMIFS(Accounts!$AQ:$AQ,Accounts!$B:$B,"none",Accounts!$AS:$AS, "Retail",Accounts!$E:$E,"QBDT")</f>
        <v/>
      </c>
      <c r="JI4" s="34">
        <f>((JI22+JI25)/((JI21*$C$2)+(0.5*JI24*$C$2)))*$C$2</f>
        <v/>
      </c>
      <c r="JJ4" s="39">
        <f>COUNTIFS(Accounts!$AS:$AS, "Non-profit, govt or religious organization",Accounts!$B:$B,"none",Accounts!$E:$E,"QBDT")</f>
        <v/>
      </c>
      <c r="JK4" s="33">
        <f>COUNTIFS(Accounts!$AS:$AS, "Non-profit, govt or religious organization",Accounts!$B:$B,"Customer",Accounts!$E:$E,"QBDT")</f>
        <v/>
      </c>
      <c r="JL4" s="76">
        <f>SUMIFS(Accounts!$I:$I,Accounts!$AS:$AS, "Non-profit, govt or religious organization",Accounts!$E:$E,"QBDT")</f>
        <v/>
      </c>
      <c r="JM4" s="76">
        <f>SUMIFS(Accounts!$N:$N,Accounts!$AS:$AS, "Non-profit, govt or religious organization",Accounts!$E:$E,"QBDT")</f>
        <v/>
      </c>
      <c r="JN4" s="76">
        <f>JL4/(JK4+JI24)</f>
        <v/>
      </c>
      <c r="JO4" s="76">
        <f>(JL4+JM4)/(JK4+JI24)</f>
        <v/>
      </c>
      <c r="JP4" s="76">
        <f>JI20*JN4</f>
        <v/>
      </c>
      <c r="JQ4" s="76">
        <f>IFERROR(AVERAGEIFS(Accounts!$AY:$AY,Accounts!$AS:$AS, "Non-profit, govt or religious organization",Accounts!$B:$B,"Customer",Accounts!$AY:$AY,"&gt;0",Accounts!$E:$E,"QBDT"),0)</f>
        <v/>
      </c>
      <c r="JR4" s="33">
        <f>IFERROR(AVERAGEIFS(Accounts!$AX:$AX,Accounts!$AS:$AS, "Non-profit, govt or religious organization",Accounts!$B:$B,"Customer",Accounts!$AX:$AX,"&gt;0",Accounts!$E:$E,"QBDT"),0)</f>
        <v/>
      </c>
      <c r="JS4" s="76">
        <f>IFERROR(AVERAGEIFS(Accounts!$AY:$AY,Accounts!$AS:$AS,"Non-profit, govt or religious organization",Accounts!$B:$B,"none",Accounts!$AY:$AY,"&gt;0",Accounts!$E:$E,"QBDT"),0)</f>
        <v/>
      </c>
      <c r="JT4" s="33">
        <f>IFERROR(AVERAGEIFS(Accounts!$AX:$AX,Accounts!$AS:$AS,"Non-profit, govt or religious organization",Accounts!$B:$B,"none",Accounts!$AX:$AX,"&gt;0",Accounts!$E:$E,"QBDT"),0)</f>
        <v/>
      </c>
      <c r="JU4" s="55">
        <f>SUMIFS(Accounts!$AA:$AA,Accounts!$B:$B,"Customer",Accounts!$AS:$AS, "Non-profit, govt or religious organization",Accounts!$E:$E,"QBDT") + SUMIFS(Accounts!$AH:$AH,Accounts!$B:$B,"Customer",Accounts!$AS:$AS, "Non-profit, govt or religious organization",Accounts!$E:$E,"QBDT") + SUMIFS(Accounts!$AJ:$AJ,Accounts!$B:$B,"Customer",Accounts!$AS:$AS, "Non-profit, govt or religious organization",Accounts!$E:$E,"QBDT") + SUMIFS(Accounts!$AI:$AI,Accounts!$B:$B,"Customer",Accounts!$AS:$AS, "Non-profit, govt or religious organization",Accounts!$E:$E,"QBDT") + SUMIFS(Accounts!$AO:$AO,Accounts!$B:$B,"Customer",Accounts!$AS:$AS, "Non-profit, govt or religious organization",Accounts!$E:$E,"QBDT")</f>
        <v/>
      </c>
      <c r="JV4" s="55">
        <f>(SUMIFS(Accounts!$AC:$AC,Accounts!$B:$B,"Customer",Accounts!$AS:$AS, "Non-profit, govt or religious organization",Accounts!$E:$E,"QBDT")+SUMIFS(Accounts!$AF:$AF,Accounts!$B:$B,"Customer",Accounts!$AS:$AS, "Non-profit, govt or religious organization",Accounts!$E:$E,"QBDT")+SUMIFS(Accounts!$AK:$AK,Accounts!$B:$B,"Customer",Accounts!$AS:$AS, "Non-profit, govt or religious organization",Accounts!$E:$E,"QBDT"))</f>
        <v/>
      </c>
      <c r="JW4" s="55">
        <f>SUMIFS(Accounts!$AB:$AB,Accounts!$B:$B,"Customer",Accounts!$AS:$AS, "Non-profit, govt or religious organization",Accounts!$E:$E,"QBDT")</f>
        <v/>
      </c>
      <c r="JX4" s="55">
        <f>SUMIFS(Accounts!$AD:$AD,Accounts!$B:$B,"Customer",Accounts!$AS:$AS, "Non-profit, govt or religious organization",Accounts!$E:$E,"QBDT")+SUMIFS(Accounts!$AM:$AM,Accounts!$B:$B,"Customer",Accounts!$AS:$AS, "Non-profit, govt or religious organization",Accounts!$E:$E,"QBDT")+SUMIFS(Accounts!$AN:$AN,Accounts!$B:$B,"Customer",Accounts!$AS:$AS, "Non-profit, govt or religious organization",Accounts!$E:$E,"QBDT")</f>
        <v/>
      </c>
      <c r="JY4" s="55">
        <f>SUMIFS(Accounts!$AE:$AE,Accounts!$B:$B,"Customer",Accounts!$AS:$AS, "Non-profit, govt or religious organization",Accounts!$E:$E,"QBDT") + SUMIFS(Accounts!$AP:$AP,Accounts!$B:$B,"Customer",Accounts!$AS:$AS, "Non-profit, govt or religious organization",Accounts!$E:$E,"QBDT")</f>
        <v/>
      </c>
      <c r="JZ4" s="55">
        <f>SUMIFS(Accounts!$Z:$Z,Accounts!$B:$B,"Customer",Accounts!$AS:$AS, "Non-profit, govt or religious organization",Accounts!$E:$E,"QBDT")</f>
        <v/>
      </c>
      <c r="KA4" s="55">
        <f>SUMIFS(Accounts!$AG:$AG,Accounts!$B:$B,"Customer",Accounts!$AS:$AS, "Non-profit, govt or religious organization",Accounts!$E:$E,"QBDT") + SUMIFS(Accounts!$AL:$AL,Accounts!$B:$B,"Customer",Accounts!$AS:$AS, "Non-profit, govt or religious organization",Accounts!$E:$E,"QBDT")</f>
        <v/>
      </c>
      <c r="KB4" s="55">
        <f>SUMIFS(Accounts!$AQ:$AQ,Accounts!$B:$B,"Customer",Accounts!$AS:$AS, "Non-profit, govt or religious organization",Accounts!$E:$E,"QBDT")</f>
        <v/>
      </c>
      <c r="KC4" s="55">
        <f>SUMIFS(Accounts!$AA:$AA,Accounts!$B:$B,"none",Accounts!$AS:$AS, "Non-profit, govt or religious organization",Accounts!$E:$E,"QBDT") + SUMIFS(Accounts!$AH:$AH,Accounts!$B:$B,"none",Accounts!$AS:$AS, "Non-profit, govt or religious organization",Accounts!$E:$E,"QBDT") + SUMIFS(Accounts!$AJ:$AJ,Accounts!$B:$B,"none",Accounts!$AS:$AS, "Non-profit, govt or religious organization",Accounts!$E:$E,"QBDT") + SUMIFS(Accounts!$AI:$AI,Accounts!$B:$B,"none",Accounts!$AS:$AS, "Non-profit, govt or religious organization",Accounts!$E:$E,"QBDT") + SUMIFS(Accounts!$AO:$AO,Accounts!$B:$B,"none",Accounts!$AS:$AS, "Non-profit, govt or religious organization",Accounts!$E:$E,"QBDT")</f>
        <v/>
      </c>
      <c r="KD4" s="55">
        <f>(SUMIFS(Accounts!$AC:$AC,Accounts!$B:$B,"none",Accounts!$AS:$AS, "Non-profit, govt or religious organization",Accounts!$E:$E,"QBDT")+SUMIFS(Accounts!$AF:$AF,Accounts!$B:$B,"none",Accounts!$AS:$AS, "Non-profit, govt or religious organization",Accounts!$E:$E,"QBDT")+SUMIFS(Accounts!$AK:$AK,Accounts!$B:$B,"none",Accounts!$AS:$AS, "Non-profit, govt or religious organization",Accounts!$E:$E,"QBDT"))</f>
        <v/>
      </c>
      <c r="KE4" s="55">
        <f>SUMIFS(Accounts!$AB:$AB,Accounts!$B:$B,"none",Accounts!$AS:$AS, "Non-profit, govt or religious organization",Accounts!$E:$E,"QBDT")</f>
        <v/>
      </c>
      <c r="KF4" s="55">
        <f>SUMIFS(Accounts!$AD:$AD,Accounts!$B:$B,"none",Accounts!$AS:$AS, "Non-profit, govt or religious organization",Accounts!$E:$E,"QBDT")+SUMIFS(Accounts!$AM:$AM,Accounts!$B:$B,"none",Accounts!$AS:$AS, "Non-profit, govt or religious organization",Accounts!$E:$E,"QBDT")+SUMIFS(Accounts!$AN:$AN,Accounts!$B:$B,"none",Accounts!$AS:$AS, "Non-profit, govt or religious organization",Accounts!$E:$E,"QBDT")</f>
        <v/>
      </c>
      <c r="KG4" s="39">
        <f>SUMIFS(Accounts!$AE:$AE,Accounts!$B:$B,"none",Accounts!$AS:$AS, "Non-profit, govt or religious organization",Accounts!$E:$E,"QBDT") + SUMIFS(Accounts!$AP:$AP,Accounts!$B:$B,"none",Accounts!$AS:$AS, "Non-profit, govt or religious organization",Accounts!$E:$E,"QBDT")</f>
        <v/>
      </c>
      <c r="KH4" s="55">
        <f>SUMIFS(Accounts!$Z:$Z,Accounts!$B:$B,"none",Accounts!$AS:$AS, "Non-profit, govt or religious organization",Accounts!$E:$E,"QBDT")</f>
        <v/>
      </c>
      <c r="KI4" s="39">
        <f>SUMIFS(Accounts!$AG:$AG,Accounts!$B:$B,"none",Accounts!$AS:$AS, "Non-profit, govt or religious organization",Accounts!$E:$E,"QBDT") + SUMIFS(Accounts!$AL:$AL,Accounts!$B:$B,"none",Accounts!$AS:$AS, "Non-profit, govt or religious organization",Accounts!$E:$E,"QBDT")</f>
        <v/>
      </c>
      <c r="KJ4" s="55">
        <f>SUMIFS(Accounts!$AQ:$AQ,Accounts!$B:$B,"none",Accounts!$AS:$AS, "Non-profit, govt or religious organization",Accounts!$E:$E,"QBDT")</f>
        <v/>
      </c>
      <c r="KK4" s="34">
        <f>((KK22+KK25)/((KK21*$C$2)+(0.5*KK24*$C$2)))*$C$2</f>
        <v/>
      </c>
      <c r="KL4" s="39">
        <f>COUNTIFS(Accounts!$AS:$AS, "Communications, Entertainment and Media",Accounts!$B:$B,"none",Accounts!$E:$E,"QBDT")</f>
        <v/>
      </c>
      <c r="KM4" s="33">
        <f>COUNTIFS(Accounts!$AS:$AS, "Communications, Entertainment and Media",Accounts!$B:$B,"Customer",Accounts!$E:$E,"QBDT")</f>
        <v/>
      </c>
      <c r="KN4" s="76">
        <f>SUMIFS(Accounts!$I:$I,Accounts!$AS:$AS, "Communications, Entertainment and Media",Accounts!$E:$E,"QBDT")</f>
        <v/>
      </c>
      <c r="KO4" s="76">
        <f>SUMIFS(Accounts!$N:$N,Accounts!$AS:$AS, "Communications, Entertainment and Media",Accounts!$E:$E,"QBDT")</f>
        <v/>
      </c>
      <c r="KP4" s="76">
        <f>KN4/(KM4+KK24)</f>
        <v/>
      </c>
      <c r="KQ4" s="76">
        <f>(KN4+KO4)/(KM4+KK24)</f>
        <v/>
      </c>
      <c r="KR4" s="76">
        <f>KK20*KP4</f>
        <v/>
      </c>
      <c r="KS4" s="76">
        <f>IFERROR(AVERAGEIFS(Accounts!$AY:$AY,Accounts!$AS:$AS, "Communications, Entertainment and Media",Accounts!$B:$B,"Customer",Accounts!$AY:$AY,"&gt;0",Accounts!$E:$E,"QBDT"),0)</f>
        <v/>
      </c>
      <c r="KT4" s="33">
        <f>IFERROR(AVERAGEIFS(Accounts!$AX:$AX,Accounts!$AS:$AS, "Communications, Entertainment and Media",Accounts!$B:$B,"Customer",Accounts!$AX:$AX,"&gt;0",Accounts!$E:$E,"QBDT"),0)</f>
        <v/>
      </c>
      <c r="KU4" s="76">
        <f>IFERROR(AVERAGEIFS(Accounts!$AY:$AY,Accounts!$AS:$AS,"Communications, Entertainment and Media",Accounts!$B:$B,"none",Accounts!$AY:$AY,"&gt;0",Accounts!$E:$E,"QBDT"),0)</f>
        <v/>
      </c>
      <c r="KV4" s="33">
        <f>IFERROR(AVERAGEIFS(Accounts!$AX:$AX,Accounts!$AS:$AS,"Communications, Entertainment and Media",Accounts!$B:$B,"none",Accounts!$AX:$AX,"&gt;0",Accounts!$E:$E,"QBDT"),0)</f>
        <v/>
      </c>
      <c r="KW4" s="55">
        <f>SUMIFS(Accounts!$AA:$AA,Accounts!$B:$B,"Customer",Accounts!$AS:$AS, "Communications, Entertainment and Media",Accounts!$E:$E,"QBDT") + SUMIFS(Accounts!$AH:$AH,Accounts!$B:$B,"Customer",Accounts!$AS:$AS, "Communications, Entertainment and Media",Accounts!$E:$E,"QBDT") + SUMIFS(Accounts!$AJ:$AJ,Accounts!$B:$B,"Customer",Accounts!$AS:$AS, "Communications, Entertainment and Media",Accounts!$E:$E,"QBDT") + SUMIFS(Accounts!$AI:$AI,Accounts!$B:$B,"Customer",Accounts!$AS:$AS, "Communications, Entertainment and Media",Accounts!$E:$E,"QBDT") + SUMIFS(Accounts!$AO:$AO,Accounts!$B:$B,"Customer",Accounts!$AS:$AS, "Communications, Entertainment and Media",Accounts!$E:$E,"QBDT")</f>
        <v/>
      </c>
      <c r="KX4" s="55">
        <f>(SUMIFS(Accounts!$AC:$AC,Accounts!$B:$B,"Customer",Accounts!$AS:$AS, "Communications, Entertainment and Media",Accounts!$E:$E,"QBDT")+SUMIFS(Accounts!$AF:$AF,Accounts!$B:$B,"Customer",Accounts!$AS:$AS, "Communications, Entertainment and Media",Accounts!$E:$E,"QBDT")+SUMIFS(Accounts!$AK:$AK,Accounts!$B:$B,"Customer",Accounts!$AS:$AS, "Communications, Entertainment and Media",Accounts!$E:$E,"QBDT"))</f>
        <v/>
      </c>
      <c r="KY4" s="55">
        <f>SUMIFS(Accounts!$AB:$AB,Accounts!$B:$B,"Customer",Accounts!$AS:$AS, "Communications, Entertainment and Media",Accounts!$E:$E,"QBDT")</f>
        <v/>
      </c>
      <c r="KZ4" s="55">
        <f>SUMIFS(Accounts!$AD:$AD,Accounts!$B:$B,"Customer",Accounts!$AS:$AS, "Communications, Entertainment and Media",Accounts!$E:$E,"QBDT")+SUMIFS(Accounts!$AM:$AM,Accounts!$B:$B,"Customer",Accounts!$AS:$AS, "Communications, Entertainment and Media",Accounts!$E:$E,"QBDT")+SUMIFS(Accounts!$AN:$AN,Accounts!$B:$B,"Customer",Accounts!$AS:$AS, "Communications, Entertainment and Media",Accounts!$E:$E,"QBDT")</f>
        <v/>
      </c>
      <c r="LA4" s="55">
        <f>SUMIFS(Accounts!$AE:$AE,Accounts!$B:$B,"Customer",Accounts!$AS:$AS, "Communications, Entertainment and Media",Accounts!$E:$E,"QBDT") + SUMIFS(Accounts!$AP:$AP,Accounts!$B:$B,"Customer",Accounts!$AS:$AS, "Communications, Entertainment and Media",Accounts!$E:$E,"QBDT")</f>
        <v/>
      </c>
      <c r="LB4" s="55">
        <f>SUMIFS(Accounts!$Z:$Z,Accounts!$B:$B,"Customer",Accounts!$AS:$AS, "Communications, Entertainment and Media",Accounts!$E:$E,"QBDT")</f>
        <v/>
      </c>
      <c r="LC4" s="55">
        <f>SUMIFS(Accounts!$AG:$AG,Accounts!$B:$B,"Customer",Accounts!$AS:$AS, "Communications, Entertainment and Media",Accounts!$E:$E,"QBDT") + SUMIFS(Accounts!$AL:$AL,Accounts!$B:$B,"Customer",Accounts!$AS:$AS, "Communications, Entertainment and Media",Accounts!$E:$E,"QBDT")</f>
        <v/>
      </c>
      <c r="LD4" s="55">
        <f>SUMIFS(Accounts!$AQ:$AQ,Accounts!$B:$B,"Customer",Accounts!$AS:$AS, "Communications, Entertainment and Media",Accounts!$E:$E,"QBDT")</f>
        <v/>
      </c>
      <c r="LE4" s="55">
        <f>SUMIFS(Accounts!$AA:$AA,Accounts!$B:$B,"none",Accounts!$AS:$AS, "Communications, Entertainment and Media",Accounts!$E:$E,"QBDT") + SUMIFS(Accounts!$AH:$AH,Accounts!$B:$B,"none",Accounts!$AS:$AS, "Communications, Entertainment and Media",Accounts!$E:$E,"QBDT") + SUMIFS(Accounts!$AJ:$AJ,Accounts!$B:$B,"none",Accounts!$AS:$AS, "Communications, Entertainment and Media",Accounts!$E:$E,"QBDT") + SUMIFS(Accounts!$AI:$AI,Accounts!$B:$B,"none",Accounts!$AS:$AS, "Communications, Entertainment and Media",Accounts!$E:$E,"QBDT") + SUMIFS(Accounts!$AO:$AO,Accounts!$B:$B,"none",Accounts!$AS:$AS, "Communications, Entertainment and Media",Accounts!$E:$E,"QBDT")</f>
        <v/>
      </c>
      <c r="LF4" s="55">
        <f>(SUMIFS(Accounts!$AC:$AC,Accounts!$B:$B,"none",Accounts!$AS:$AS, "Communications, Entertainment and Media",Accounts!$E:$E,"QBDT")+SUMIFS(Accounts!$AF:$AF,Accounts!$B:$B,"none",Accounts!$AS:$AS, "Communications, Entertainment and Media",Accounts!$E:$E,"QBDT")+SUMIFS(Accounts!$AK:$AK,Accounts!$B:$B,"none",Accounts!$AS:$AS, "Communications, Entertainment and Media",Accounts!$E:$E,"QBDT"))</f>
        <v/>
      </c>
      <c r="LG4" s="55">
        <f>SUMIFS(Accounts!$AB:$AB,Accounts!$B:$B,"none",Accounts!$AS:$AS, "Communications, Entertainment and Media",Accounts!$E:$E,"QBDT")</f>
        <v/>
      </c>
      <c r="LH4" s="55">
        <f>SUMIFS(Accounts!$AD:$AD,Accounts!$B:$B,"none",Accounts!$AS:$AS, "Communications, Entertainment and Media",Accounts!$E:$E,"QBDT")+SUMIFS(Accounts!$AM:$AM,Accounts!$B:$B,"none",Accounts!$AS:$AS, "Communications, Entertainment and Media",Accounts!$E:$E,"QBDT")+SUMIFS(Accounts!$AN:$AN,Accounts!$B:$B,"none",Accounts!$AS:$AS, "Communications, Entertainment and Media",Accounts!$E:$E,"QBDT")</f>
        <v/>
      </c>
      <c r="LI4" s="39">
        <f>SUMIFS(Accounts!$AE:$AE,Accounts!$B:$B,"none",Accounts!$AS:$AS, "Communications, Entertainment and Media",Accounts!$E:$E,"QBDT") + SUMIFS(Accounts!$AP:$AP,Accounts!$B:$B,"none",Accounts!$AS:$AS, "Communications, Entertainment and Media",Accounts!$E:$E,"QBDT")</f>
        <v/>
      </c>
      <c r="LJ4" s="55">
        <f>SUMIFS(Accounts!$Z:$Z,Accounts!$B:$B,"none",Accounts!$AS:$AS, "Communications, Entertainment and Media",Accounts!$E:$E,"QBDT")</f>
        <v/>
      </c>
      <c r="LK4" s="39">
        <f>SUMIFS(Accounts!$AG:$AG,Accounts!$B:$B,"none",Accounts!$AS:$AS, "Communications, Entertainment and Media",Accounts!$E:$E,"QBDT") + SUMIFS(Accounts!$AL:$AL,Accounts!$B:$B,"none",Accounts!$AS:$AS, "Communications, Entertainment and Media",Accounts!$E:$E,"QBDT")</f>
        <v/>
      </c>
      <c r="LL4" s="55">
        <f>SUMIFS(Accounts!$AQ:$AQ,Accounts!$B:$B,"none",Accounts!$AS:$AS, "Communications, Entertainment and Media",Accounts!$E:$E,"QBDT")</f>
        <v/>
      </c>
      <c r="LM4" s="34">
        <f>((LM22+LM25)/((LM21*$C$2)+(0.5*LM24*$C$2)))*$C$2</f>
        <v/>
      </c>
      <c r="LN4" s="39">
        <f>COUNTIFS(Accounts!$AS:$AS, "IT and computer related",Accounts!$B:$B,"none",Accounts!$E:$E,"QBDT")</f>
        <v/>
      </c>
      <c r="LO4" s="33">
        <f>COUNTIFS(Accounts!$AS:$AS, "IT and computer related",Accounts!$B:$B,"Customer",Accounts!$E:$E,"QBDT")</f>
        <v/>
      </c>
      <c r="LP4" s="76">
        <f>SUMIFS(Accounts!$I:$I,Accounts!$AS:$AS, "IT and computer related",Accounts!$E:$E,"QBDT")</f>
        <v/>
      </c>
      <c r="LQ4" s="76">
        <f>SUMIFS(Accounts!$N:$N,Accounts!$AS:$AS, "IT and computer related",Accounts!$E:$E,"QBDT")</f>
        <v/>
      </c>
      <c r="LR4" s="76">
        <f>LP4/(LO4+LM24)</f>
        <v/>
      </c>
      <c r="LS4" s="76">
        <f>(LP4+LQ4)/(LO4+LM24)</f>
        <v/>
      </c>
      <c r="LT4" s="76">
        <f>LM20*LR4</f>
        <v/>
      </c>
      <c r="LU4" s="76">
        <f>IFERROR(AVERAGEIFS(Accounts!$AY:$AY,Accounts!$AS:$AS, "IT and computer related",Accounts!$B:$B,"Customer",Accounts!$AY:$AY,"&gt;0",Accounts!$E:$E,"QBDT"),0)</f>
        <v/>
      </c>
      <c r="LV4" s="33">
        <f>IFERROR(AVERAGEIFS(Accounts!$AX:$AX,Accounts!$AS:$AS, "IT and computer related",Accounts!$B:$B,"Customer",Accounts!$AX:$AX,"&gt;0",Accounts!$E:$E,"QBDT"),0)</f>
        <v/>
      </c>
      <c r="LW4" s="76">
        <f>IFERROR(AVERAGEIFS(Accounts!$AY:$AY,Accounts!$AS:$AS,"IT and computer related",Accounts!$B:$B,"none",Accounts!$AY:$AY,"&gt;0",Accounts!$E:$E,"QBDT"),0)</f>
        <v/>
      </c>
      <c r="LX4" s="33">
        <f>IFERROR(AVERAGEIFS(Accounts!$AX:$AX,Accounts!$AS:$AS,"IT and computer related",Accounts!$B:$B,"none",Accounts!$AX:$AX,"&gt;0",Accounts!$E:$E,"QBDT"),0)</f>
        <v/>
      </c>
      <c r="LY4" s="55">
        <f>SUMIFS(Accounts!$AA:$AA,Accounts!$B:$B,"Customer",Accounts!$AS:$AS, "IT and computer related",Accounts!$E:$E,"QBDT") + SUMIFS(Accounts!$AH:$AH,Accounts!$B:$B,"Customer",Accounts!$AS:$AS, "IT and computer related",Accounts!$E:$E,"QBDT") + SUMIFS(Accounts!$AJ:$AJ,Accounts!$B:$B,"Customer",Accounts!$AS:$AS, "IT and computer related",Accounts!$E:$E,"QBDT") + SUMIFS(Accounts!$AI:$AI,Accounts!$B:$B,"Customer",Accounts!$AS:$AS, "IT and computer related",Accounts!$E:$E,"QBDT") + SUMIFS(Accounts!$AO:$AO,Accounts!$B:$B,"Customer",Accounts!$AS:$AS, "IT and computer related",Accounts!$E:$E,"QBDT")</f>
        <v/>
      </c>
      <c r="LZ4" s="55">
        <f>(SUMIFS(Accounts!$AC:$AC,Accounts!$B:$B,"Customer",Accounts!$AS:$AS, "IT and computer related",Accounts!$E:$E,"QBDT")+SUMIFS(Accounts!$AF:$AF,Accounts!$B:$B,"Customer",Accounts!$AS:$AS, "IT and computer related",Accounts!$E:$E,"QBDT")+SUMIFS(Accounts!$AK:$AK,Accounts!$B:$B,"Customer",Accounts!$AS:$AS, "IT and computer related",Accounts!$E:$E,"QBDT"))</f>
        <v/>
      </c>
      <c r="MA4" s="55">
        <f>SUMIFS(Accounts!$AB:$AB,Accounts!$B:$B,"Customer",Accounts!$AS:$AS, "IT and computer related",Accounts!$E:$E,"QBDT")</f>
        <v/>
      </c>
      <c r="MB4" s="55">
        <f>SUMIFS(Accounts!$AD:$AD,Accounts!$B:$B,"Customer",Accounts!$AS:$AS, "IT and computer related",Accounts!$E:$E,"QBDT")+SUMIFS(Accounts!$AM:$AM,Accounts!$B:$B,"Customer",Accounts!$AS:$AS, "IT and computer related",Accounts!$E:$E,"QBDT")+SUMIFS(Accounts!$AN:$AN,Accounts!$B:$B,"Customer",Accounts!$AS:$AS, "IT and computer related",Accounts!$E:$E,"QBDT")</f>
        <v/>
      </c>
      <c r="MC4" s="55">
        <f>SUMIFS(Accounts!$AE:$AE,Accounts!$B:$B,"Customer",Accounts!$AS:$AS, "IT and computer related",Accounts!$E:$E,"QBDT") + SUMIFS(Accounts!$AP:$AP,Accounts!$B:$B,"Customer",Accounts!$AS:$AS, "IT and computer related",Accounts!$E:$E,"QBDT")</f>
        <v/>
      </c>
      <c r="MD4" s="55">
        <f>SUMIFS(Accounts!$Z:$Z,Accounts!$B:$B,"Customer",Accounts!$AS:$AS, "IT and computer related",Accounts!$E:$E,"QBDT")</f>
        <v/>
      </c>
      <c r="ME4" s="55">
        <f>SUMIFS(Accounts!$AG:$AG,Accounts!$B:$B,"Customer",Accounts!$AS:$AS, "IT and computer related",Accounts!$E:$E,"QBDT") + SUMIFS(Accounts!$AL:$AL,Accounts!$B:$B,"Customer",Accounts!$AS:$AS, "IT and computer related",Accounts!$E:$E,"QBDT")</f>
        <v/>
      </c>
      <c r="MF4" s="55">
        <f>SUMIFS(Accounts!$AQ:$AQ,Accounts!$B:$B,"Customer",Accounts!$AS:$AS, "IT and computer related",Accounts!$E:$E,"QBDT")</f>
        <v/>
      </c>
      <c r="MG4" s="55">
        <f>SUMIFS(Accounts!$AA:$AA,Accounts!$B:$B,"none",Accounts!$AS:$AS, "IT and computer related",Accounts!$E:$E,"QBDT") + SUMIFS(Accounts!$AH:$AH,Accounts!$B:$B,"none",Accounts!$AS:$AS, "IT and computer related",Accounts!$E:$E,"QBDT") + SUMIFS(Accounts!$AJ:$AJ,Accounts!$B:$B,"none",Accounts!$AS:$AS, "IT and computer related",Accounts!$E:$E,"QBDT") + SUMIFS(Accounts!$AI:$AI,Accounts!$B:$B,"none",Accounts!$AS:$AS, "IT and computer related",Accounts!$E:$E,"QBDT") + SUMIFS(Accounts!$AO:$AO,Accounts!$B:$B,"none",Accounts!$AS:$AS, "IT and computer related",Accounts!$E:$E,"QBDT")</f>
        <v/>
      </c>
      <c r="MH4" s="55">
        <f>(SUMIFS(Accounts!$AC:$AC,Accounts!$B:$B,"none",Accounts!$AS:$AS, "IT and computer related",Accounts!$E:$E,"QBDT")+SUMIFS(Accounts!$AF:$AF,Accounts!$B:$B,"none",Accounts!$AS:$AS, "IT and computer related",Accounts!$E:$E,"QBDT")+SUMIFS(Accounts!$AK:$AK,Accounts!$B:$B,"none",Accounts!$AS:$AS, "IT and computer related",Accounts!$E:$E,"QBDT"))</f>
        <v/>
      </c>
      <c r="MI4" s="55">
        <f>SUMIFS(Accounts!$AB:$AB,Accounts!$B:$B,"none",Accounts!$AS:$AS, "IT and computer related",Accounts!$E:$E,"QBDT")</f>
        <v/>
      </c>
      <c r="MJ4" s="55">
        <f>SUMIFS(Accounts!$AD:$AD,Accounts!$B:$B,"none",Accounts!$AS:$AS, "IT and computer related",Accounts!$E:$E,"QBDT")+SUMIFS(Accounts!$AM:$AM,Accounts!$B:$B,"none",Accounts!$AS:$AS, "IT and computer related",Accounts!$E:$E,"QBDT")+SUMIFS(Accounts!$AN:$AN,Accounts!$B:$B,"none",Accounts!$AS:$AS, "IT and computer related",Accounts!$E:$E,"QBDT")</f>
        <v/>
      </c>
      <c r="MK4" s="39">
        <f>SUMIFS(Accounts!$AE:$AE,Accounts!$B:$B,"none",Accounts!$AS:$AS, "IT and computer related",Accounts!$E:$E,"QBDT") + SUMIFS(Accounts!$AP:$AP,Accounts!$B:$B,"none",Accounts!$AS:$AS, "IT and computer related",Accounts!$E:$E,"QBDT")</f>
        <v/>
      </c>
      <c r="ML4" s="55">
        <f>SUMIFS(Accounts!$Z:$Z,Accounts!$B:$B,"none",Accounts!$AS:$AS, "IT and computer related",Accounts!$E:$E,"QBDT")</f>
        <v/>
      </c>
      <c r="MM4" s="39">
        <f>SUMIFS(Accounts!$AG:$AG,Accounts!$B:$B,"none",Accounts!$AS:$AS, "IT and computer related",Accounts!$E:$E,"QBDT") + SUMIFS(Accounts!$AL:$AL,Accounts!$B:$B,"none",Accounts!$AS:$AS, "IT and computer related",Accounts!$E:$E,"QBDT")</f>
        <v/>
      </c>
      <c r="MN4" s="55">
        <f>SUMIFS(Accounts!$AQ:$AQ,Accounts!$B:$B,"none",Accounts!$AS:$AS, "IT and computer related",Accounts!$E:$E,"QBDT")</f>
        <v/>
      </c>
      <c r="MO4" s="34">
        <f>((MO22+MO25)/((MO21*$C$2)+(0.5*MO24*$C$2)))*$C$2</f>
        <v/>
      </c>
      <c r="MP4" s="39">
        <f>COUNTIFS(Accounts!$AS:$AS, {"General service based","General"},Accounts!$B:$B,"none",Accounts!$E:$E,"QBDT")</f>
        <v/>
      </c>
      <c r="MQ4" s="33">
        <f>COUNTIFS(Accounts!$AS:$AS, {"General service based","General"},Accounts!$B:$B,"Customer",Accounts!$E:$E,"QBDT")</f>
        <v/>
      </c>
      <c r="MR4" s="76">
        <f>SUMIFS(Accounts!$I:$I,Accounts!$AS:$AS, {"General service based","General"},Accounts!$E:$E,"QBDT")</f>
        <v/>
      </c>
      <c r="MS4" s="76">
        <f>SUMIFS(Accounts!$N:$N,Accounts!$AS:$AS, {"General service based","General"},Accounts!$E:$E,"QBDT")</f>
        <v/>
      </c>
      <c r="MT4" s="76">
        <f>MR4/(MQ4+MO24)</f>
        <v/>
      </c>
      <c r="MU4" s="76">
        <f>(MR4+MS4)/(MQ4+MO24)</f>
        <v/>
      </c>
      <c r="MV4" s="76">
        <f>MO20*MT4</f>
        <v/>
      </c>
      <c r="MW4" s="76">
        <f>IFERROR(AVERAGEIFS(Accounts!$AY:$AY,Accounts!$AS:$AS, {"General service based","General"},Accounts!$B:$B,"Customer",Accounts!$AY:$AY,"&gt;0",Accounts!$E:$E,"QBDT"),0)</f>
        <v/>
      </c>
      <c r="MX4" s="33">
        <f>IFERROR(AVERAGEIFS(Accounts!$AX:$AX,Accounts!$AS:$AS, {"General service based","General"},Accounts!$B:$B,"Customer",Accounts!$AX:$AX,"&gt;0",Accounts!$E:$E,"QBDT"),0)</f>
        <v/>
      </c>
      <c r="MY4" s="76">
        <f>IFERROR(AVERAGEIFS(Accounts!$AY:$AY,Accounts!$AS:$AS,{"General service based","General"},Accounts!$B:$B,"none",Accounts!$AY:$AY,"&gt;0",Accounts!$E:$E,"QBDT"),0)</f>
        <v/>
      </c>
      <c r="MZ4" s="33">
        <f>IFERROR(AVERAGEIFS(Accounts!$AX:$AX,Accounts!$AS:$AS,{"General service based","General"},Accounts!$B:$B,"none",Accounts!$AX:$AX,"&gt;0",Accounts!$E:$E,"QBDT"),0)</f>
        <v/>
      </c>
      <c r="NA4" s="55">
        <f>SUMIFS(Accounts!$AA:$AA,Accounts!$B:$B,"Customer",Accounts!$AS:$AS, {"General service based","General"},Accounts!$E:$E,"QBDT") + SUMIFS(Accounts!$AH:$AH,Accounts!$B:$B,"Customer",Accounts!$AS:$AS, {"General service based","General"},Accounts!$E:$E,"QBDT") + SUMIFS(Accounts!$AJ:$AJ,Accounts!$B:$B,"Customer",Accounts!$AS:$AS, {"General service based","General"},Accounts!$E:$E,"QBDT") + SUMIFS(Accounts!$AI:$AI,Accounts!$B:$B,"Customer",Accounts!$AS:$AS, {"General service based","General"},Accounts!$E:$E,"QBDT") + SUMIFS(Accounts!$AO:$AO,Accounts!$B:$B,"Customer",Accounts!$AS:$AS, {"General service based","General"},Accounts!$E:$E,"QBDT")</f>
        <v/>
      </c>
      <c r="NB4" s="55">
        <f>(SUMIFS(Accounts!$AC:$AC,Accounts!$B:$B,"Customer",Accounts!$AS:$AS, {"General service based","General"},Accounts!$E:$E,"QBDT")+SUMIFS(Accounts!$AF:$AF,Accounts!$B:$B,"Customer",Accounts!$AS:$AS, {"General service based","General"},Accounts!$E:$E,"QBDT")+SUMIFS(Accounts!$AK:$AK,Accounts!$B:$B,"Customer",Accounts!$AS:$AS, {"General service based","General"},Accounts!$E:$E,"QBDT"))</f>
        <v/>
      </c>
      <c r="NC4" s="55">
        <f>SUMIFS(Accounts!$AB:$AB,Accounts!$B:$B,"Customer",Accounts!$AS:$AS, {"General service based","General"},Accounts!$E:$E,"QBDT")</f>
        <v/>
      </c>
      <c r="ND4" s="55">
        <f>SUMIFS(Accounts!$AD:$AD,Accounts!$B:$B,"Customer",Accounts!$AS:$AS, {"General service based","General"},Accounts!$E:$E,"QBDT")+SUMIFS(Accounts!$AM:$AM,Accounts!$B:$B,"Customer",Accounts!$AS:$AS, {"General service based","General"},Accounts!$E:$E,"QBDT")+SUMIFS(Accounts!$AN:$AN,Accounts!$B:$B,"Customer",Accounts!$AS:$AS, {"General service based","General"},Accounts!$E:$E,"QBDT")</f>
        <v/>
      </c>
      <c r="NE4" s="55">
        <f>SUMIFS(Accounts!$AE:$AE,Accounts!$B:$B,"Customer",Accounts!$AS:$AS, {"General service based","General"},Accounts!$E:$E,"QBDT") + SUMIFS(Accounts!$AP:$AP,Accounts!$B:$B,"Customer",Accounts!$AS:$AS, {"General service based","General"},Accounts!$E:$E,"QBDT")</f>
        <v/>
      </c>
      <c r="NF4" s="55">
        <f>SUMIFS(Accounts!$Z:$Z,Accounts!$B:$B,"Customer",Accounts!$AS:$AS, {"General service based","General"},Accounts!$E:$E,"QBDT")</f>
        <v/>
      </c>
      <c r="NG4" s="55">
        <f>SUMIFS(Accounts!$AG:$AG,Accounts!$B:$B,"Customer",Accounts!$AS:$AS, {"General service based","General"},Accounts!$E:$E,"QBDT") + SUMIFS(Accounts!$AL:$AL,Accounts!$B:$B,"Customer",Accounts!$AS:$AS, {"General service based","General"},Accounts!$E:$E,"QBDT")</f>
        <v/>
      </c>
      <c r="NH4" s="55">
        <f>SUMIFS(Accounts!$AQ:$AQ,Accounts!$B:$B,"Customer",Accounts!$AS:$AS, {"General service based","General"},Accounts!$E:$E,"QBDT")</f>
        <v/>
      </c>
      <c r="NI4" s="55">
        <f>SUMIFS(Accounts!$AA:$AA,Accounts!$B:$B,"none",Accounts!$AS:$AS, {"General service based","General"},Accounts!$E:$E,"QBDT") + SUMIFS(Accounts!$AH:$AH,Accounts!$B:$B,"none",Accounts!$AS:$AS, {"General service based","General"},Accounts!$E:$E,"QBDT") + SUMIFS(Accounts!$AJ:$AJ,Accounts!$B:$B,"none",Accounts!$AS:$AS, {"General service based","General"},Accounts!$E:$E,"QBDT") + SUMIFS(Accounts!$AI:$AI,Accounts!$B:$B,"none",Accounts!$AS:$AS, {"General service based","General"},Accounts!$E:$E,"QBDT") + SUMIFS(Accounts!$AO:$AO,Accounts!$B:$B,"none",Accounts!$AS:$AS, {"General service based","General"},Accounts!$E:$E,"QBDT")</f>
        <v/>
      </c>
      <c r="NJ4" s="55">
        <f>(SUMIFS(Accounts!$AC:$AC,Accounts!$B:$B,"none",Accounts!$AS:$AS, {"General service based","General"},Accounts!$E:$E,"QBDT")+SUMIFS(Accounts!$AF:$AF,Accounts!$B:$B,"none",Accounts!$AS:$AS, {"General service based","General"},Accounts!$E:$E,"QBDT")+SUMIFS(Accounts!$AK:$AK,Accounts!$B:$B,"none",Accounts!$AS:$AS, {"General service based","General"},Accounts!$E:$E,"QBDT"))</f>
        <v/>
      </c>
      <c r="NK4" s="55">
        <f>SUMIFS(Accounts!$AB:$AB,Accounts!$B:$B,"none",Accounts!$AS:$AS, {"General service based","General"},Accounts!$E:$E,"QBDT")</f>
        <v/>
      </c>
      <c r="NL4" s="55">
        <f>SUMIFS(Accounts!$AD:$AD,Accounts!$B:$B,"none",Accounts!$AS:$AS, {"General service based","General"},Accounts!$E:$E,"QBDT")+SUMIFS(Accounts!$AM:$AM,Accounts!$B:$B,"none",Accounts!$AS:$AS, {"General service based","General"},Accounts!$E:$E,"QBDT")+SUMIFS(Accounts!$AN:$AN,Accounts!$B:$B,"none",Accounts!$AS:$AS, {"General service based","General"},Accounts!$E:$E,"QBDT")</f>
        <v/>
      </c>
      <c r="NM4" s="39">
        <f>SUMIFS(Accounts!$AE:$AE,Accounts!$B:$B,"none",Accounts!$AS:$AS, {"General service based","General"},Accounts!$E:$E,"QBDT") + SUMIFS(Accounts!$AP:$AP,Accounts!$B:$B,"none",Accounts!$AS:$AS, {"General service based","General"},Accounts!$E:$E,"QBDT")</f>
        <v/>
      </c>
      <c r="NN4" s="55">
        <f>SUMIFS(Accounts!$Z:$Z,Accounts!$B:$B,"none",Accounts!$AS:$AS, {"General service based","General"},Accounts!$E:$E,"QBDT")</f>
        <v/>
      </c>
      <c r="NO4" s="39">
        <f>SUMIFS(Accounts!$AG:$AG,Accounts!$B:$B,"none",Accounts!$AS:$AS, {"General service based","General"},Accounts!$E:$E,"QBDT") + SUMIFS(Accounts!$AL:$AL,Accounts!$B:$B,"none",Accounts!$AS:$AS, {"General service based","General"},Accounts!$E:$E,"QBDT")</f>
        <v/>
      </c>
      <c r="NP4" s="55">
        <f>SUMIFS(Accounts!$AQ:$AQ,Accounts!$B:$B,"none",Accounts!$AS:$AS, {"General service based","General"},Accounts!$E:$E,"QBDT")</f>
        <v/>
      </c>
      <c r="NQ4" s="34">
        <f>((NQ22+NQ25)/((NQ21*$C$2)+(0.5*NQ24*$C$2)))*$C$2</f>
        <v/>
      </c>
      <c r="NR4" s="39">
        <f>COUNTIFS(Accounts!$AS:$AS, "Other",Accounts!$B:$B,"none",Accounts!$E:$E,"QBDT")</f>
        <v/>
      </c>
      <c r="NS4" s="33">
        <f>COUNTIFS(Accounts!$AS:$AS, "Other",Accounts!$B:$B,"Customer",Accounts!$E:$E,"QBDT")</f>
        <v/>
      </c>
      <c r="NT4" s="76">
        <f>SUMIFS(Accounts!$I:$I,Accounts!$AS:$AS, "Other",Accounts!$E:$E,"QBDT")</f>
        <v/>
      </c>
      <c r="NU4" s="76">
        <f>SUMIFS(Accounts!$N:$N,Accounts!$AS:$AS, "Other",Accounts!$E:$E,"QBDT")</f>
        <v/>
      </c>
      <c r="NV4" s="76">
        <f>NT4/(NS4+NQ24)</f>
        <v/>
      </c>
      <c r="NW4" s="76">
        <f>(NT4+NU4)/(NS4+NQ24)</f>
        <v/>
      </c>
      <c r="NX4" s="76">
        <f>NQ20*NV4</f>
        <v/>
      </c>
      <c r="NY4" s="76">
        <f>IFERROR(AVERAGEIFS(Accounts!$AY:$AY,Accounts!$AS:$AS, "Other",Accounts!$B:$B,"Customer",Accounts!$AY:$AY,"&gt;0",Accounts!$E:$E,"QBDT"),0)</f>
        <v/>
      </c>
      <c r="NZ4" s="33">
        <f>IFERROR(AVERAGEIFS(Accounts!$AX:$AX,Accounts!$AS:$AS, "Other",Accounts!$B:$B,"Customer",Accounts!$AX:$AX,"&gt;0",Accounts!$E:$E,"QBDT"),0)</f>
        <v/>
      </c>
      <c r="OA4" s="76">
        <f>IFERROR(AVERAGEIFS(Accounts!$AY:$AY,Accounts!$AS:$AS,"Other",Accounts!$B:$B,"none",Accounts!$AY:$AY,"&gt;0",Accounts!$E:$E,"QBDT"),0)</f>
        <v/>
      </c>
      <c r="OB4" s="33">
        <f>IFERROR(AVERAGEIFS(Accounts!$AX:$AX,Accounts!$AS:$AS,"Other",Accounts!$B:$B,"none",Accounts!$AX:$AX,"&gt;0",Accounts!$E:$E,"QBDT"),0)</f>
        <v/>
      </c>
      <c r="OC4" s="55">
        <f>SUMIFS(Accounts!$AA:$AA,Accounts!$B:$B,"Customer",Accounts!$AS:$AS, "Other",Accounts!$E:$E,"QBDT") + SUMIFS(Accounts!$AH:$AH,Accounts!$B:$B,"Customer",Accounts!$AS:$AS, "Other",Accounts!$E:$E,"QBDT") + SUMIFS(Accounts!$AJ:$AJ,Accounts!$B:$B,"Customer",Accounts!$AS:$AS, "Other",Accounts!$E:$E,"QBDT") + SUMIFS(Accounts!$AI:$AI,Accounts!$B:$B,"Customer",Accounts!$AS:$AS, "Other",Accounts!$E:$E,"QBDT") + SUMIFS(Accounts!$AO:$AO,Accounts!$B:$B,"Customer",Accounts!$AS:$AS, "Other",Accounts!$E:$E,"QBDT")</f>
        <v/>
      </c>
      <c r="OD4" s="55">
        <f>(SUMIFS(Accounts!$AC:$AC,Accounts!$B:$B,"Customer",Accounts!$AS:$AS, "Other",Accounts!$E:$E,"QBDT")+SUMIFS(Accounts!$AF:$AF,Accounts!$B:$B,"Customer",Accounts!$AS:$AS, "Other",Accounts!$E:$E,"QBDT")+SUMIFS(Accounts!$AK:$AK,Accounts!$B:$B,"Customer",Accounts!$AS:$AS, "Other",Accounts!$E:$E,"QBDT"))</f>
        <v/>
      </c>
      <c r="OE4" s="55">
        <f>SUMIFS(Accounts!$AB:$AB,Accounts!$B:$B,"Customer",Accounts!$AS:$AS, "Other",Accounts!$E:$E,"QBDT")</f>
        <v/>
      </c>
      <c r="OF4" s="55">
        <f>SUMIFS(Accounts!$AD:$AD,Accounts!$B:$B,"Customer",Accounts!$AS:$AS, "Other",Accounts!$E:$E,"QBDT")+SUMIFS(Accounts!$AM:$AM,Accounts!$B:$B,"Customer",Accounts!$AS:$AS, "Other",Accounts!$E:$E,"QBDT")+SUMIFS(Accounts!$AN:$AN,Accounts!$B:$B,"Customer",Accounts!$AS:$AS, "Other",Accounts!$E:$E,"QBDT")</f>
        <v/>
      </c>
      <c r="OG4" s="55">
        <f>SUMIFS(Accounts!$AE:$AE,Accounts!$B:$B,"Customer",Accounts!$AS:$AS, "Other",Accounts!$E:$E,"QBDT") + SUMIFS(Accounts!$AP:$AP,Accounts!$B:$B,"Customer",Accounts!$AS:$AS, "Other",Accounts!$E:$E,"QBDT")</f>
        <v/>
      </c>
      <c r="OH4" s="55">
        <f>SUMIFS(Accounts!$Z:$Z,Accounts!$B:$B,"Customer",Accounts!$AS:$AS, "Other",Accounts!$E:$E,"QBDT")</f>
        <v/>
      </c>
      <c r="OI4" s="55">
        <f>SUMIFS(Accounts!$AG:$AG,Accounts!$B:$B,"Customer",Accounts!$AS:$AS, "Other",Accounts!$E:$E,"QBDT") + SUMIFS(Accounts!$AL:$AL,Accounts!$B:$B,"Customer",Accounts!$AS:$AS, "Other",Accounts!$E:$E,"QBDT")</f>
        <v/>
      </c>
      <c r="OJ4" s="55">
        <f>SUMIFS(Accounts!$AQ:$AQ,Accounts!$B:$B,"Customer",Accounts!$AS:$AS, "Other",Accounts!$E:$E,"QBDT")</f>
        <v/>
      </c>
      <c r="OK4" s="55">
        <f>SUMIFS(Accounts!$AA:$AA,Accounts!$B:$B,"none",Accounts!$AS:$AS, "Other",Accounts!$E:$E,"QBDT") + SUMIFS(Accounts!$AH:$AH,Accounts!$B:$B,"none",Accounts!$AS:$AS, "Other",Accounts!$E:$E,"QBDT") + SUMIFS(Accounts!$AJ:$AJ,Accounts!$B:$B,"none",Accounts!$AS:$AS, "Other",Accounts!$E:$E,"QBDT") + SUMIFS(Accounts!$AI:$AI,Accounts!$B:$B,"none",Accounts!$AS:$AS, "Other",Accounts!$E:$E,"QBDT") + SUMIFS(Accounts!$AO:$AO,Accounts!$B:$B,"none",Accounts!$AS:$AS, "Other",Accounts!$E:$E,"QBDT")</f>
        <v/>
      </c>
      <c r="OL4" s="55">
        <f>(SUMIFS(Accounts!$AC:$AC,Accounts!$B:$B,"none",Accounts!$AS:$AS, "Other",Accounts!$E:$E,"QBDT")+SUMIFS(Accounts!$AF:$AF,Accounts!$B:$B,"none",Accounts!$AS:$AS, "Other",Accounts!$E:$E,"QBDT")+SUMIFS(Accounts!$AK:$AK,Accounts!$B:$B,"none",Accounts!$AS:$AS, "Other",Accounts!$E:$E,"QBDT"))</f>
        <v/>
      </c>
      <c r="OM4" s="55">
        <f>SUMIFS(Accounts!$AB:$AB,Accounts!$B:$B,"none",Accounts!$AS:$AS, "Other",Accounts!$E:$E,"QBDT")</f>
        <v/>
      </c>
      <c r="ON4" s="55">
        <f>SUMIFS(Accounts!$AD:$AD,Accounts!$B:$B,"none",Accounts!$AS:$AS, "Other",Accounts!$E:$E,"QBDT")+SUMIFS(Accounts!$AM:$AM,Accounts!$B:$B,"none",Accounts!$AS:$AS, "Other",Accounts!$E:$E,"QBDT")+SUMIFS(Accounts!$AN:$AN,Accounts!$B:$B,"none",Accounts!$AS:$AS, "Other",Accounts!$E:$E,"QBDT")</f>
        <v/>
      </c>
      <c r="OO4" s="39">
        <f>SUMIFS(Accounts!$AE:$AE,Accounts!$B:$B,"none",Accounts!$AS:$AS, "Other",Accounts!$E:$E,"QBDT") + SUMIFS(Accounts!$AP:$AP,Accounts!$B:$B,"none",Accounts!$AS:$AS, "Other",Accounts!$E:$E,"QBDT")</f>
        <v/>
      </c>
      <c r="OP4" s="55">
        <f>SUMIFS(Accounts!$Z:$Z,Accounts!$B:$B,"none",Accounts!$AS:$AS, "Other",Accounts!$E:$E,"QBDT")</f>
        <v/>
      </c>
      <c r="OQ4" s="39">
        <f>SUMIFS(Accounts!$AG:$AG,Accounts!$B:$B,"none",Accounts!$AS:$AS, "Other",Accounts!$E:$E,"QBDT") + SUMIFS(Accounts!$AL:$AL,Accounts!$B:$B,"none",Accounts!$AS:$AS, "Other",Accounts!$E:$E,"QBDT")</f>
        <v/>
      </c>
      <c r="OR4" s="55">
        <f>SUMIFS(Accounts!$AQ:$AQ,Accounts!$B:$B,"none",Accounts!$AS:$AS, "Other",Accounts!$E:$E,"QBDT")</f>
        <v/>
      </c>
      <c r="OS4" s="34">
        <f>((OS22+OS25)/((OS21*$C$2)+(0.5*OS24*$C$2)))*$C$2</f>
        <v/>
      </c>
      <c r="OT4" s="39">
        <f>COUNTIFS(Accounts!$AS:$AS, "Accounting and Bookkeeping",Accounts!$B:$B,"none",Accounts!$E:$E,"QBDT")</f>
        <v/>
      </c>
      <c r="OU4" s="33">
        <f>COUNTIFS(Accounts!$AS:$AS, "Accounting and Bookkeeping",Accounts!$B:$B,"Customer",Accounts!$E:$E,"QBDT")</f>
        <v/>
      </c>
      <c r="OV4" s="76">
        <f>SUMIFS(Accounts!$I:$I,Accounts!$AS:$AS, "Accounting and Bookkeeping",Accounts!$E:$E,"QBDT")</f>
        <v/>
      </c>
      <c r="OW4" s="76">
        <f>SUMIFS(Accounts!$N:$N,Accounts!$AS:$AS, "Accounting and Bookkeeping",Accounts!$E:$E,"QBDT")</f>
        <v/>
      </c>
      <c r="OX4" s="76">
        <f>OV4/(OU4+OS24)</f>
        <v/>
      </c>
      <c r="OY4" s="76">
        <f>(OV4+OW4)/(OU4+OS24)</f>
        <v/>
      </c>
      <c r="OZ4" s="76">
        <f>OS20*OX4</f>
        <v/>
      </c>
      <c r="PA4" s="76">
        <f>IFERROR(AVERAGEIFS(Accounts!$AY:$AY,Accounts!$AS:$AS, "Accounting and Bookkeeping",Accounts!$B:$B,"Customer",Accounts!$AY:$AY,"&gt;0",Accounts!$E:$E,"QBDT"),0)</f>
        <v/>
      </c>
      <c r="PB4" s="33">
        <f>IFERROR(AVERAGEIFS(Accounts!$AX:$AX,Accounts!$AS:$AS, "Accounting and Bookkeeping",Accounts!$B:$B,"Customer",Accounts!$AX:$AX,"&gt;0",Accounts!$E:$E,"QBDT"),0)</f>
        <v/>
      </c>
      <c r="PC4" s="76">
        <f>IFERROR(AVERAGEIFS(Accounts!$AY:$AY,Accounts!$AS:$AS,"Accounting and Bookkeeping",Accounts!$B:$B,"none",Accounts!$AY:$AY,"&gt;0",Accounts!$E:$E,"QBDT"),0)</f>
        <v/>
      </c>
      <c r="PD4" s="33">
        <f>IFERROR(AVERAGEIFS(Accounts!$AX:$AX,Accounts!$AS:$AS,"Accounting and Bookkeeping",Accounts!$B:$B,"none",Accounts!$AX:$AX,"&gt;0",Accounts!$E:$E,"QBDT"),0)</f>
        <v/>
      </c>
      <c r="PE4" s="55">
        <f>SUMIFS(Accounts!$AA:$AA,Accounts!$B:$B,"Customer",Accounts!$AS:$AS, "Accounting and Bookkeeping",Accounts!$E:$E,"QBDT") + SUMIFS(Accounts!$AH:$AH,Accounts!$B:$B,"Customer",Accounts!$AS:$AS, "Accounting and Bookkeeping",Accounts!$E:$E,"QBDT") + SUMIFS(Accounts!$AJ:$AJ,Accounts!$B:$B,"Customer",Accounts!$AS:$AS, "Accounting and Bookkeeping",Accounts!$E:$E,"QBDT") + SUMIFS(Accounts!$AI:$AI,Accounts!$B:$B,"Customer",Accounts!$AS:$AS, "Accounting and Bookkeeping",Accounts!$E:$E,"QBDT") + SUMIFS(Accounts!$AO:$AO,Accounts!$B:$B,"Customer",Accounts!$AS:$AS, "Accounting and Bookkeeping",Accounts!$E:$E,"QBDT")</f>
        <v/>
      </c>
      <c r="PF4" s="55">
        <f>(SUMIFS(Accounts!$AC:$AC,Accounts!$B:$B,"Customer",Accounts!$AS:$AS, "Accounting and Bookkeeping",Accounts!$E:$E,"QBDT")+SUMIFS(Accounts!$AF:$AF,Accounts!$B:$B,"Customer",Accounts!$AS:$AS, "Accounting and Bookkeeping",Accounts!$E:$E,"QBDT")+SUMIFS(Accounts!$AK:$AK,Accounts!$B:$B,"Customer",Accounts!$AS:$AS, "Accounting and Bookkeeping",Accounts!$E:$E,"QBDT"))</f>
        <v/>
      </c>
      <c r="PG4" s="55">
        <f>SUMIFS(Accounts!$AB:$AB,Accounts!$B:$B,"Customer",Accounts!$AS:$AS, "Accounting and Bookkeeping",Accounts!$E:$E,"QBDT")</f>
        <v/>
      </c>
      <c r="PH4" s="55">
        <f>SUMIFS(Accounts!$AD:$AD,Accounts!$B:$B,"Customer",Accounts!$AS:$AS, "Accounting and Bookkeeping",Accounts!$E:$E,"QBDT")+SUMIFS(Accounts!$AM:$AM,Accounts!$B:$B,"Customer",Accounts!$AS:$AS, "Accounting and Bookkeeping",Accounts!$E:$E,"QBDT")+SUMIFS(Accounts!$AN:$AN,Accounts!$B:$B,"Customer",Accounts!$AS:$AS, "Accounting and Bookkeeping",Accounts!$E:$E,"QBDT")</f>
        <v/>
      </c>
      <c r="PI4" s="55">
        <f>SUMIFS(Accounts!$AE:$AE,Accounts!$B:$B,"Customer",Accounts!$AS:$AS, "Accounting and Bookkeeping",Accounts!$E:$E,"QBDT") + SUMIFS(Accounts!$AP:$AP,Accounts!$B:$B,"Customer",Accounts!$AS:$AS, "Accounting and Bookkeeping",Accounts!$E:$E,"QBDT")</f>
        <v/>
      </c>
      <c r="PJ4" s="55">
        <f>SUMIFS(Accounts!$Z:$Z,Accounts!$B:$B,"Customer",Accounts!$AS:$AS, "Accounting and Bookkeeping",Accounts!$E:$E,"QBDT")</f>
        <v/>
      </c>
      <c r="PK4" s="55">
        <f>SUMIFS(Accounts!$AG:$AG,Accounts!$B:$B,"Customer",Accounts!$AS:$AS, "Accounting and Bookkeeping",Accounts!$E:$E,"QBDT") + SUMIFS(Accounts!$AL:$AL,Accounts!$B:$B,"Customer",Accounts!$AS:$AS, "Accounting and Bookkeeping",Accounts!$E:$E,"QBDT")</f>
        <v/>
      </c>
      <c r="PL4" s="55">
        <f>SUMIFS(Accounts!$AQ:$AQ,Accounts!$B:$B,"Customer",Accounts!$AS:$AS, "Accounting and Bookkeeping",Accounts!$E:$E,"QBDT")</f>
        <v/>
      </c>
      <c r="PM4" s="55">
        <f>SUMIFS(Accounts!$AA:$AA,Accounts!$B:$B,"none",Accounts!$AS:$AS, "Accounting and Bookkeeping",Accounts!$E:$E,"QBDT") + SUMIFS(Accounts!$AH:$AH,Accounts!$B:$B,"none",Accounts!$AS:$AS, "Accounting and Bookkeeping",Accounts!$E:$E,"QBDT") + SUMIFS(Accounts!$AJ:$AJ,Accounts!$B:$B,"none",Accounts!$AS:$AS, "Accounting and Bookkeeping",Accounts!$E:$E,"QBDT") + SUMIFS(Accounts!$AI:$AI,Accounts!$B:$B,"none",Accounts!$AS:$AS, "Accounting and Bookkeeping",Accounts!$E:$E,"QBDT") + SUMIFS(Accounts!$AO:$AO,Accounts!$B:$B,"none",Accounts!$AS:$AS, "Accounting and Bookkeeping",Accounts!$E:$E,"QBDT")</f>
        <v/>
      </c>
      <c r="PN4" s="55">
        <f>(SUMIFS(Accounts!$AC:$AC,Accounts!$B:$B,"none",Accounts!$AS:$AS, "Accounting and Bookkeeping",Accounts!$E:$E,"QBDT")+SUMIFS(Accounts!$AF:$AF,Accounts!$B:$B,"none",Accounts!$AS:$AS, "Accounting and Bookkeeping",Accounts!$E:$E,"QBDT")+SUMIFS(Accounts!$AK:$AK,Accounts!$B:$B,"none",Accounts!$AS:$AS, "Accounting and Bookkeeping",Accounts!$E:$E,"QBDT"))</f>
        <v/>
      </c>
      <c r="PO4" s="55">
        <f>SUMIFS(Accounts!$AB:$AB,Accounts!$B:$B,"none",Accounts!$AS:$AS, "Accounting and Bookkeeping",Accounts!$E:$E,"QBDT")</f>
        <v/>
      </c>
      <c r="PP4" s="55">
        <f>SUMIFS(Accounts!$AD:$AD,Accounts!$B:$B,"none",Accounts!$AS:$AS, "Accounting and Bookkeeping",Accounts!$E:$E,"QBDT")+SUMIFS(Accounts!$AM:$AM,Accounts!$B:$B,"none",Accounts!$AS:$AS, "Accounting and Bookkeeping",Accounts!$E:$E,"QBDT")+SUMIFS(Accounts!$AN:$AN,Accounts!$B:$B,"none",Accounts!$AS:$AS, "Accounting and Bookkeeping",Accounts!$E:$E,"QBDT")</f>
        <v/>
      </c>
      <c r="PQ4" s="39">
        <f>SUMIFS(Accounts!$AE:$AE,Accounts!$B:$B,"none",Accounts!$AS:$AS, "Accounting and Bookkeeping",Accounts!$E:$E,"QBDT") + SUMIFS(Accounts!$AP:$AP,Accounts!$B:$B,"none",Accounts!$AS:$AS, "Accounting and Bookkeeping",Accounts!$E:$E,"QBDT")</f>
        <v/>
      </c>
      <c r="PR4" s="55">
        <f>SUMIFS(Accounts!$Z:$Z,Accounts!$B:$B,"none",Accounts!$AS:$AS, "Accounting and Bookkeeping",Accounts!$E:$E,"QBDT")</f>
        <v/>
      </c>
      <c r="PS4" s="39">
        <f>SUMIFS(Accounts!$AG:$AG,Accounts!$B:$B,"none",Accounts!$AS:$AS, "Accounting and Bookkeeping",Accounts!$E:$E,"QBDT") + SUMIFS(Accounts!$AL:$AL,Accounts!$B:$B,"none",Accounts!$AS:$AS, "Accounting and Bookkeeping",Accounts!$E:$E,"QBDT")</f>
        <v/>
      </c>
      <c r="PT4" s="55">
        <f>SUMIFS(Accounts!$AQ:$AQ,Accounts!$B:$B,"none",Accounts!$AS:$AS, "Accounting and Bookkeeping",Accounts!$E:$E,"QBDT")</f>
        <v/>
      </c>
    </row>
    <row r="5" ht="16" customFormat="1" customHeight="1" s="31">
      <c r="B5" s="75" t="n"/>
      <c r="C5" s="33" t="n"/>
    </row>
    <row r="6" ht="16" customFormat="1" customHeight="1" s="40">
      <c r="B6" s="77" t="n"/>
      <c r="C6" s="42" t="n"/>
      <c r="S6" s="43" t="n"/>
      <c r="T6" s="43" t="n"/>
      <c r="AZ6" s="54" t="inlineStr">
        <is>
          <t>All</t>
        </is>
      </c>
      <c r="BA6" s="43" t="inlineStr">
        <is>
          <t>Customer Life Time (Months)</t>
        </is>
      </c>
      <c r="BC6" s="44">
        <f>IF(BC2&lt;0.005,120,1/BC2)</f>
        <v/>
      </c>
      <c r="BD6" s="44">
        <f>IF(BD2&lt;0.005,120,1/BD2)</f>
        <v/>
      </c>
      <c r="BE6" s="44">
        <f>IF(BE2&lt;0.005,120,1/BE2)</f>
        <v/>
      </c>
      <c r="BF6" s="44">
        <f>IF(BF2&lt;0.005,120,1/BF2)</f>
        <v/>
      </c>
      <c r="BG6" s="44">
        <f>IF(BG2&lt;0.005,120,1/BG2)</f>
        <v/>
      </c>
      <c r="BH6" s="44">
        <f>IF(BH2&lt;0.005,120,1/BH2)</f>
        <v/>
      </c>
      <c r="BI6" s="44">
        <f>IF(BI2&lt;0.005,120,1/BI2)</f>
        <v/>
      </c>
      <c r="BJ6" s="44">
        <f>IF(BJ2&lt;0.005,120,1/BJ2)</f>
        <v/>
      </c>
      <c r="BK6" s="44">
        <f>IF(BK2&lt;0.005,120,1/BK2)</f>
        <v/>
      </c>
      <c r="BL6" s="44">
        <f>IF(BL2&lt;0.005,120,1/BL2)</f>
        <v/>
      </c>
      <c r="CJ6" s="43" t="n"/>
      <c r="CQ6" s="44" t="n"/>
      <c r="CR6" s="44" t="n"/>
      <c r="CS6" s="53" t="n"/>
      <c r="CT6" s="43" t="n"/>
      <c r="CU6" s="53" t="inlineStr">
        <is>
          <t>All</t>
        </is>
      </c>
      <c r="CV6" s="43" t="inlineStr">
        <is>
          <t>Customer Life Time (Months)</t>
        </is>
      </c>
      <c r="CW6" s="44">
        <f>IF(CW$2=0,120,1/CW$2)</f>
        <v/>
      </c>
      <c r="DV6" s="53" t="n"/>
      <c r="DW6" s="53" t="inlineStr">
        <is>
          <t>All</t>
        </is>
      </c>
      <c r="DX6" s="43" t="inlineStr">
        <is>
          <t>Customer Life Time (Months)</t>
        </is>
      </c>
      <c r="DY6" s="44">
        <f>IF(DY$2=0,120,1/DY$2)</f>
        <v/>
      </c>
      <c r="EX6" s="53" t="n"/>
      <c r="EY6" s="53" t="inlineStr">
        <is>
          <t>All</t>
        </is>
      </c>
      <c r="EZ6" s="43" t="inlineStr">
        <is>
          <t>Customer Life Time (Months)</t>
        </is>
      </c>
      <c r="FA6" s="44">
        <f>IF(FA$2=0,120,1/FA$2)</f>
        <v/>
      </c>
      <c r="FZ6" s="53" t="n"/>
      <c r="GA6" s="53" t="inlineStr">
        <is>
          <t>All</t>
        </is>
      </c>
      <c r="GB6" s="43" t="inlineStr">
        <is>
          <t>Customer Life Time (Months)</t>
        </is>
      </c>
      <c r="GC6" s="44">
        <f>IF(GC$2=0,120,1/GC$2)</f>
        <v/>
      </c>
      <c r="HB6" s="53" t="n"/>
      <c r="HC6" s="53" t="inlineStr">
        <is>
          <t>All</t>
        </is>
      </c>
      <c r="HD6" s="43" t="inlineStr">
        <is>
          <t>Customer Life Time (Months)</t>
        </is>
      </c>
      <c r="HE6" s="44">
        <f>IF(HE$2=0,120,1/HE$2)</f>
        <v/>
      </c>
      <c r="ID6" s="53" t="n"/>
      <c r="IE6" s="53" t="inlineStr">
        <is>
          <t>All</t>
        </is>
      </c>
      <c r="IF6" s="43" t="inlineStr">
        <is>
          <t>Customer Life Time (Months)</t>
        </is>
      </c>
      <c r="IG6" s="44">
        <f>IF(IG$2=0,120,1/IG$2)</f>
        <v/>
      </c>
      <c r="JF6" s="53" t="n"/>
      <c r="JG6" s="53" t="inlineStr">
        <is>
          <t>All</t>
        </is>
      </c>
      <c r="JH6" s="43" t="inlineStr">
        <is>
          <t>Customer Life Time (Months)</t>
        </is>
      </c>
      <c r="JI6" s="44">
        <f>IF(JI$2=0,120,1/JI$2)</f>
        <v/>
      </c>
      <c r="KH6" s="53" t="n"/>
      <c r="KI6" s="53" t="inlineStr">
        <is>
          <t>All</t>
        </is>
      </c>
      <c r="KJ6" s="43" t="inlineStr">
        <is>
          <t>Customer Life Time (Months)</t>
        </is>
      </c>
      <c r="KK6" s="44">
        <f>IF(KK$2=0,120,1/KK$2)</f>
        <v/>
      </c>
      <c r="LJ6" s="53" t="n"/>
      <c r="LK6" s="53" t="inlineStr">
        <is>
          <t>All</t>
        </is>
      </c>
      <c r="LL6" s="43" t="inlineStr">
        <is>
          <t>Customer Life Time (Months)</t>
        </is>
      </c>
      <c r="LM6" s="44">
        <f>IF(LM$2=0,120,1/LM$2)</f>
        <v/>
      </c>
      <c r="ML6" s="53" t="n"/>
      <c r="MM6" s="53" t="inlineStr">
        <is>
          <t>All</t>
        </is>
      </c>
      <c r="MN6" s="43" t="inlineStr">
        <is>
          <t>Customer Life Time (Months)</t>
        </is>
      </c>
      <c r="MO6" s="44">
        <f>IF(MO$2=0,120,1/MO$2)</f>
        <v/>
      </c>
      <c r="NN6" s="53" t="n"/>
      <c r="NO6" s="53" t="inlineStr">
        <is>
          <t>All</t>
        </is>
      </c>
      <c r="NP6" s="43" t="inlineStr">
        <is>
          <t>Customer Life Time (Months)</t>
        </is>
      </c>
      <c r="NQ6" s="44">
        <f>IF(NQ$2=0,120,1/NQ$2)</f>
        <v/>
      </c>
      <c r="OP6" s="53" t="n"/>
      <c r="OQ6" s="53" t="inlineStr">
        <is>
          <t>All</t>
        </is>
      </c>
      <c r="OR6" s="43" t="inlineStr">
        <is>
          <t>Customer Life Time (Months)</t>
        </is>
      </c>
      <c r="OS6" s="44">
        <f>IF(OS$2=0,120,1/OS$2)</f>
        <v/>
      </c>
      <c r="PR6" s="53" t="n"/>
      <c r="PS6" s="53" t="n"/>
      <c r="PT6" s="43" t="n"/>
    </row>
    <row r="7" ht="16" customFormat="1" customHeight="1" s="40">
      <c r="B7" s="78" t="inlineStr">
        <is>
          <t>Curent Period Year</t>
        </is>
      </c>
      <c r="C7" s="46">
        <f>YEAR(B2)</f>
        <v/>
      </c>
      <c r="S7" s="43" t="n"/>
      <c r="T7" s="43" t="n"/>
      <c r="AZ7" s="54" t="inlineStr">
        <is>
          <t>All</t>
        </is>
      </c>
      <c r="BA7" s="43" t="inlineStr">
        <is>
          <t>Accounts BOM</t>
        </is>
      </c>
      <c r="BC7" s="44">
        <f>COUNTIF(Accounts!$B:$B,"Customer")</f>
        <v/>
      </c>
      <c r="BD7" s="58">
        <f>SUMIFS(Accounts!$AA:$AA,Accounts!$B:$B,"Customer") + SUMIFS(Accounts!$AH:$AH,Accounts!$B:$B,"Customer") + SUMIFS(Accounts!$AJ:$AJ,Accounts!$B:$B,"Customer") + SUMIFS(Accounts!$AI:$AI,Accounts!$B:$B,"Customer") + SUMIFS(Accounts!$AO:$AO,Accounts!$B:$B,"Customer")</f>
        <v/>
      </c>
      <c r="BE7" s="58">
        <f>(SUMIFS(Accounts!$AC:$AC,Accounts!$B:$B,"Customer")+SUMIFS(Accounts!$AF:$AF,Accounts!$B:$B,"Customer")+SUMIFS(Accounts!$AK:$AK,Accounts!$B:$B,"Customer"))</f>
        <v/>
      </c>
      <c r="BF7" s="58">
        <f>SUMIFS(Accounts!$AB:$AB,Accounts!$B:$B,"Customer")</f>
        <v/>
      </c>
      <c r="BG7" s="58">
        <f>SUMIFS(Accounts!$AD:$AD,Accounts!$B:$B,"Customer")+SUMIFS(Accounts!$AM:$AM,Accounts!$B:$B,"Customer")+SUMIFS(Accounts!$AN:$AN,Accounts!$B:$B,"Customer")</f>
        <v/>
      </c>
      <c r="BH7" s="58">
        <f>SUMIFS(Accounts!$AE:$AE,Accounts!$B:$B,"Customer") + SUMIFS(Accounts!$AP:$AP,Accounts!$B:$B,"Customer")+SUMIFS(Accounts!$Z:$Z,Accounts!$B:$B,"Customer")+SUMIFS(Accounts!$AG:$AG,Accounts!$B:$B,"Customer") + SUMIFS(Accounts!$AL:$AL,Accounts!$B:$B,"Customer")</f>
        <v/>
      </c>
      <c r="BI7" s="58">
        <f>SUMIFS(Accounts!$AE:$AE,Accounts!$B:$B,"Customer") + SUMIFS(Accounts!$AP:$AP,Accounts!$B:$B,"Customer")</f>
        <v/>
      </c>
      <c r="BJ7" s="58">
        <f>SUMIFS(Accounts!$Z:$Z,Accounts!$B:$B,"Customer")</f>
        <v/>
      </c>
      <c r="BK7" s="58">
        <f>SUMIFS(Accounts!$AG:$AG,Accounts!$B:$B,"Customer") + SUMIFS(Accounts!$AL:$AL,Accounts!$B:$B,"Customer")</f>
        <v/>
      </c>
      <c r="BL7" s="58">
        <f>SUMIFS(Accounts!$AQ:$AQ,Accounts!$B:$B,"Customer")</f>
        <v/>
      </c>
      <c r="CJ7" s="43" t="n"/>
      <c r="CM7" s="44" t="n"/>
      <c r="CS7" s="53" t="n"/>
      <c r="CT7" s="43" t="n"/>
      <c r="CU7" s="53" t="inlineStr">
        <is>
          <t>All</t>
        </is>
      </c>
      <c r="CV7" s="43" t="inlineStr">
        <is>
          <t>Accounts BOM</t>
        </is>
      </c>
      <c r="CW7" s="44">
        <f>COUNTIFS(Accounts!$AS:$AS, "Manufacturing (MWD)",Accounts!$B:$B,"Customer")</f>
        <v/>
      </c>
      <c r="DV7" s="53" t="n"/>
      <c r="DW7" s="53" t="inlineStr">
        <is>
          <t>All</t>
        </is>
      </c>
      <c r="DX7" s="43" t="inlineStr">
        <is>
          <t>Accounts BOM</t>
        </is>
      </c>
      <c r="DY7" s="44">
        <f>COUNTIFS(Accounts!$AS:$AS, "Wholesale and distribution services (MWD)",Accounts!$B:$B,"Customer")</f>
        <v/>
      </c>
      <c r="EX7" s="53" t="n"/>
      <c r="EY7" s="53" t="inlineStr">
        <is>
          <t>All</t>
        </is>
      </c>
      <c r="EZ7" s="43" t="inlineStr">
        <is>
          <t>Accounts BOM</t>
        </is>
      </c>
      <c r="FA7" s="44">
        <f>COUNTIFS(Accounts!$AS:$AS, "Construction",Accounts!$B:$B,"Customer")</f>
        <v/>
      </c>
      <c r="FZ7" s="53" t="n"/>
      <c r="GA7" s="53" t="inlineStr">
        <is>
          <t>All</t>
        </is>
      </c>
      <c r="GB7" s="43" t="inlineStr">
        <is>
          <t>Accounts BOM</t>
        </is>
      </c>
      <c r="GC7" s="44">
        <f>COUNTIFS(Accounts!$AS:$AS, "Field Services",Accounts!$B:$B,"Customer")</f>
        <v/>
      </c>
      <c r="HB7" s="53" t="n"/>
      <c r="HC7" s="53" t="inlineStr">
        <is>
          <t>All</t>
        </is>
      </c>
      <c r="HD7" s="43" t="inlineStr">
        <is>
          <t>Accounts BOM</t>
        </is>
      </c>
      <c r="HE7" s="44">
        <f>COUNTIFS(Accounts!$AS:$AS, "Consulting and Professional Services",Accounts!$B:$B,"Customer")</f>
        <v/>
      </c>
      <c r="ID7" s="53" t="n"/>
      <c r="IE7" s="53" t="inlineStr">
        <is>
          <t>All</t>
        </is>
      </c>
      <c r="IF7" s="43" t="inlineStr">
        <is>
          <t>Accounts BOM</t>
        </is>
      </c>
      <c r="IG7" s="44">
        <f>COUNTIFS(Accounts!$AS:$AS, "Retail",Accounts!$B:$B,"Customer")</f>
        <v/>
      </c>
      <c r="JF7" s="53" t="n"/>
      <c r="JG7" s="53" t="inlineStr">
        <is>
          <t>All</t>
        </is>
      </c>
      <c r="JH7" s="43" t="inlineStr">
        <is>
          <t>Accounts BOM</t>
        </is>
      </c>
      <c r="JI7" s="44">
        <f>COUNTIFS(Accounts!$AS:$AS, "Non-profit, govt or religious organization",Accounts!$B:$B,"Customer")</f>
        <v/>
      </c>
      <c r="KH7" s="53" t="n"/>
      <c r="KI7" s="53" t="inlineStr">
        <is>
          <t>All</t>
        </is>
      </c>
      <c r="KJ7" s="43" t="inlineStr">
        <is>
          <t>Accounts BOM</t>
        </is>
      </c>
      <c r="KK7" s="44">
        <f>COUNTIFS(Accounts!$AS:$AS, "Communications, Entertainment and Media",Accounts!$B:$B,"Customer")</f>
        <v/>
      </c>
      <c r="LJ7" s="53" t="n"/>
      <c r="LK7" s="53" t="inlineStr">
        <is>
          <t>All</t>
        </is>
      </c>
      <c r="LL7" s="43" t="inlineStr">
        <is>
          <t>Accounts BOM</t>
        </is>
      </c>
      <c r="LM7" s="44">
        <f>COUNTIFS(Accounts!$AS:$AS, "IT and computer related",Accounts!$B:$B,"Customer")</f>
        <v/>
      </c>
      <c r="ML7" s="53" t="n"/>
      <c r="MM7" s="53" t="inlineStr">
        <is>
          <t>All</t>
        </is>
      </c>
      <c r="MN7" s="43" t="inlineStr">
        <is>
          <t>Accounts BOM</t>
        </is>
      </c>
      <c r="MO7" s="44">
        <f>COUNTIFS(Accounts!$AS:$AS, {"General service based","General"},Accounts!$B:$B,"Customer")</f>
        <v/>
      </c>
      <c r="NN7" s="53" t="n"/>
      <c r="NO7" s="53" t="inlineStr">
        <is>
          <t>All</t>
        </is>
      </c>
      <c r="NP7" s="43" t="inlineStr">
        <is>
          <t>Accounts BOM</t>
        </is>
      </c>
      <c r="NQ7" s="44">
        <f>COUNTIFS(Accounts!$AS:$AS, "Other",Accounts!$B:$B,"Customer")</f>
        <v/>
      </c>
      <c r="OP7" s="53" t="n"/>
      <c r="OQ7" s="53" t="inlineStr">
        <is>
          <t>All</t>
        </is>
      </c>
      <c r="OR7" s="43" t="inlineStr">
        <is>
          <t>Accounts BOM</t>
        </is>
      </c>
      <c r="OS7" s="44">
        <f>COUNTIFS(Accounts!$AS:$AS, "Accounting and Bookkeeping",Accounts!$B:$B,"Customer")</f>
        <v/>
      </c>
      <c r="PR7" s="53" t="n"/>
      <c r="PS7" s="53" t="n"/>
      <c r="PT7" s="43" t="n"/>
    </row>
    <row r="8" ht="16" customFormat="1" customHeight="1" s="40">
      <c r="B8" s="47" t="inlineStr">
        <is>
          <t>Current Peroid Month</t>
        </is>
      </c>
      <c r="C8" s="46">
        <f>MONTH(B2)</f>
        <v/>
      </c>
      <c r="J8" s="48" t="n"/>
      <c r="S8" s="43" t="n"/>
      <c r="T8" s="43" t="n"/>
      <c r="AZ8" s="54" t="inlineStr">
        <is>
          <t>All</t>
        </is>
      </c>
      <c r="BA8" s="43" t="inlineStr">
        <is>
          <t>Lost Accounts</t>
        </is>
      </c>
      <c r="BC8" s="44">
        <f>COUNTIFS(Accounts!$B:$B,"Customer",Accounts!$C:$C,"Lost")</f>
        <v/>
      </c>
      <c r="BD8" s="58">
        <f>SUMIFS(Accounts!$AA:$AA,Accounts!$B:$B,"Customer",Accounts!$C:$C,"Lost") + SUMIFS(Accounts!$AH:$AH,Accounts!$B:$B,"Customer",Accounts!$C:$C,"Lost") + SUMIFS(Accounts!$AJ:$AJ,Accounts!$B:$B,"Customer",Accounts!$C:$C,"Lost") + SUMIFS(Accounts!$AI:$AI,Accounts!$B:$B,"Customer",Accounts!$C:$C,"Lost") + SUMIFS(Accounts!$AO:$AO,Accounts!$B:$B,"Customer",Accounts!$C:$C,"Lost")</f>
        <v/>
      </c>
      <c r="BE8" s="58">
        <f>(SUMIFS(Accounts!$AC:$AC,Accounts!$B:$B,"Customer",Accounts!$C:$C,"Lost")+SUMIFS(Accounts!$AF:$AF,Accounts!$B:$B,"Customer",Accounts!$C:$C,"Lost")+SUMIFS(Accounts!$AK:$AK,Accounts!$B:$B,"Customer",Accounts!$C:$C,"Lost"))</f>
        <v/>
      </c>
      <c r="BF8" s="58">
        <f>SUMIFS(Accounts!$AB:$AB,Accounts!$B:$B,"Customer",Accounts!$C:$C,"Lost")</f>
        <v/>
      </c>
      <c r="BG8" s="58">
        <f>SUMIFS(Accounts!$AD:$AD,Accounts!$B:$B,"Customer",Accounts!$C:$C,"Lost")+SUMIFS(Accounts!$AM:$AM,Accounts!$B:$B,"Customer",Accounts!$C:$C,"Lost")+SUMIFS(Accounts!$AN:$AN,Accounts!$B:$B,"Customer",Accounts!$C:$C,"Lost")</f>
        <v/>
      </c>
      <c r="BH8" s="58">
        <f>SUMIFS(Accounts!$AE:$AE,Accounts!$B:$B,"Customer",Accounts!$C:$C,"Lost") + SUMIFS(Accounts!$AP:$AP,Accounts!$B:$B,"Customer",Accounts!$C:$C,"Lost")+SUMIFS(Accounts!$Z:$Z,Accounts!$B:$B,"Customer",Accounts!$C:$C,"Lost")+SUMIFS(Accounts!$AG:$AG,Accounts!$B:$B,"Customer",Accounts!$C:$C,"Lost") + SUMIFS(Accounts!$AL:$AL,Accounts!$B:$B,"Customer",Accounts!$C:$C,"Lost")</f>
        <v/>
      </c>
      <c r="BI8" s="58">
        <f>SUMIFS(Accounts!$AE:$AE,Accounts!$B:$B,"Customer",Accounts!$C:$C,"Lost") + SUMIFS(Accounts!$AP:$AP,Accounts!$B:$B,"Customer",Accounts!$C:$C,"Lost")</f>
        <v/>
      </c>
      <c r="BJ8" s="58">
        <f>SUMIFS(Accounts!$Z:$Z,Accounts!$B:$B,"Customer",Accounts!$C:$C,"Lost")</f>
        <v/>
      </c>
      <c r="BK8" s="58">
        <f>SUMIFS(Accounts!$AG:$AG,Accounts!$B:$B,"Customer",Accounts!$C:$C,"Lost") + SUMIFS(Accounts!$AL:$AL,Accounts!$B:$B,"Customer",Accounts!$C:$C,"Lost")</f>
        <v/>
      </c>
      <c r="BL8" s="58">
        <f>SUMIFS(Accounts!$AQ:$AQ,Accounts!$B:$B,"Customer",Accounts!$C:$C,"Lost")</f>
        <v/>
      </c>
      <c r="CJ8" s="43" t="n"/>
      <c r="CS8" s="53" t="n"/>
      <c r="CT8" s="43" t="n"/>
      <c r="CU8" s="53" t="inlineStr">
        <is>
          <t>All</t>
        </is>
      </c>
      <c r="CV8" s="43" t="inlineStr">
        <is>
          <t>Lost Accounts</t>
        </is>
      </c>
      <c r="CW8" s="44">
        <f>COUNTIFS(Accounts!$AS:$AS, "Manufacturing (MWD)",Accounts!$B:$B,"Customer",Accounts!$C:$C,"Lost")</f>
        <v/>
      </c>
      <c r="DV8" s="53" t="n"/>
      <c r="DW8" s="53" t="inlineStr">
        <is>
          <t>All</t>
        </is>
      </c>
      <c r="DX8" s="43" t="inlineStr">
        <is>
          <t>Lost Accounts</t>
        </is>
      </c>
      <c r="DY8" s="44">
        <f>COUNTIFS(Accounts!$AS:$AS, "Wholesale and distribution services (MWD)",Accounts!$B:$B,"Customer",Accounts!$C:$C,"Lost")</f>
        <v/>
      </c>
      <c r="EX8" s="53" t="n"/>
      <c r="EY8" s="53" t="inlineStr">
        <is>
          <t>All</t>
        </is>
      </c>
      <c r="EZ8" s="43" t="inlineStr">
        <is>
          <t>Lost Accounts</t>
        </is>
      </c>
      <c r="FA8" s="44">
        <f>COUNTIFS(Accounts!$AS:$AS, "Construction",Accounts!$B:$B,"Customer",Accounts!$C:$C,"Lost")</f>
        <v/>
      </c>
      <c r="FZ8" s="53" t="n"/>
      <c r="GA8" s="53" t="inlineStr">
        <is>
          <t>All</t>
        </is>
      </c>
      <c r="GB8" s="43" t="inlineStr">
        <is>
          <t>Lost Accounts</t>
        </is>
      </c>
      <c r="GC8" s="44">
        <f>COUNTIFS(Accounts!$AS:$AS, "Field Services",Accounts!$B:$B,"Customer",Accounts!$C:$C,"Lost")</f>
        <v/>
      </c>
      <c r="HB8" s="53" t="n"/>
      <c r="HC8" s="53" t="inlineStr">
        <is>
          <t>All</t>
        </is>
      </c>
      <c r="HD8" s="43" t="inlineStr">
        <is>
          <t>Lost Accounts</t>
        </is>
      </c>
      <c r="HE8" s="44">
        <f>COUNTIFS(Accounts!$AS:$AS, "Consulting and Professional Services",Accounts!$B:$B,"Customer",Accounts!$C:$C,"Lost")</f>
        <v/>
      </c>
      <c r="ID8" s="53" t="n"/>
      <c r="IE8" s="53" t="inlineStr">
        <is>
          <t>All</t>
        </is>
      </c>
      <c r="IF8" s="43" t="inlineStr">
        <is>
          <t>Lost Accounts</t>
        </is>
      </c>
      <c r="IG8" s="44">
        <f>COUNTIFS(Accounts!$AS:$AS, "Retail",Accounts!$B:$B,"Customer",Accounts!$C:$C,"Lost")</f>
        <v/>
      </c>
      <c r="JF8" s="53" t="n"/>
      <c r="JG8" s="53" t="inlineStr">
        <is>
          <t>All</t>
        </is>
      </c>
      <c r="JH8" s="43" t="inlineStr">
        <is>
          <t>Lost Accounts</t>
        </is>
      </c>
      <c r="JI8" s="44">
        <f>COUNTIFS(Accounts!$AS:$AS, "Non-profit, govt or religious organization",Accounts!$B:$B,"Customer",Accounts!$C:$C,"Lost")</f>
        <v/>
      </c>
      <c r="KH8" s="53" t="n"/>
      <c r="KI8" s="53" t="inlineStr">
        <is>
          <t>All</t>
        </is>
      </c>
      <c r="KJ8" s="43" t="inlineStr">
        <is>
          <t>Lost Accounts</t>
        </is>
      </c>
      <c r="KK8" s="44">
        <f>COUNTIFS(Accounts!$AS:$AS, "Communications, Entertainment and Media",Accounts!$B:$B,"Customer",Accounts!$C:$C,"Lost")</f>
        <v/>
      </c>
      <c r="LJ8" s="53" t="n"/>
      <c r="LK8" s="53" t="inlineStr">
        <is>
          <t>All</t>
        </is>
      </c>
      <c r="LL8" s="43" t="inlineStr">
        <is>
          <t>Lost Accounts</t>
        </is>
      </c>
      <c r="LM8" s="44">
        <f>COUNTIFS(Accounts!$AS:$AS, "IT and computer related",Accounts!$B:$B,"Customer",Accounts!$C:$C,"Lost")</f>
        <v/>
      </c>
      <c r="ML8" s="53" t="n"/>
      <c r="MM8" s="53" t="inlineStr">
        <is>
          <t>All</t>
        </is>
      </c>
      <c r="MN8" s="43" t="inlineStr">
        <is>
          <t>Lost Accounts</t>
        </is>
      </c>
      <c r="MO8" s="44">
        <f>COUNTIFS(Accounts!$AS:$AS, {"General service based","General"},Accounts!$B:$B,"Customer",Accounts!$C:$C,"Lost")</f>
        <v/>
      </c>
      <c r="NN8" s="53" t="n"/>
      <c r="NO8" s="53" t="inlineStr">
        <is>
          <t>All</t>
        </is>
      </c>
      <c r="NP8" s="43" t="inlineStr">
        <is>
          <t>Lost Accounts</t>
        </is>
      </c>
      <c r="NQ8" s="44">
        <f>COUNTIFS(Accounts!$AS:$AS, "Other",Accounts!$B:$B,"Customer",Accounts!$C:$C,"Lost")</f>
        <v/>
      </c>
      <c r="OP8" s="53" t="n"/>
      <c r="OQ8" s="53" t="inlineStr">
        <is>
          <t>All</t>
        </is>
      </c>
      <c r="OR8" s="43" t="inlineStr">
        <is>
          <t>Lost Accounts</t>
        </is>
      </c>
      <c r="OS8" s="44">
        <f>COUNTIFS(Accounts!$AS:$AS, "Accounting and Bookkeeping",Accounts!$B:$B,"Customer",Accounts!$C:$C,"Lost")</f>
        <v/>
      </c>
      <c r="PR8" s="53" t="n"/>
      <c r="PS8" s="53" t="n"/>
      <c r="PT8" s="43" t="n"/>
    </row>
    <row r="9" ht="16" customFormat="1" customHeight="1" s="40">
      <c r="B9" s="43" t="inlineStr">
        <is>
          <t>Previous Period (30) Date</t>
        </is>
      </c>
      <c r="C9" s="42">
        <f>EOMONTH($B$2,-1)</f>
        <v/>
      </c>
      <c r="J9" s="48" t="n"/>
      <c r="S9" s="43" t="n"/>
      <c r="T9" s="43" t="n"/>
      <c r="AZ9" s="54" t="inlineStr">
        <is>
          <t>All</t>
        </is>
      </c>
      <c r="BA9" s="43" t="inlineStr">
        <is>
          <t>Accounts EOM</t>
        </is>
      </c>
      <c r="BC9" s="44">
        <f>COUNTIF(Accounts!$C:$C,"Customer")</f>
        <v/>
      </c>
      <c r="BD9" s="58">
        <f>SUMIFS(Accounts!$AA:$AA,Accounts!$C:$C,"Customer") + SUMIFS(Accounts!$AH:$AH,Accounts!$C:$C,"Customer") + SUMIFS(Accounts!$AJ:$AJ,Accounts!$C:$C,"Customer") + SUMIFS(Accounts!$AI:$AI,Accounts!$C:$C,"Customer") + SUMIFS(Accounts!$AO:$AO,Accounts!$C:$C,"Customer")</f>
        <v/>
      </c>
      <c r="BE9" s="58">
        <f>(SUMIFS(Accounts!$AC:$AC,Accounts!$C:$C,"Customer")+SUMIFS(Accounts!$AF:$AF,Accounts!$C:$C,"Customer")+SUMIFS(Accounts!$AK:$AK,Accounts!$C:$C,"Customer"))</f>
        <v/>
      </c>
      <c r="BF9" s="58">
        <f>SUMIFS(Accounts!$AB:$AB,Accounts!$C:$C,"Customer")</f>
        <v/>
      </c>
      <c r="BG9" s="58">
        <f>SUMIFS(Accounts!$AD:$AD,Accounts!$C:$C,"Customer")+SUMIFS(Accounts!$AM:$AM,Accounts!$C:$C,"Customer")+SUMIFS(Accounts!$AN:$AN,Accounts!$C:$C,"Customer")</f>
        <v/>
      </c>
      <c r="BH9" s="58">
        <f>SUMIFS(Accounts!$AE:$AE,Accounts!$C:$C,"Customer") + SUMIFS(Accounts!$AP:$AP,Accounts!$C:$C,"Customer")+SUMIFS(Accounts!$Z:$Z,Accounts!$C:$C,"Customer")+SUMIFS(Accounts!$AG:$AG,Accounts!$C:$C,"Customer") + SUMIFS(Accounts!$AL:$AL,Accounts!$C:$C,"Customer")</f>
        <v/>
      </c>
      <c r="BI9" s="58">
        <f>SUMIFS(Accounts!$AE:$AE,Accounts!$C:$C,"Customer") + SUMIFS(Accounts!$AP:$AP,Accounts!$C:$C,"Customer")</f>
        <v/>
      </c>
      <c r="BJ9" s="58">
        <f>SUMIFS(Accounts!$Z:$Z,Accounts!$C:$C,"Customer")</f>
        <v/>
      </c>
      <c r="BK9" s="58">
        <f>SUMIFS(Accounts!$AG:$AG,Accounts!$C:$C,"Customer") + SUMIFS(Accounts!$AL:$AL,Accounts!$C:$C,"Customer")</f>
        <v/>
      </c>
      <c r="BL9" s="58">
        <f>SUMIFS(Accounts!$AQ:$AQ,Accounts!$C:$C,"Customer")</f>
        <v/>
      </c>
      <c r="CJ9" s="43" t="n"/>
      <c r="CM9" s="44" t="n"/>
      <c r="CS9" s="53" t="n"/>
      <c r="CT9" s="43" t="n"/>
      <c r="CU9" s="53" t="inlineStr">
        <is>
          <t>All</t>
        </is>
      </c>
      <c r="CV9" s="43" t="inlineStr">
        <is>
          <t>Accounts EOM</t>
        </is>
      </c>
      <c r="CW9" s="44">
        <f>COUNTIFS(Accounts!$AS:$AS, "Manufacturing (MWD)",Accounts!$C:$C,"Customer")</f>
        <v/>
      </c>
      <c r="DV9" s="53" t="n"/>
      <c r="DW9" s="53" t="inlineStr">
        <is>
          <t>All</t>
        </is>
      </c>
      <c r="DX9" s="43" t="inlineStr">
        <is>
          <t>Accounts EOM</t>
        </is>
      </c>
      <c r="DY9" s="44">
        <f>COUNTIFS(Accounts!$AS:$AS, "Wholesale and distribution services (MWD)",Accounts!$C:$C,"Customer")</f>
        <v/>
      </c>
      <c r="EX9" s="53" t="n"/>
      <c r="EY9" s="53" t="inlineStr">
        <is>
          <t>All</t>
        </is>
      </c>
      <c r="EZ9" s="43" t="inlineStr">
        <is>
          <t>Accounts EOM</t>
        </is>
      </c>
      <c r="FA9" s="44">
        <f>COUNTIFS(Accounts!$AS:$AS, "Construction",Accounts!$C:$C,"Customer")</f>
        <v/>
      </c>
      <c r="FZ9" s="53" t="n"/>
      <c r="GA9" s="53" t="inlineStr">
        <is>
          <t>All</t>
        </is>
      </c>
      <c r="GB9" s="43" t="inlineStr">
        <is>
          <t>Accounts EOM</t>
        </is>
      </c>
      <c r="GC9" s="44">
        <f>COUNTIFS(Accounts!$AS:$AS, "Field Services",Accounts!$C:$C,"Customer")</f>
        <v/>
      </c>
      <c r="HB9" s="53" t="n"/>
      <c r="HC9" s="53" t="inlineStr">
        <is>
          <t>All</t>
        </is>
      </c>
      <c r="HD9" s="43" t="inlineStr">
        <is>
          <t>Accounts EOM</t>
        </is>
      </c>
      <c r="HE9" s="44">
        <f>COUNTIFS(Accounts!$AS:$AS, "Consulting and Professional Services",Accounts!$C:$C,"Customer")</f>
        <v/>
      </c>
      <c r="ID9" s="53" t="n"/>
      <c r="IE9" s="53" t="inlineStr">
        <is>
          <t>All</t>
        </is>
      </c>
      <c r="IF9" s="43" t="inlineStr">
        <is>
          <t>Accounts EOM</t>
        </is>
      </c>
      <c r="IG9" s="44">
        <f>COUNTIFS(Accounts!$AS:$AS, "Retail",Accounts!$C:$C,"Customer")</f>
        <v/>
      </c>
      <c r="JF9" s="53" t="n"/>
      <c r="JG9" s="53" t="inlineStr">
        <is>
          <t>All</t>
        </is>
      </c>
      <c r="JH9" s="43" t="inlineStr">
        <is>
          <t>Accounts EOM</t>
        </is>
      </c>
      <c r="JI9" s="44">
        <f>COUNTIFS(Accounts!$AS:$AS, "Non-profit, govt or religious organization",Accounts!$C:$C,"Customer")</f>
        <v/>
      </c>
      <c r="KH9" s="53" t="n"/>
      <c r="KI9" s="53" t="inlineStr">
        <is>
          <t>All</t>
        </is>
      </c>
      <c r="KJ9" s="43" t="inlineStr">
        <is>
          <t>Accounts EOM</t>
        </is>
      </c>
      <c r="KK9" s="44">
        <f>COUNTIFS(Accounts!$AS:$AS, "Communications, Entertainment and Media",Accounts!$C:$C,"Customer")</f>
        <v/>
      </c>
      <c r="LJ9" s="53" t="n"/>
      <c r="LK9" s="53" t="inlineStr">
        <is>
          <t>All</t>
        </is>
      </c>
      <c r="LL9" s="43" t="inlineStr">
        <is>
          <t>Accounts EOM</t>
        </is>
      </c>
      <c r="LM9" s="44">
        <f>COUNTIFS(Accounts!$AS:$AS, "IT and computer related",Accounts!$C:$C,"Customer")</f>
        <v/>
      </c>
      <c r="ML9" s="53" t="n"/>
      <c r="MM9" s="53" t="inlineStr">
        <is>
          <t>All</t>
        </is>
      </c>
      <c r="MN9" s="43" t="inlineStr">
        <is>
          <t>Accounts EOM</t>
        </is>
      </c>
      <c r="MO9" s="44">
        <f>COUNTIFS(Accounts!$AS:$AS, {"General service based","General"},Accounts!$C:$C,"Customer")</f>
        <v/>
      </c>
      <c r="NN9" s="53" t="n"/>
      <c r="NO9" s="53" t="inlineStr">
        <is>
          <t>All</t>
        </is>
      </c>
      <c r="NP9" s="43" t="inlineStr">
        <is>
          <t>Accounts EOM</t>
        </is>
      </c>
      <c r="NQ9" s="44">
        <f>COUNTIFS(Accounts!$AS:$AS, "Other",Accounts!$C:$C,"Customer")</f>
        <v/>
      </c>
      <c r="OP9" s="53" t="n"/>
      <c r="OQ9" s="53" t="inlineStr">
        <is>
          <t>All</t>
        </is>
      </c>
      <c r="OR9" s="43" t="inlineStr">
        <is>
          <t>Accounts EOM</t>
        </is>
      </c>
      <c r="OS9" s="44">
        <f>COUNTIFS(Accounts!$AS:$AS, "Accounting and Bookkeeping",Accounts!$C:$C,"Customer")</f>
        <v/>
      </c>
      <c r="PR9" s="53" t="n"/>
      <c r="PS9" s="53" t="n"/>
      <c r="PT9" s="43" t="n"/>
    </row>
    <row r="10" ht="16" customFormat="1" customHeight="1" s="40">
      <c r="B10" s="47" t="inlineStr">
        <is>
          <t>Previous Period Year</t>
        </is>
      </c>
      <c r="C10" s="46">
        <f>YEAR(C9)</f>
        <v/>
      </c>
      <c r="S10" s="43" t="n"/>
      <c r="T10" s="43" t="n"/>
      <c r="AZ10" s="54" t="inlineStr">
        <is>
          <t>All</t>
        </is>
      </c>
      <c r="BA10" s="43" t="inlineStr">
        <is>
          <t>New  Customers</t>
        </is>
      </c>
      <c r="BC10" s="44">
        <f>SUMPRODUCT(COUNTIFS(Accounts!$B:$B,{"Trialer","none"},Accounts!$C:$C,"Customer"))</f>
        <v/>
      </c>
      <c r="BD10" s="58">
        <f>SUMPRODUCT(SUMIFS(Accounts!$AA:$AA,Accounts!$B:$B,{"Trialer","none"},Accounts!$C:$C,"Customer") +
SUMIFS(Accounts!$AH:$AH,Accounts!$B:$B,{"Trialer","none"},Accounts!$C:$C,"Customer") +
SUMIFS(Accounts!$AJ:$AJ,Accounts!$B:$B,{"Trialer","none"},Accounts!$C:$C,"Customer") +
SUMIFS(Accounts!$AI:$AI,Accounts!$B:$B,{"Trialer","none"},Accounts!$C:$C,"Customer") +
SUMIFS(Accounts!$AO:$AO,Accounts!$B:$B,{"Trialer","none"},Accounts!$C:$C,"Customer"))</f>
        <v/>
      </c>
      <c r="BE10" s="58">
        <f>SUMPRODUCT(SUM((SUMIFS(Accounts!$AC:$AC,Accounts!$B:$B,{"Trialer","none"},Accounts!$C:$C,"Customer"))+SUM(SUMIFS(Accounts!$AF:$AF,Accounts!$B:$B,{"Trialer","none"},Accounts!$C:$C,"Customer"))+SUM(SUMIFS(Accounts!$AK:$AK,Accounts!$B:$B,{"Trialer","none"},Accounts!$C:$C,"Customer"))))</f>
        <v/>
      </c>
      <c r="BF10" s="58">
        <f>SUMPRODUCT(SUMIFS(Accounts!$AB:$AB,Accounts!$B:$B,{"Trialer","none"},Accounts!$C:$C,"Customer"))</f>
        <v/>
      </c>
      <c r="BG10" s="58">
        <f>SUMPRODUCT(SUMIFS(Accounts!$AD:$AD,Accounts!$B:$B,{"Trialer","none"},Accounts!$C:$C,"Customer")+SUMIFS(Accounts!$AM:$AM,Accounts!$B:$B,{"Trialer","none"},Accounts!$C:$C,"Customer")+SUMIFS(Accounts!$AN:$AN,Accounts!$B:$B,{"Trialer","none"},Accounts!$C:$C,"Customer"))</f>
        <v/>
      </c>
      <c r="BH10" s="58">
        <f>SUMPRODUCT(SUMIFS(Accounts!$AE:$AE,Accounts!$B:$B,{"Trialer","none"},Accounts!$C:$C,"Customer")+SUMIFS(Accounts!$AP:$AP,Accounts!$B:$B,{"Trialer","none"},Accounts!$C:$C,"Customer")+SUMIFS(Accounts!$Z:$Z,Accounts!$B:$B,{"Trialer","none"},Accounts!$C:$C,"Customer")+SUMIFS(Accounts!$AG:$AG,Accounts!$B:$B,{"Trialer","none"},Accounts!$C:$C,"Customer")+SUMIFS(Accounts!$AL:$AL,Accounts!$B:$B,{"Trialer","none"},Accounts!$C:$C,"Customer"))</f>
        <v/>
      </c>
      <c r="BI10" s="58">
        <f>SUMPRODUCT(SUMIFS(Accounts!$AE:$AE,Accounts!$B:$B,{"Trialer","none"},Accounts!$C:$C,"Customer")+SUMIFS(Accounts!$AP:$AP,Accounts!$B:$B,{"Trialer","none"},Accounts!$C:$C,"Customer"))</f>
        <v/>
      </c>
      <c r="BJ10" s="58">
        <f>SUMPRODUCT(SUMIFS(Accounts!$Z:$Z,Accounts!$B:$B,{"Trialer","none"},Accounts!$C:$C,"Customer"))</f>
        <v/>
      </c>
      <c r="BK10" s="58">
        <f>SUMPRODUCT(SUMIFS(Accounts!$AG:$AG,Accounts!$B:$B,{"Trialer","none"},Accounts!$C:$C,"Customer") + SUMIFS(Accounts!$AL:$AL,Accounts!$B:$B,{"Trialer","none"},Accounts!$C:$C,"Customer"))</f>
        <v/>
      </c>
      <c r="BL10" s="58">
        <f>SUMPRODUCT(SUMIFS(Accounts!$AQ:$AQ,Accounts!$B:$B,{"Trialer","none"},Accounts!$C:$C,"Customer"))</f>
        <v/>
      </c>
      <c r="CJ10" s="43" t="n"/>
      <c r="CS10" s="53" t="n"/>
      <c r="CT10" s="43" t="n"/>
      <c r="CU10" s="53" t="inlineStr">
        <is>
          <t>All</t>
        </is>
      </c>
      <c r="CV10" s="43" t="inlineStr">
        <is>
          <t>New  Customers</t>
        </is>
      </c>
      <c r="CW10" s="44">
        <f>SUMPRODUCT(COUNTIFS(Accounts!$AS:$AS,"Manufacturing (MWD)",Accounts!$B:$B,{"Trialer","none"},Accounts!$C:$C,"Customer"))</f>
        <v/>
      </c>
      <c r="DV10" s="53" t="n"/>
      <c r="DW10" s="53" t="inlineStr">
        <is>
          <t>All</t>
        </is>
      </c>
      <c r="DX10" s="43" t="inlineStr">
        <is>
          <t>New  Customers</t>
        </is>
      </c>
      <c r="DY10" s="44">
        <f>SUMPRODUCT(COUNTIFS(Accounts!$AS:$AS,"Wholesale and distribution services (MWD)",Accounts!$B:$B,{"Trialer","none"},Accounts!$C:$C,"Customer"))</f>
        <v/>
      </c>
      <c r="EX10" s="53" t="n"/>
      <c r="EY10" s="53" t="inlineStr">
        <is>
          <t>All</t>
        </is>
      </c>
      <c r="EZ10" s="43" t="inlineStr">
        <is>
          <t>New  Customers</t>
        </is>
      </c>
      <c r="FA10" s="44">
        <f>SUMPRODUCT(COUNTIFS(Accounts!$AS:$AS,"Construction",Accounts!$B:$B,{"Trialer","none"},Accounts!$C:$C,"Customer"))</f>
        <v/>
      </c>
      <c r="FZ10" s="53" t="n"/>
      <c r="GA10" s="53" t="inlineStr">
        <is>
          <t>All</t>
        </is>
      </c>
      <c r="GB10" s="43" t="inlineStr">
        <is>
          <t>New  Customers</t>
        </is>
      </c>
      <c r="GC10" s="44">
        <f>SUMPRODUCT(COUNTIFS(Accounts!$AS:$AS,"Field Services",Accounts!$B:$B,{"Trialer","none"},Accounts!$C:$C,"Customer"))</f>
        <v/>
      </c>
      <c r="HB10" s="53" t="n"/>
      <c r="HC10" s="53" t="inlineStr">
        <is>
          <t>All</t>
        </is>
      </c>
      <c r="HD10" s="43" t="inlineStr">
        <is>
          <t>New  Customers</t>
        </is>
      </c>
      <c r="HE10" s="44">
        <f>SUMPRODUCT(COUNTIFS(Accounts!$AS:$AS,"Consulting and Professional Services",Accounts!$B:$B,{"Trialer","none"},Accounts!$C:$C,"Customer"))</f>
        <v/>
      </c>
      <c r="ID10" s="53" t="n"/>
      <c r="IE10" s="53" t="inlineStr">
        <is>
          <t>All</t>
        </is>
      </c>
      <c r="IF10" s="43" t="inlineStr">
        <is>
          <t>New  Customers</t>
        </is>
      </c>
      <c r="IG10" s="44">
        <f>SUMPRODUCT(COUNTIFS(Accounts!$AS:$AS,"Retail",Accounts!$B:$B,{"Trialer","none"},Accounts!$C:$C,"Customer"))</f>
        <v/>
      </c>
      <c r="JF10" s="53" t="n"/>
      <c r="JG10" s="53" t="inlineStr">
        <is>
          <t>All</t>
        </is>
      </c>
      <c r="JH10" s="43" t="inlineStr">
        <is>
          <t>New  Customers</t>
        </is>
      </c>
      <c r="JI10" s="44">
        <f>SUMPRODUCT(COUNTIFS(Accounts!$AS:$AS,"Non-profit, govt or religious organization",Accounts!$B:$B,{"Trialer","none"},Accounts!$C:$C,"Customer"))</f>
        <v/>
      </c>
      <c r="KH10" s="53" t="n"/>
      <c r="KI10" s="53" t="inlineStr">
        <is>
          <t>All</t>
        </is>
      </c>
      <c r="KJ10" s="43" t="inlineStr">
        <is>
          <t>New  Customers</t>
        </is>
      </c>
      <c r="KK10" s="44">
        <f>SUMPRODUCT(COUNTIFS(Accounts!$AS:$AS,"Communications, Entertainment and Media",Accounts!$B:$B,{"Trialer","none"},Accounts!$C:$C,"Customer"))</f>
        <v/>
      </c>
      <c r="LJ10" s="53" t="n"/>
      <c r="LK10" s="53" t="inlineStr">
        <is>
          <t>All</t>
        </is>
      </c>
      <c r="LL10" s="43" t="inlineStr">
        <is>
          <t>New  Customers</t>
        </is>
      </c>
      <c r="LM10" s="44">
        <f>SUMPRODUCT(COUNTIFS(Accounts!$AS:$AS,"IT and computer related",Accounts!$B:$B,{"Trialer","none"},Accounts!$C:$C,"Customer"))</f>
        <v/>
      </c>
      <c r="ML10" s="53" t="n"/>
      <c r="MM10" s="53" t="inlineStr">
        <is>
          <t>All</t>
        </is>
      </c>
      <c r="MN10" s="43" t="inlineStr">
        <is>
          <t>New  Customers</t>
        </is>
      </c>
      <c r="MO10" s="44">
        <f>SUMPRODUCT(COUNTIFS(Accounts!$AS:$AS,{"General service based","General"},Accounts!$B:$B,{"Trialer","none"},Accounts!$C:$C,"Customer"))</f>
        <v/>
      </c>
      <c r="NN10" s="53" t="n"/>
      <c r="NO10" s="53" t="inlineStr">
        <is>
          <t>All</t>
        </is>
      </c>
      <c r="NP10" s="43" t="inlineStr">
        <is>
          <t>New  Customers</t>
        </is>
      </c>
      <c r="NQ10" s="44">
        <f>SUMPRODUCT(COUNTIFS(Accounts!$AS:$AS,"Other",Accounts!$B:$B,{"Trialer","none"},Accounts!$C:$C,"Customer"))</f>
        <v/>
      </c>
      <c r="OP10" s="53" t="n"/>
      <c r="OQ10" s="53" t="inlineStr">
        <is>
          <t>All</t>
        </is>
      </c>
      <c r="OR10" s="43" t="inlineStr">
        <is>
          <t>New  Customers</t>
        </is>
      </c>
      <c r="OS10" s="44">
        <f>SUMPRODUCT(COUNTIFS(Accounts!$AS:$AS,"Accounting and Bookkeeping",Accounts!$B:$B,{"Trialer","none"},Accounts!$C:$C,"Customer"))</f>
        <v/>
      </c>
      <c r="PR10" s="53" t="n"/>
      <c r="PS10" s="53" t="n"/>
      <c r="PT10" s="43" t="n"/>
    </row>
    <row r="11" ht="16" customFormat="1" customHeight="1" s="40">
      <c r="B11" s="47" t="inlineStr">
        <is>
          <t>Previous Period  Month</t>
        </is>
      </c>
      <c r="C11" s="46">
        <f>MONTH(C9)</f>
        <v/>
      </c>
      <c r="S11" s="43" t="n"/>
      <c r="T11" s="43" t="n"/>
      <c r="AZ11" s="54" t="inlineStr">
        <is>
          <t>All</t>
        </is>
      </c>
      <c r="BA11" s="43" t="inlineStr">
        <is>
          <t>LostNew Customers</t>
        </is>
      </c>
      <c r="BC11" s="44">
        <f>SUMPRODUCT(COUNTIFS(Accounts!$B:$B,{"Trialer","none"},Accounts!$C:$C,"Lost"))</f>
        <v/>
      </c>
      <c r="BD11" s="58">
        <f>SUMPRODUCT(SUMIFS(Accounts!$AA:$AA,Accounts!$B:$B,{"Trialer","none"},Accounts!$C:$C,"Lost") + SUMIFS(Accounts!$AH:$AH,Accounts!$B:$B,{"Trialer","none"},Accounts!$C:$C,"Lost") + SUMIFS(Accounts!$AJ:$AJ,Accounts!$B:$B,{"Trialer","none"},Accounts!$C:$C,"Lost") + SUMIFS(Accounts!$AI:$AI,Accounts!$B:$B,{"Trialer","none"},Accounts!$C:$C,"Lost") + SUMIFS(Accounts!$AO:$AO,Accounts!$B:$B,{"Trialer","none"},Accounts!$C:$C,"Lost"))</f>
        <v/>
      </c>
      <c r="BE11" s="58">
        <f>SUMPRODUCT(SUMIFS(Accounts!$AC:$AC,Accounts!$B:$B,{"Trialer","none"},Accounts!$C:$C,"Lost")+SUMIFS(Accounts!$AF:$AF,Accounts!$B:$B,{"Trialer","none"},Accounts!$C:$C,"Lost")+SUMIFS(Accounts!$AK:$AK,Accounts!$B:$B,{"Trialer","none"},Accounts!$C:$C,"Lost"))</f>
        <v/>
      </c>
      <c r="BF11" s="58">
        <f>SUMPRODUCT(SUMIFS(Accounts!$AB:$AB,Accounts!$B:$B,{"Trialer","none"},Accounts!$C:$C,"Lost"))</f>
        <v/>
      </c>
      <c r="BG11" s="58">
        <f>SUMPRODUCT(SUMIFS(Accounts!$AD:$AD,Accounts!$B:$B,{"Trialer","none"},Accounts!$C:$C,"Lost")+SUMIFS(Accounts!$AM:$AM,Accounts!$B:$B,{"Trialer","none"},Accounts!$C:$C,"Lost")+SUMIFS(Accounts!$AN:$AN,Accounts!$B:$B,{"Trialer","none"},Accounts!$C:$C,"Lost"))</f>
        <v/>
      </c>
      <c r="BH11" s="58">
        <f>SUMPRODUCT(SUMIFS(Accounts!$AE:$AE,Accounts!$B:$B,{"Trialer","none"},Accounts!$C:$C,"Lost")+SUMIFS(Accounts!$AP:$AP,Accounts!$B:$B,{"Trialer","none"},Accounts!$C:$C,"Lost")+SUMIFS(Accounts!$Z:$Z,Accounts!$B:$B,{"Trialer","none"},Accounts!$C:$C,"Lost")+SUMIFS(Accounts!$AG:$AG,Accounts!$B:$B,{"Trialer","none"},Accounts!$C:$C,"Lost")+SUMIFS(Accounts!$AL:$AL,Accounts!$B:$B,{"Trialer","none"},Accounts!$C:$C,"Lost"))</f>
        <v/>
      </c>
      <c r="BI11" s="58">
        <f>SUMPRODUCT(SUMIFS(Accounts!$AE:$AE,Accounts!$B:$B,{"Trialer","none"},Accounts!$C:$C,"Lost")+SUMIFS(Accounts!$AP:$AP,Accounts!$B:$B,{"Trialer","none"},Accounts!$C:$C,"Lost"))</f>
        <v/>
      </c>
      <c r="BJ11" s="58">
        <f>SUMPRODUCT(SUMIFS(Accounts!$Z:$Z,Accounts!$B:$B,{"Trialer","none"},Accounts!$C:$C,"Lost"))</f>
        <v/>
      </c>
      <c r="BK11" s="58">
        <f>SUMPRODUCT(SUMIFS(Accounts!$AG:$AG,Accounts!$B:$B,{"Trialer","none"},Accounts!$C:$C,"Lost")+SUMIFS(Accounts!$AL:$AL,Accounts!$B:$B,{"Trialer","none"},Accounts!$C:$C,"Lost"))</f>
        <v/>
      </c>
      <c r="BL11" s="58">
        <f>SUMPRODUCT(SUMIFS(Accounts!$AQ:$AQ,Accounts!$B:$B,{"Trialer","none"},Accounts!$C:$C,"Lost"))</f>
        <v/>
      </c>
      <c r="CJ11" s="43" t="n"/>
      <c r="CS11" s="53" t="n"/>
      <c r="CT11" s="43" t="n"/>
      <c r="CU11" s="53" t="inlineStr">
        <is>
          <t>All</t>
        </is>
      </c>
      <c r="CV11" s="43" t="inlineStr">
        <is>
          <t>LostNew Customers</t>
        </is>
      </c>
      <c r="CW11" s="44">
        <f>SUMPRODUCT(COUNTIFS(Accounts!$AS:$AS,"Manufacturing (MWD)",Accounts!$B:$B,{"Trialer","none"},Accounts!$C:$C,"Lost"))</f>
        <v/>
      </c>
      <c r="DV11" s="53" t="n"/>
      <c r="DW11" s="53" t="inlineStr">
        <is>
          <t>All</t>
        </is>
      </c>
      <c r="DX11" s="43" t="inlineStr">
        <is>
          <t>LostNew Customers</t>
        </is>
      </c>
      <c r="DY11" s="44">
        <f>SUMPRODUCT(COUNTIFS(Accounts!$AS:$AS,"Wholesale and distribution services (MWD)",Accounts!$B:$B,{"Trialer","none"},Accounts!$C:$C,"Lost"))</f>
        <v/>
      </c>
      <c r="EX11" s="53" t="n"/>
      <c r="EY11" s="53" t="inlineStr">
        <is>
          <t>All</t>
        </is>
      </c>
      <c r="EZ11" s="43" t="inlineStr">
        <is>
          <t>LostNew Customers</t>
        </is>
      </c>
      <c r="FA11" s="44">
        <f>SUMPRODUCT(COUNTIFS(Accounts!$AS:$AS,"Construction",Accounts!$B:$B,{"Trialer","none"},Accounts!$C:$C,"Lost"))</f>
        <v/>
      </c>
      <c r="FZ11" s="53" t="n"/>
      <c r="GA11" s="53" t="inlineStr">
        <is>
          <t>All</t>
        </is>
      </c>
      <c r="GB11" s="43" t="inlineStr">
        <is>
          <t>LostNew Customers</t>
        </is>
      </c>
      <c r="GC11" s="44">
        <f>SUMPRODUCT(COUNTIFS(Accounts!$AS:$AS,"Field Services",Accounts!$B:$B,{"Trialer","none"},Accounts!$C:$C,"Lost"))</f>
        <v/>
      </c>
      <c r="HB11" s="53" t="n"/>
      <c r="HC11" s="53" t="inlineStr">
        <is>
          <t>All</t>
        </is>
      </c>
      <c r="HD11" s="43" t="inlineStr">
        <is>
          <t>LostNew Customers</t>
        </is>
      </c>
      <c r="HE11" s="44">
        <f>SUMPRODUCT(COUNTIFS(Accounts!$AS:$AS,"Consulting and Professional Services",Accounts!$B:$B,{"Trialer","none"},Accounts!$C:$C,"Lost"))</f>
        <v/>
      </c>
      <c r="ID11" s="53" t="n"/>
      <c r="IE11" s="53" t="inlineStr">
        <is>
          <t>All</t>
        </is>
      </c>
      <c r="IF11" s="43" t="inlineStr">
        <is>
          <t>LostNew Customers</t>
        </is>
      </c>
      <c r="IG11" s="44">
        <f>SUMPRODUCT(COUNTIFS(Accounts!$AS:$AS,"Retail",Accounts!$B:$B,{"Trialer","none"},Accounts!$C:$C,"Lost"))</f>
        <v/>
      </c>
      <c r="JF11" s="53" t="n"/>
      <c r="JG11" s="53" t="inlineStr">
        <is>
          <t>All</t>
        </is>
      </c>
      <c r="JH11" s="43" t="inlineStr">
        <is>
          <t>LostNew Customers</t>
        </is>
      </c>
      <c r="JI11" s="44">
        <f>SUMPRODUCT(COUNTIFS(Accounts!$AS:$AS,"Non-profit, govt or religious organization",Accounts!$B:$B,{"Trialer","none"},Accounts!$C:$C,"Lost"))</f>
        <v/>
      </c>
      <c r="KH11" s="53" t="n"/>
      <c r="KI11" s="53" t="inlineStr">
        <is>
          <t>All</t>
        </is>
      </c>
      <c r="KJ11" s="43" t="inlineStr">
        <is>
          <t>LostNew Customers</t>
        </is>
      </c>
      <c r="KK11" s="44">
        <f>SUMPRODUCT(COUNTIFS(Accounts!$AS:$AS,"Communications, Entertainment and Media",Accounts!$B:$B,{"Trialer","none"},Accounts!$C:$C,"Lost"))</f>
        <v/>
      </c>
      <c r="LJ11" s="53" t="n"/>
      <c r="LK11" s="53" t="inlineStr">
        <is>
          <t>All</t>
        </is>
      </c>
      <c r="LL11" s="43" t="inlineStr">
        <is>
          <t>LostNew Customers</t>
        </is>
      </c>
      <c r="LM11" s="44">
        <f>SUMPRODUCT(COUNTIFS(Accounts!$AS:$AS,"IT and computer related",Accounts!$B:$B,{"Trialer","none"},Accounts!$C:$C,"Lost"))</f>
        <v/>
      </c>
      <c r="ML11" s="53" t="n"/>
      <c r="MM11" s="53" t="inlineStr">
        <is>
          <t>All</t>
        </is>
      </c>
      <c r="MN11" s="43" t="inlineStr">
        <is>
          <t>LostNew Customers</t>
        </is>
      </c>
      <c r="MO11" s="44">
        <f>SUMPRODUCT(COUNTIFS(Accounts!$AS:$AS,{"General service based","General"},Accounts!$B:$B,{"Trialer","none"},Accounts!$C:$C,"Lost"))</f>
        <v/>
      </c>
      <c r="NN11" s="53" t="n"/>
      <c r="NO11" s="53" t="inlineStr">
        <is>
          <t>All</t>
        </is>
      </c>
      <c r="NP11" s="43" t="inlineStr">
        <is>
          <t>LostNew Customers</t>
        </is>
      </c>
      <c r="NQ11" s="44">
        <f>SUMPRODUCT(COUNTIFS(Accounts!$AS:$AS,"Other",Accounts!$B:$B,{"Trialer","none"},Accounts!$C:$C,"Lost"))</f>
        <v/>
      </c>
      <c r="OP11" s="53" t="n"/>
      <c r="OQ11" s="53" t="inlineStr">
        <is>
          <t>All</t>
        </is>
      </c>
      <c r="OR11" s="43" t="inlineStr">
        <is>
          <t>LostNew Customers</t>
        </is>
      </c>
      <c r="OS11" s="44">
        <f>SUMPRODUCT(COUNTIFS(Accounts!$AS:$AS,"Accounting and Bookkeeping",Accounts!$B:$B,{"Trialer","none"},Accounts!$C:$C,"Lost"))</f>
        <v/>
      </c>
      <c r="PR11" s="53" t="n"/>
      <c r="PS11" s="53" t="n"/>
      <c r="PT11" s="43" t="n"/>
    </row>
    <row r="12" ht="16" customFormat="1" customHeight="1" s="40">
      <c r="B12" s="43" t="inlineStr">
        <is>
          <t>Previous Period (60) Date</t>
        </is>
      </c>
      <c r="C12" s="42">
        <f>EOMONTH($B$2,-2)</f>
        <v/>
      </c>
      <c r="BC12" s="44" t="n"/>
      <c r="BD12" s="44" t="n"/>
      <c r="BE12" s="44" t="n"/>
      <c r="BF12" s="44" t="n"/>
      <c r="BG12" s="44" t="n"/>
      <c r="BH12" s="44" t="n"/>
      <c r="BI12" s="44" t="n"/>
      <c r="BJ12" s="44" t="n"/>
      <c r="BK12" s="44" t="n"/>
      <c r="BL12" s="44" t="n"/>
    </row>
    <row r="13" ht="16" customFormat="1" customHeight="1" s="40">
      <c r="B13" s="47" t="inlineStr">
        <is>
          <t>Previous Period Year</t>
        </is>
      </c>
      <c r="C13" s="46">
        <f>YEAR(C12)</f>
        <v/>
      </c>
      <c r="T13" s="43" t="n"/>
      <c r="BA13" s="43" t="inlineStr">
        <is>
          <t>Churn Formula taken from:</t>
        </is>
      </c>
      <c r="BB13" s="40" t="inlineStr">
        <is>
          <t>https://blog.recurly.com/better-way-to-calculate-your-churn-rate</t>
        </is>
      </c>
      <c r="BC13" s="44" t="n"/>
      <c r="BD13" s="44" t="n"/>
      <c r="BE13" s="44" t="n"/>
      <c r="BF13" s="44" t="n"/>
      <c r="BG13" s="44" t="n"/>
      <c r="BH13" s="44" t="n"/>
      <c r="BI13" s="44" t="n"/>
      <c r="BJ13" s="44" t="n"/>
      <c r="BK13" s="44" t="n"/>
      <c r="BL13" s="44" t="n"/>
      <c r="CU13" s="53" t="inlineStr">
        <is>
          <t>QBO</t>
        </is>
      </c>
      <c r="CV13" s="43" t="inlineStr">
        <is>
          <t>Customer Life Time (Months)</t>
        </is>
      </c>
      <c r="CW13" s="44">
        <f>IF(CW$3=0,120,1/CW$3)</f>
        <v/>
      </c>
      <c r="DV13" s="53" t="n"/>
      <c r="DW13" s="53" t="inlineStr">
        <is>
          <t>QBO</t>
        </is>
      </c>
      <c r="DX13" s="43" t="inlineStr">
        <is>
          <t>Customer Life Time (Months)</t>
        </is>
      </c>
      <c r="DY13" s="44">
        <f>IF(DY$3=0,120,1/DY$3)</f>
        <v/>
      </c>
      <c r="EX13" s="53" t="n"/>
      <c r="EY13" s="53" t="inlineStr">
        <is>
          <t>QBO</t>
        </is>
      </c>
      <c r="EZ13" s="43" t="inlineStr">
        <is>
          <t>Customer Life Time (Months)</t>
        </is>
      </c>
      <c r="FA13" s="44">
        <f>IF(FA$3=0,120,1/FA$3)</f>
        <v/>
      </c>
      <c r="FZ13" s="53" t="n"/>
      <c r="GA13" s="53" t="inlineStr">
        <is>
          <t>QBO</t>
        </is>
      </c>
      <c r="GB13" s="43" t="inlineStr">
        <is>
          <t>Customer Life Time (Months)</t>
        </is>
      </c>
      <c r="GC13" s="44">
        <f>IF(GC$3=0,120,1/GC$3)</f>
        <v/>
      </c>
      <c r="HB13" s="53" t="n"/>
      <c r="HC13" s="53" t="inlineStr">
        <is>
          <t>QBO</t>
        </is>
      </c>
      <c r="HD13" s="43" t="inlineStr">
        <is>
          <t>Customer Life Time (Months)</t>
        </is>
      </c>
      <c r="HE13" s="44">
        <f>IF(HE$3=0,120,1/HE$3)</f>
        <v/>
      </c>
      <c r="ID13" s="53" t="n"/>
      <c r="IE13" s="53" t="inlineStr">
        <is>
          <t>QBO</t>
        </is>
      </c>
      <c r="IF13" s="43" t="inlineStr">
        <is>
          <t>Customer Life Time (Months)</t>
        </is>
      </c>
      <c r="IG13" s="44">
        <f>IF(IG$3=0,120,1/IG$3)</f>
        <v/>
      </c>
      <c r="JF13" s="53" t="n"/>
      <c r="JG13" s="53" t="inlineStr">
        <is>
          <t>QBO</t>
        </is>
      </c>
      <c r="JH13" s="43" t="inlineStr">
        <is>
          <t>Customer Life Time (Months)</t>
        </is>
      </c>
      <c r="JI13" s="44">
        <f>IF(JI$3=0,120,1/JI$3)</f>
        <v/>
      </c>
      <c r="KH13" s="53" t="n"/>
      <c r="KI13" s="53" t="inlineStr">
        <is>
          <t>QBO</t>
        </is>
      </c>
      <c r="KJ13" s="43" t="inlineStr">
        <is>
          <t>Customer Life Time (Months)</t>
        </is>
      </c>
      <c r="KK13" s="44">
        <f>IF(KK$3=0,120,1/KK$3)</f>
        <v/>
      </c>
      <c r="LJ13" s="53" t="n"/>
      <c r="LK13" s="53" t="inlineStr">
        <is>
          <t>QBO</t>
        </is>
      </c>
      <c r="LL13" s="43" t="inlineStr">
        <is>
          <t>Customer Life Time (Months)</t>
        </is>
      </c>
      <c r="LM13" s="44">
        <f>IF(LM$3=0,120,1/LM$3)</f>
        <v/>
      </c>
      <c r="ML13" s="53" t="n"/>
      <c r="MM13" s="53" t="inlineStr">
        <is>
          <t>QBO</t>
        </is>
      </c>
      <c r="MN13" s="43" t="inlineStr">
        <is>
          <t>Customer Life Time (Months)</t>
        </is>
      </c>
      <c r="MO13" s="44">
        <f>IF(MO$3=0,120,1/MO$3)</f>
        <v/>
      </c>
      <c r="NN13" s="53" t="n"/>
      <c r="NO13" s="53" t="inlineStr">
        <is>
          <t>QBO</t>
        </is>
      </c>
      <c r="NP13" s="43" t="inlineStr">
        <is>
          <t>Customer Life Time (Months)</t>
        </is>
      </c>
      <c r="NQ13" s="44">
        <f>IF(NQ$3=0,120,1/NQ$3)</f>
        <v/>
      </c>
      <c r="OP13" s="53" t="n"/>
      <c r="OQ13" s="53" t="inlineStr">
        <is>
          <t>QBO</t>
        </is>
      </c>
      <c r="OR13" s="43" t="inlineStr">
        <is>
          <t>Customer Life Time (Months)</t>
        </is>
      </c>
      <c r="OS13" s="44">
        <f>IF(OS$3=0,120,1/OS$3)</f>
        <v/>
      </c>
      <c r="PR13" s="53" t="n"/>
      <c r="PS13" s="53" t="n"/>
      <c r="PT13" s="43" t="n"/>
    </row>
    <row r="14" ht="16" customFormat="1" customHeight="1" s="40">
      <c r="B14" s="47" t="inlineStr">
        <is>
          <t>Previous Period  Month</t>
        </is>
      </c>
      <c r="C14" s="46">
        <f>MONTH(C12)</f>
        <v/>
      </c>
      <c r="BC14" s="44" t="n"/>
      <c r="BD14" s="44" t="n"/>
      <c r="BE14" s="44" t="inlineStr">
        <is>
          <t xml:space="preserve"> </t>
        </is>
      </c>
      <c r="BF14" s="44" t="n"/>
      <c r="BG14" s="44" t="n"/>
      <c r="BH14" s="44" t="n"/>
      <c r="BI14" s="44" t="n"/>
      <c r="BJ14" s="44" t="n"/>
      <c r="BK14" s="44" t="n"/>
      <c r="BL14" s="44" t="n"/>
      <c r="CU14" s="53" t="inlineStr">
        <is>
          <t>QBO</t>
        </is>
      </c>
      <c r="CV14" s="43" t="inlineStr">
        <is>
          <t>Accounts BOM</t>
        </is>
      </c>
      <c r="CW14" s="44">
        <f>COUNTIFS(Accounts!$AS:$AS, "Manufacturing (MWD)",Accounts!$B:$B,"Customer",Accounts!$E:$E,"QBO")</f>
        <v/>
      </c>
      <c r="DV14" s="53" t="n"/>
      <c r="DW14" s="53" t="inlineStr">
        <is>
          <t>QBO</t>
        </is>
      </c>
      <c r="DX14" s="43" t="inlineStr">
        <is>
          <t>Accounts BOM</t>
        </is>
      </c>
      <c r="DY14" s="44">
        <f>COUNTIFS(Accounts!$AS:$AS, "Wholesale and distribution services (MWD)",Accounts!$B:$B,"Customer",Accounts!$E:$E,"QBO")</f>
        <v/>
      </c>
      <c r="EX14" s="53" t="n"/>
      <c r="EY14" s="53" t="inlineStr">
        <is>
          <t>QBO</t>
        </is>
      </c>
      <c r="EZ14" s="43" t="inlineStr">
        <is>
          <t>Accounts BOM</t>
        </is>
      </c>
      <c r="FA14" s="44">
        <f>COUNTIFS(Accounts!$AS:$AS, "Construction",Accounts!$B:$B,"Customer",Accounts!$E:$E,"QBO")</f>
        <v/>
      </c>
      <c r="FZ14" s="53" t="n"/>
      <c r="GA14" s="53" t="inlineStr">
        <is>
          <t>QBO</t>
        </is>
      </c>
      <c r="GB14" s="43" t="inlineStr">
        <is>
          <t>Accounts BOM</t>
        </is>
      </c>
      <c r="GC14" s="44">
        <f>COUNTIFS(Accounts!$AS:$AS, "Field Services",Accounts!$B:$B,"Customer",Accounts!$E:$E,"QBO")</f>
        <v/>
      </c>
      <c r="HB14" s="53" t="n"/>
      <c r="HC14" s="53" t="inlineStr">
        <is>
          <t>QBO</t>
        </is>
      </c>
      <c r="HD14" s="43" t="inlineStr">
        <is>
          <t>Accounts BOM</t>
        </is>
      </c>
      <c r="HE14" s="44">
        <f>COUNTIFS(Accounts!$AS:$AS, "Consulting and Professional Services",Accounts!$B:$B,"Customer",Accounts!$E:$E,"QBO")</f>
        <v/>
      </c>
      <c r="ID14" s="53" t="n"/>
      <c r="IE14" s="53" t="inlineStr">
        <is>
          <t>QBO</t>
        </is>
      </c>
      <c r="IF14" s="43" t="inlineStr">
        <is>
          <t>Accounts BOM</t>
        </is>
      </c>
      <c r="IG14" s="44">
        <f>COUNTIFS(Accounts!$AS:$AS, "Retail",Accounts!$B:$B,"Customer",Accounts!$E:$E,"QBO")</f>
        <v/>
      </c>
      <c r="JF14" s="53" t="n"/>
      <c r="JG14" s="53" t="inlineStr">
        <is>
          <t>QBO</t>
        </is>
      </c>
      <c r="JH14" s="43" t="inlineStr">
        <is>
          <t>Accounts BOM</t>
        </is>
      </c>
      <c r="JI14" s="44">
        <f>COUNTIFS(Accounts!$AS:$AS, "Non-profit, govt or religious organization",Accounts!$B:$B,"Customer",Accounts!$E:$E,"QBO")</f>
        <v/>
      </c>
      <c r="KH14" s="53" t="n"/>
      <c r="KI14" s="53" t="inlineStr">
        <is>
          <t>QBO</t>
        </is>
      </c>
      <c r="KJ14" s="43" t="inlineStr">
        <is>
          <t>Accounts BOM</t>
        </is>
      </c>
      <c r="KK14" s="44">
        <f>COUNTIFS(Accounts!$AS:$AS, "Communications, Entertainment and Media",Accounts!$B:$B,"Customer",Accounts!$E:$E,"QBO")</f>
        <v/>
      </c>
      <c r="LJ14" s="53" t="n"/>
      <c r="LK14" s="53" t="inlineStr">
        <is>
          <t>QBO</t>
        </is>
      </c>
      <c r="LL14" s="43" t="inlineStr">
        <is>
          <t>Accounts BOM</t>
        </is>
      </c>
      <c r="LM14" s="44">
        <f>COUNTIFS(Accounts!$AS:$AS, "IT and computer related",Accounts!$B:$B,"Customer",Accounts!$E:$E,"QBO")</f>
        <v/>
      </c>
      <c r="ML14" s="53" t="n"/>
      <c r="MM14" s="53" t="inlineStr">
        <is>
          <t>QBO</t>
        </is>
      </c>
      <c r="MN14" s="43" t="inlineStr">
        <is>
          <t>Accounts BOM</t>
        </is>
      </c>
      <c r="MO14" s="44">
        <f>COUNTIFS(Accounts!$AS:$AS, {"General service based","General"},Accounts!$B:$B,"Customer",Accounts!$E:$E,"QBO")</f>
        <v/>
      </c>
      <c r="NN14" s="53" t="n"/>
      <c r="NO14" s="53" t="inlineStr">
        <is>
          <t>QBO</t>
        </is>
      </c>
      <c r="NP14" s="43" t="inlineStr">
        <is>
          <t>Accounts BOM</t>
        </is>
      </c>
      <c r="NQ14" s="44">
        <f>COUNTIFS(Accounts!$AS:$AS, "Other",Accounts!$B:$B,"Customer",Accounts!$E:$E,"QBO")</f>
        <v/>
      </c>
      <c r="OP14" s="53" t="n"/>
      <c r="OQ14" s="53" t="inlineStr">
        <is>
          <t>QBO</t>
        </is>
      </c>
      <c r="OR14" s="43" t="inlineStr">
        <is>
          <t>Accounts BOM</t>
        </is>
      </c>
      <c r="OS14" s="44">
        <f>COUNTIFS(Accounts!$AS:$AS, "Accounting and Bookkeeping",Accounts!$B:$B,"Customer",Accounts!$E:$E,"QBO")</f>
        <v/>
      </c>
      <c r="PR14" s="53" t="n"/>
      <c r="PS14" s="53" t="n"/>
      <c r="PT14" s="43" t="n"/>
    </row>
    <row r="15" ht="16" customFormat="1" customHeight="1" s="31">
      <c r="B15" s="43" t="inlineStr">
        <is>
          <t>Previous Period (90) Date</t>
        </is>
      </c>
      <c r="C15" s="42">
        <f>EOMONTH($B$2,-3)</f>
        <v/>
      </c>
      <c r="E15" s="34" t="n"/>
      <c r="AY15" s="63" t="n"/>
      <c r="AZ15" s="53" t="inlineStr">
        <is>
          <t>QBO</t>
        </is>
      </c>
      <c r="BA15" s="43" t="inlineStr">
        <is>
          <t>Customer Life Time (Months)</t>
        </is>
      </c>
      <c r="BB15" s="40" t="n"/>
      <c r="BC15" s="44">
        <f>IF($BC$3&lt;0.005,120,1/$BC$3)</f>
        <v/>
      </c>
      <c r="BD15" s="44">
        <f>IF($BD$3&lt;0.005,120,1/$BD$3)</f>
        <v/>
      </c>
      <c r="BE15" s="44">
        <f>IF($BE$3&lt;0.005,120,1/$BE$3)</f>
        <v/>
      </c>
      <c r="BF15" s="44">
        <f>IF($BF$3&lt;0.005,120,1/$BF$3)</f>
        <v/>
      </c>
      <c r="BG15" s="44">
        <f>IF($BG$3&lt;0.005,120,1/$BG$3)</f>
        <v/>
      </c>
      <c r="BH15" s="44">
        <f>IF($BH$3&lt;0.005,120,1/$BH$3)</f>
        <v/>
      </c>
      <c r="BI15" s="44">
        <f>IF($BI$3&lt;0.005,120,1/$BI$3)</f>
        <v/>
      </c>
      <c r="BJ15" s="44">
        <f>IF($BJ$3&lt;0.005,120,1/$BJ$3)</f>
        <v/>
      </c>
      <c r="BK15" s="44">
        <f>IF($BK$3&lt;0.005,120,1/$BK$3)</f>
        <v/>
      </c>
      <c r="BL15" s="44">
        <f>IF($BL$3&lt;0.005,120,1/$BL$3)</f>
        <v/>
      </c>
      <c r="CU15" s="53" t="inlineStr">
        <is>
          <t>QBO</t>
        </is>
      </c>
      <c r="CV15" s="43" t="inlineStr">
        <is>
          <t>Lost Accounts</t>
        </is>
      </c>
      <c r="CW15" s="44">
        <f>COUNTIFS(Accounts!$AS:$AS, "Manufacturing (MWD)",Accounts!$B:$B,"Customer",Accounts!$C:$C,"Lost",Accounts!$E:$E,"QBO")</f>
        <v/>
      </c>
      <c r="DV15" s="49" t="n"/>
      <c r="DW15" s="53" t="inlineStr">
        <is>
          <t>QBO</t>
        </is>
      </c>
      <c r="DX15" s="43" t="inlineStr">
        <is>
          <t>Lost Accounts</t>
        </is>
      </c>
      <c r="DY15" s="44">
        <f>COUNTIFS(Accounts!$AS:$AS, "Wholesale and distribution services (MWD)",Accounts!$B:$B,"Customer",Accounts!$C:$C,"Lost",Accounts!$E:$E,"QBO")</f>
        <v/>
      </c>
      <c r="EX15" s="49" t="n"/>
      <c r="EY15" s="53" t="inlineStr">
        <is>
          <t>QBO</t>
        </is>
      </c>
      <c r="EZ15" s="43" t="inlineStr">
        <is>
          <t>Lost Accounts</t>
        </is>
      </c>
      <c r="FA15" s="44">
        <f>COUNTIFS(Accounts!$AS:$AS, "Construction",Accounts!$B:$B,"Customer",Accounts!$C:$C,"Lost",Accounts!$E:$E,"QBO")</f>
        <v/>
      </c>
      <c r="FZ15" s="49" t="n"/>
      <c r="GA15" s="53" t="inlineStr">
        <is>
          <t>QBO</t>
        </is>
      </c>
      <c r="GB15" s="43" t="inlineStr">
        <is>
          <t>Lost Accounts</t>
        </is>
      </c>
      <c r="GC15" s="44">
        <f>COUNTIFS(Accounts!$AS:$AS, "Field Services",Accounts!$B:$B,"Customer",Accounts!$C:$C,"Lost",Accounts!$E:$E,"QBO")</f>
        <v/>
      </c>
      <c r="HB15" s="49" t="n"/>
      <c r="HC15" s="53" t="inlineStr">
        <is>
          <t>QBO</t>
        </is>
      </c>
      <c r="HD15" s="43" t="inlineStr">
        <is>
          <t>Lost Accounts</t>
        </is>
      </c>
      <c r="HE15" s="44">
        <f>COUNTIFS(Accounts!$AS:$AS, "Consulting and Professional Services",Accounts!$B:$B,"Customer",Accounts!$C:$C,"Lost",Accounts!$E:$E,"QBO")</f>
        <v/>
      </c>
      <c r="ID15" s="49" t="n"/>
      <c r="IE15" s="53" t="inlineStr">
        <is>
          <t>QBO</t>
        </is>
      </c>
      <c r="IF15" s="43" t="inlineStr">
        <is>
          <t>Lost Accounts</t>
        </is>
      </c>
      <c r="IG15" s="44">
        <f>COUNTIFS(Accounts!$AS:$AS, "Retail",Accounts!$B:$B,"Customer",Accounts!$C:$C,"Lost",Accounts!$E:$E,"QBO")</f>
        <v/>
      </c>
      <c r="JF15" s="49" t="n"/>
      <c r="JG15" s="53" t="inlineStr">
        <is>
          <t>QBO</t>
        </is>
      </c>
      <c r="JH15" s="43" t="inlineStr">
        <is>
          <t>Lost Accounts</t>
        </is>
      </c>
      <c r="JI15" s="44">
        <f>COUNTIFS(Accounts!$AS:$AS, "Non-profit, govt or religious organization",Accounts!$B:$B,"Customer",Accounts!$C:$C,"Lost",Accounts!$E:$E,"QBO")</f>
        <v/>
      </c>
      <c r="KH15" s="49" t="n"/>
      <c r="KI15" s="53" t="inlineStr">
        <is>
          <t>QBO</t>
        </is>
      </c>
      <c r="KJ15" s="43" t="inlineStr">
        <is>
          <t>Lost Accounts</t>
        </is>
      </c>
      <c r="KK15" s="44">
        <f>COUNTIFS(Accounts!$AS:$AS, "Communications, Entertainment and Media",Accounts!$B:$B,"Customer",Accounts!$C:$C,"Lost",Accounts!$E:$E,"QBO")</f>
        <v/>
      </c>
      <c r="LJ15" s="49" t="n"/>
      <c r="LK15" s="53" t="inlineStr">
        <is>
          <t>QBO</t>
        </is>
      </c>
      <c r="LL15" s="43" t="inlineStr">
        <is>
          <t>Lost Accounts</t>
        </is>
      </c>
      <c r="LM15" s="44">
        <f>COUNTIFS(Accounts!$AS:$AS, "IT and computer related",Accounts!$B:$B,"Customer",Accounts!$C:$C,"Lost",Accounts!$E:$E,"QBO")</f>
        <v/>
      </c>
      <c r="ML15" s="49" t="n"/>
      <c r="MM15" s="53" t="inlineStr">
        <is>
          <t>QBO</t>
        </is>
      </c>
      <c r="MN15" s="43" t="inlineStr">
        <is>
          <t>Lost Accounts</t>
        </is>
      </c>
      <c r="MO15" s="44">
        <f>COUNTIFS(Accounts!$AS:$AS, {"General service based","General"},Accounts!$B:$B,"Customer",Accounts!$C:$C,"Lost",Accounts!$E:$E,"QBO")</f>
        <v/>
      </c>
      <c r="NN15" s="49" t="n"/>
      <c r="NO15" s="53" t="inlineStr">
        <is>
          <t>QBO</t>
        </is>
      </c>
      <c r="NP15" s="43" t="inlineStr">
        <is>
          <t>Lost Accounts</t>
        </is>
      </c>
      <c r="NQ15" s="44">
        <f>COUNTIFS(Accounts!$AS:$AS, "Other",Accounts!$B:$B,"Customer",Accounts!$C:$C,"Lost",Accounts!$E:$E,"QBO")</f>
        <v/>
      </c>
      <c r="OP15" s="49" t="n"/>
      <c r="OQ15" s="53" t="inlineStr">
        <is>
          <t>QBO</t>
        </is>
      </c>
      <c r="OR15" s="43" t="inlineStr">
        <is>
          <t>Lost Accounts</t>
        </is>
      </c>
      <c r="OS15" s="44">
        <f>COUNTIFS(Accounts!$AS:$AS, "Accounting and Bookkeeping",Accounts!$B:$B,"Customer",Accounts!$C:$C,"Lost",Accounts!$E:$E,"QBO")</f>
        <v/>
      </c>
      <c r="PR15" s="49" t="n"/>
      <c r="PS15" s="49" t="n"/>
      <c r="PT15" s="57" t="n"/>
    </row>
    <row r="16" ht="16" customFormat="1" customHeight="1" s="31">
      <c r="B16" s="47" t="inlineStr">
        <is>
          <t>Previous Period Year</t>
        </is>
      </c>
      <c r="C16" s="46">
        <f>YEAR(C15)</f>
        <v/>
      </c>
      <c r="E16" s="36" t="n"/>
      <c r="H16" s="50" t="n"/>
      <c r="J16" s="59" t="n"/>
      <c r="AT16" s="62" t="n"/>
      <c r="AZ16" s="53" t="inlineStr">
        <is>
          <t>QBO</t>
        </is>
      </c>
      <c r="BA16" s="43" t="inlineStr">
        <is>
          <t>Accounts BOM</t>
        </is>
      </c>
      <c r="BB16" s="40" t="n"/>
      <c r="BC16" s="44">
        <f>COUNTIFS(Accounts!$B:$B,"Customer",Accounts!$E:$E,"QBO")</f>
        <v/>
      </c>
      <c r="BD16" s="58">
        <f>SUMIFS(Accounts!$AA:$AA,Accounts!$B:$B,"Customer",Accounts!$E:$E,"QBO") + SUMIFS(Accounts!$AH:$AH,Accounts!$B:$B,"Customer",Accounts!$E:$E,"QBO") + SUMIFS(Accounts!$AJ:$AJ,Accounts!$B:$B,"Customer",Accounts!$E:$E,"QBO") + SUMIFS(Accounts!$AI:$AI,Accounts!$B:$B,"Customer",Accounts!$E:$E,"QBO") + SUMIFS(Accounts!$AO:$AO,Accounts!$B:$B,"Customer",Accounts!$E:$E,"QBO")</f>
        <v/>
      </c>
      <c r="BE16" s="58">
        <f>(SUMIFS(Accounts!$AC:$AC,Accounts!$B:$B,"Customer",Accounts!$E:$E,"QBO")+SUMIFS(Accounts!$AF:$AF,Accounts!$B:$B,"Customer",Accounts!$E:$E,"QBO")+SUMIFS(Accounts!$AK:$AK,Accounts!$B:$B,"Customer",Accounts!$E:$E,"QBO"))</f>
        <v/>
      </c>
      <c r="BF16" s="58">
        <f>SUMIFS(Accounts!$AB:$AB,Accounts!$B:$B,"Customer",Accounts!$E:$E,"QBO")</f>
        <v/>
      </c>
      <c r="BG16" s="58">
        <f>SUMIFS(Accounts!$AD:$AD,Accounts!$B:$B,"Customer",Accounts!$E:$E,"QBO")+SUMIFS(Accounts!$AM:$AM,Accounts!$B:$B,"Customer",Accounts!$E:$E,"QBO")+SUMIFS(Accounts!$AN:$AN,Accounts!$B:$B,"Customer",Accounts!$E:$E,"QBO")</f>
        <v/>
      </c>
      <c r="BH16" s="58">
        <f>SUMIFS(Accounts!$AE:$AE,Accounts!$B:$B,"Customer",Accounts!$E:$E,"QBO") + SUMIFS(Accounts!$AP:$AP,Accounts!$B:$B,"Customer",Accounts!$E:$E,"QBO")+SUMIFS(Accounts!$Z:$Z,Accounts!$B:$B,"Customer",Accounts!$E:$E,"QBO")+SUMIFS(Accounts!$AG:$AG,Accounts!$B:$B,"Customer",Accounts!$E:$E,"QBO") + SUMIFS(Accounts!$AL:$AL,Accounts!$B:$B,"Customer",Accounts!$E:$E,"QBO")</f>
        <v/>
      </c>
      <c r="BI16" s="58">
        <f>SUMIFS(Accounts!$AE:$AE,Accounts!$B:$B,"Customer",Accounts!$E:$E,"QBO") + SUMIFS(Accounts!$AP:$AP,Accounts!$B:$B,"Customer",Accounts!$E:$E,"QBO")</f>
        <v/>
      </c>
      <c r="BJ16" s="58">
        <f>SUMIFS(Accounts!$Z:$Z,Accounts!$B:$B,"Customer",Accounts!$E:$E,"QBO")</f>
        <v/>
      </c>
      <c r="BK16" s="58">
        <f>SUMIFS(Accounts!$AG:$AG,Accounts!$B:$B,"Customer",Accounts!$E:$E,"QBO") + SUMIFS(Accounts!$AL:$AL,Accounts!$B:$B,"Customer",Accounts!$E:$E,"QBO")</f>
        <v/>
      </c>
      <c r="BL16" s="58">
        <f>SUMIFS(Accounts!$AQ:$AQ,Accounts!$B:$B,"Customer",Accounts!$E:$E,"QBO")</f>
        <v/>
      </c>
      <c r="CU16" s="53" t="inlineStr">
        <is>
          <t>QBO</t>
        </is>
      </c>
      <c r="CV16" s="43" t="inlineStr">
        <is>
          <t>Accounts EOM</t>
        </is>
      </c>
      <c r="CW16" s="44">
        <f>COUNTIFS(Accounts!$AS:$AS, "Manufacturing (MWD)",Accounts!$C:$C,"Customer",Accounts!$E:$E,"QBO")</f>
        <v/>
      </c>
      <c r="DV16" s="49" t="n"/>
      <c r="DW16" s="53" t="inlineStr">
        <is>
          <t>QBO</t>
        </is>
      </c>
      <c r="DX16" s="43" t="inlineStr">
        <is>
          <t>Accounts EOM</t>
        </is>
      </c>
      <c r="DY16" s="44">
        <f>COUNTIFS(Accounts!$AS:$AS, "Wholesale and distribution services (MWD)",Accounts!$C:$C,"Customer",Accounts!$E:$E,"QBO")</f>
        <v/>
      </c>
      <c r="EX16" s="49" t="n"/>
      <c r="EY16" s="53" t="inlineStr">
        <is>
          <t>QBO</t>
        </is>
      </c>
      <c r="EZ16" s="43" t="inlineStr">
        <is>
          <t>Accounts EOM</t>
        </is>
      </c>
      <c r="FA16" s="44">
        <f>COUNTIFS(Accounts!$AS:$AS, "Construction",Accounts!$C:$C,"Customer",Accounts!$E:$E,"QBO")</f>
        <v/>
      </c>
      <c r="FZ16" s="49" t="n"/>
      <c r="GA16" s="53" t="inlineStr">
        <is>
          <t>QBO</t>
        </is>
      </c>
      <c r="GB16" s="43" t="inlineStr">
        <is>
          <t>Accounts EOM</t>
        </is>
      </c>
      <c r="GC16" s="44">
        <f>COUNTIFS(Accounts!$AS:$AS, "Field Services",Accounts!$C:$C,"Customer",Accounts!$E:$E,"QBO")</f>
        <v/>
      </c>
      <c r="HB16" s="49" t="n"/>
      <c r="HC16" s="53" t="inlineStr">
        <is>
          <t>QBO</t>
        </is>
      </c>
      <c r="HD16" s="43" t="inlineStr">
        <is>
          <t>Accounts EOM</t>
        </is>
      </c>
      <c r="HE16" s="44">
        <f>COUNTIFS(Accounts!$AS:$AS, "Consulting and Professional Services",Accounts!$C:$C,"Customer",Accounts!$E:$E,"QBO")</f>
        <v/>
      </c>
      <c r="ID16" s="49" t="n"/>
      <c r="IE16" s="53" t="inlineStr">
        <is>
          <t>QBO</t>
        </is>
      </c>
      <c r="IF16" s="43" t="inlineStr">
        <is>
          <t>Accounts EOM</t>
        </is>
      </c>
      <c r="IG16" s="44">
        <f>COUNTIFS(Accounts!$AS:$AS, "Retail",Accounts!$C:$C,"Customer",Accounts!$E:$E,"QBO")</f>
        <v/>
      </c>
      <c r="JF16" s="49" t="n"/>
      <c r="JG16" s="53" t="inlineStr">
        <is>
          <t>QBO</t>
        </is>
      </c>
      <c r="JH16" s="43" t="inlineStr">
        <is>
          <t>Accounts EOM</t>
        </is>
      </c>
      <c r="JI16" s="44">
        <f>COUNTIFS(Accounts!$AS:$AS, "Non-profit, govt or religious organization",Accounts!$C:$C,"Customer",Accounts!$E:$E,"QBO")</f>
        <v/>
      </c>
      <c r="KH16" s="49" t="n"/>
      <c r="KI16" s="53" t="inlineStr">
        <is>
          <t>QBO</t>
        </is>
      </c>
      <c r="KJ16" s="43" t="inlineStr">
        <is>
          <t>Accounts EOM</t>
        </is>
      </c>
      <c r="KK16" s="44">
        <f>COUNTIFS(Accounts!$AS:$AS, "Communications, Entertainment and Media",Accounts!$C:$C,"Customer",Accounts!$E:$E,"QBO")</f>
        <v/>
      </c>
      <c r="LJ16" s="49" t="n"/>
      <c r="LK16" s="53" t="inlineStr">
        <is>
          <t>QBO</t>
        </is>
      </c>
      <c r="LL16" s="43" t="inlineStr">
        <is>
          <t>Accounts EOM</t>
        </is>
      </c>
      <c r="LM16" s="44">
        <f>COUNTIFS(Accounts!$AS:$AS, "IT and computer related",Accounts!$C:$C,"Customer",Accounts!$E:$E,"QBO")</f>
        <v/>
      </c>
      <c r="ML16" s="49" t="n"/>
      <c r="MM16" s="53" t="inlineStr">
        <is>
          <t>QBO</t>
        </is>
      </c>
      <c r="MN16" s="43" t="inlineStr">
        <is>
          <t>Accounts EOM</t>
        </is>
      </c>
      <c r="MO16" s="44">
        <f>COUNTIFS(Accounts!$AS:$AS, {"General service based","General"},Accounts!$C:$C,"Customer",Accounts!$E:$E,"QBO")</f>
        <v/>
      </c>
      <c r="NN16" s="49" t="n"/>
      <c r="NO16" s="53" t="inlineStr">
        <is>
          <t>QBO</t>
        </is>
      </c>
      <c r="NP16" s="43" t="inlineStr">
        <is>
          <t>Accounts EOM</t>
        </is>
      </c>
      <c r="NQ16" s="44">
        <f>COUNTIFS(Accounts!$AS:$AS, "Other",Accounts!$C:$C,"Customer",Accounts!$E:$E,"QBO")</f>
        <v/>
      </c>
      <c r="OP16" s="49" t="n"/>
      <c r="OQ16" s="53" t="inlineStr">
        <is>
          <t>QBO</t>
        </is>
      </c>
      <c r="OR16" s="43" t="inlineStr">
        <is>
          <t>Accounts EOM</t>
        </is>
      </c>
      <c r="OS16" s="44">
        <f>COUNTIFS(Accounts!$AS:$AS, "Accounting and Bookkeeping",Accounts!$C:$C,"Customer",Accounts!$E:$E,"QBO")</f>
        <v/>
      </c>
      <c r="PR16" s="49" t="n"/>
      <c r="PS16" s="49" t="n"/>
      <c r="PT16" s="57" t="n"/>
    </row>
    <row r="17" ht="16" customFormat="1" customHeight="1" s="31">
      <c r="B17" s="47" t="inlineStr">
        <is>
          <t>Previous Period  Month</t>
        </is>
      </c>
      <c r="C17" s="46">
        <f>MONTH(C15)</f>
        <v/>
      </c>
      <c r="AZ17" s="53" t="inlineStr">
        <is>
          <t>QBO</t>
        </is>
      </c>
      <c r="BA17" s="43" t="inlineStr">
        <is>
          <t>Lost Accounts</t>
        </is>
      </c>
      <c r="BB17" s="40" t="n"/>
      <c r="BC17" s="44">
        <f>COUNTIFS(Accounts!$B:$B,"Customer",Accounts!$C:$C,"Lost",Accounts!$E:$E,"QBO")</f>
        <v/>
      </c>
      <c r="BD17" s="58">
        <f>SUMIFS(Accounts!$AA:$AA,Accounts!$B:$B,"Customer",Accounts!$C:$C,"Lost",Accounts!$E:$E,"QBO") + SUMIFS(Accounts!$AH:$AH,Accounts!$B:$B,"Customer",Accounts!$C:$C,"Lost",Accounts!$E:$E,"QBO") + SUMIFS(Accounts!$AJ:$AJ,Accounts!$B:$B,"Customer",Accounts!$C:$C,"Lost",Accounts!$E:$E,"QBO") + SUMIFS(Accounts!$AI:$AI,Accounts!$B:$B,"Customer",Accounts!$C:$C,"Lost",Accounts!$E:$E,"QBO") + SUMIFS(Accounts!$AO:$AO,Accounts!$B:$B,"Customer",Accounts!$C:$C,"Lost",Accounts!$E:$E,"QBO")</f>
        <v/>
      </c>
      <c r="BE17" s="58">
        <f>(SUMIFS(Accounts!$AC:$AC,Accounts!$B:$B,"Customer",Accounts!$C:$C,"Lost",Accounts!$E:$E,"QBO")+SUMIFS(Accounts!$AF:$AF,Accounts!$B:$B,"Customer",Accounts!$C:$C,"Lost",Accounts!$E:$E,"QBO")+SUMIFS(Accounts!$AK:$AK,Accounts!$B:$B,"Customer",Accounts!$C:$C,"Lost",Accounts!$E:$E,"QBO"))</f>
        <v/>
      </c>
      <c r="BF17" s="58">
        <f>SUMIFS(Accounts!$AB:$AB,Accounts!$B:$B,"Customer",Accounts!$C:$C,"Lost",Accounts!$E:$E,"QBO")</f>
        <v/>
      </c>
      <c r="BG17" s="58">
        <f>SUMIFS(Accounts!$AD:$AD,Accounts!$B:$B,"Customer",Accounts!$C:$C,"Lost",Accounts!$E:$E,"QBO")+SUMIFS(Accounts!$AM:$AM,Accounts!$B:$B,"Customer",Accounts!$C:$C,"Lost",Accounts!$E:$E,"QBO")+SUMIFS(Accounts!$AN:$AN,Accounts!$B:$B,"Customer",Accounts!$C:$C,"Lost",Accounts!$E:$E,"QBO")</f>
        <v/>
      </c>
      <c r="BH17" s="58">
        <f>SUMIFS(Accounts!$AE:$AE,Accounts!$B:$B,"Customer",Accounts!$C:$C,"Lost",Accounts!$E:$E,"QBO") + SUMIFS(Accounts!$AP:$AP,Accounts!$B:$B,"Customer",Accounts!$C:$C,"Lost",Accounts!$E:$E,"QBO")+SUMIFS(Accounts!$Z:$Z,Accounts!$B:$B,"Customer",Accounts!$C:$C,"Lost",Accounts!$E:$E,"QBO")+SUMIFS(Accounts!$AG:$AG,Accounts!$B:$B,"Customer",Accounts!$C:$C,"Lost",Accounts!$E:$E,"QBO") + SUMIFS(Accounts!$AL:$AL,Accounts!$B:$B,"Customer",Accounts!$C:$C,"Lost",Accounts!$E:$E,"QBO")</f>
        <v/>
      </c>
      <c r="BI17" s="58">
        <f>SUMIFS(Accounts!$AE:$AE,Accounts!$B:$B,"Customer",Accounts!$C:$C,"Lost",Accounts!$E:$E,"QBO") + SUMIFS(Accounts!$AP:$AP,Accounts!$B:$B,"Customer",Accounts!$C:$C,"Lost",Accounts!$E:$E,"QBO")</f>
        <v/>
      </c>
      <c r="BJ17" s="58">
        <f>SUMIFS(Accounts!$Z:$Z,Accounts!$B:$B,"Customer",Accounts!$C:$C,"Lost",Accounts!$E:$E,"QBO")</f>
        <v/>
      </c>
      <c r="BK17" s="58">
        <f>SUMIFS(Accounts!$AG:$AG,Accounts!$B:$B,"Customer",Accounts!$C:$C,"Lost",Accounts!$E:$E,"QBO") + SUMIFS(Accounts!$AL:$AL,Accounts!$B:$B,"Customer",Accounts!$C:$C,"Lost",Accounts!$E:$E,"QBO")</f>
        <v/>
      </c>
      <c r="BL17" s="58">
        <f>SUMIFS(Accounts!$AQ:$AQ,Accounts!$B:$B,"Customer",Accounts!$C:$C,"Lost",Accounts!$E:$E,"QBO")</f>
        <v/>
      </c>
      <c r="CU17" s="53" t="inlineStr">
        <is>
          <t>QBO</t>
        </is>
      </c>
      <c r="CV17" s="43" t="inlineStr">
        <is>
          <t>New  Customers</t>
        </is>
      </c>
      <c r="CW17" s="44">
        <f>SUMPRODUCT(COUNTIFS(Accounts!$AS:$AS,"Manufacturing (MWD)",Accounts!$B:$B,{"Trialer","none"},Accounts!$C:$C,"Customer",Accounts!$E:$E,"QBO"))</f>
        <v/>
      </c>
      <c r="DI17" s="56" t="n"/>
      <c r="DJ17" s="56" t="n"/>
      <c r="DK17" s="56" t="n"/>
      <c r="DL17" s="56" t="n"/>
      <c r="DM17" s="56" t="n"/>
      <c r="DN17" s="56" t="n"/>
      <c r="DO17" s="56" t="n"/>
      <c r="DP17" s="56" t="n"/>
      <c r="DQ17" s="56" t="n"/>
      <c r="DR17" s="56" t="n"/>
      <c r="DV17" s="49" t="n"/>
      <c r="DW17" s="53" t="inlineStr">
        <is>
          <t>QBO</t>
        </is>
      </c>
      <c r="DX17" s="43" t="inlineStr">
        <is>
          <t>New  Customers</t>
        </is>
      </c>
      <c r="DY17" s="44">
        <f>SUMPRODUCT(COUNTIFS(Accounts!$AS:$AS,"Wholesale and distribution services (MWD)",Accounts!$B:$B,{"Trialer","none"},Accounts!$C:$C,"Customer",Accounts!$E:$E,"QBO"))</f>
        <v/>
      </c>
      <c r="EK17" s="56" t="n"/>
      <c r="EL17" s="56" t="n"/>
      <c r="EM17" s="56" t="n"/>
      <c r="EN17" s="56" t="n"/>
      <c r="EO17" s="56" t="n"/>
      <c r="EP17" s="56" t="n"/>
      <c r="EQ17" s="56" t="n"/>
      <c r="ER17" s="56" t="n"/>
      <c r="ES17" s="56" t="n"/>
      <c r="ET17" s="56" t="n"/>
      <c r="EX17" s="49" t="n"/>
      <c r="EY17" s="53" t="inlineStr">
        <is>
          <t>QBO</t>
        </is>
      </c>
      <c r="EZ17" s="43" t="inlineStr">
        <is>
          <t>New  Customers</t>
        </is>
      </c>
      <c r="FA17" s="44">
        <f>SUMPRODUCT(COUNTIFS(Accounts!$AS:$AS,"Construction",Accounts!$B:$B,{"Trialer","none"},Accounts!$C:$C,"Customer",Accounts!$E:$E,"QBO"))</f>
        <v/>
      </c>
      <c r="FM17" s="56" t="n"/>
      <c r="FN17" s="56" t="n"/>
      <c r="FO17" s="56" t="n"/>
      <c r="FP17" s="56" t="n"/>
      <c r="FQ17" s="56" t="n"/>
      <c r="FR17" s="56" t="n"/>
      <c r="FS17" s="56" t="n"/>
      <c r="FT17" s="56" t="n"/>
      <c r="FU17" s="56" t="n"/>
      <c r="FV17" s="56" t="n"/>
      <c r="FZ17" s="49" t="n"/>
      <c r="GA17" s="53" t="inlineStr">
        <is>
          <t>QBO</t>
        </is>
      </c>
      <c r="GB17" s="43" t="inlineStr">
        <is>
          <t>New  Customers</t>
        </is>
      </c>
      <c r="GC17" s="44">
        <f>SUMPRODUCT(COUNTIFS(Accounts!$AS:$AS,"Field Services",Accounts!$B:$B,{"Trialer","none"},Accounts!$C:$C,"Customer",Accounts!$E:$E,"QBO"))</f>
        <v/>
      </c>
      <c r="GO17" s="56" t="n"/>
      <c r="GP17" s="56" t="n"/>
      <c r="GQ17" s="56" t="n"/>
      <c r="GR17" s="56" t="n"/>
      <c r="GS17" s="56" t="n"/>
      <c r="GT17" s="56" t="n"/>
      <c r="GU17" s="56" t="n"/>
      <c r="GV17" s="56" t="n"/>
      <c r="GW17" s="56" t="n"/>
      <c r="GX17" s="56" t="n"/>
      <c r="HB17" s="49" t="n"/>
      <c r="HC17" s="53" t="inlineStr">
        <is>
          <t>QBO</t>
        </is>
      </c>
      <c r="HD17" s="43" t="inlineStr">
        <is>
          <t>New  Customers</t>
        </is>
      </c>
      <c r="HE17" s="44">
        <f>SUMPRODUCT(COUNTIFS(Accounts!$AS:$AS,"Consulting and Professional Services",Accounts!$B:$B,{"Trialer","none"},Accounts!$C:$C,"Customer",Accounts!$E:$E,"QBO"))</f>
        <v/>
      </c>
      <c r="HQ17" s="56" t="n"/>
      <c r="HR17" s="56" t="n"/>
      <c r="HS17" s="56" t="n"/>
      <c r="HT17" s="56" t="n"/>
      <c r="HU17" s="56" t="n"/>
      <c r="HV17" s="56" t="n"/>
      <c r="HW17" s="56" t="n"/>
      <c r="HX17" s="56" t="n"/>
      <c r="HY17" s="56" t="n"/>
      <c r="HZ17" s="56" t="n"/>
      <c r="ID17" s="49" t="n"/>
      <c r="IE17" s="53" t="inlineStr">
        <is>
          <t>QBO</t>
        </is>
      </c>
      <c r="IF17" s="43" t="inlineStr">
        <is>
          <t>New  Customers</t>
        </is>
      </c>
      <c r="IG17" s="44">
        <f>SUMPRODUCT(COUNTIFS(Accounts!$AS:$AS,"Retail",Accounts!$B:$B,{"Trialer","none"},Accounts!$C:$C,"Customer",Accounts!$E:$E,"QBO"))</f>
        <v/>
      </c>
      <c r="IS17" s="56" t="n"/>
      <c r="IT17" s="56" t="n"/>
      <c r="IU17" s="56" t="n"/>
      <c r="IV17" s="56" t="n"/>
      <c r="IW17" s="56" t="n"/>
      <c r="IX17" s="56" t="n"/>
      <c r="IY17" s="56" t="n"/>
      <c r="IZ17" s="56" t="n"/>
      <c r="JA17" s="56" t="n"/>
      <c r="JB17" s="56" t="n"/>
      <c r="JF17" s="49" t="n"/>
      <c r="JG17" s="53" t="inlineStr">
        <is>
          <t>QBO</t>
        </is>
      </c>
      <c r="JH17" s="43" t="inlineStr">
        <is>
          <t>New  Customers</t>
        </is>
      </c>
      <c r="JI17" s="44">
        <f>SUMPRODUCT(COUNTIFS(Accounts!$AS:$AS,"Non-profit, govt or religious organization",Accounts!$B:$B,{"Trialer","none"},Accounts!$C:$C,"Customer",Accounts!$E:$E,"QBO"))</f>
        <v/>
      </c>
      <c r="JU17" s="56" t="n"/>
      <c r="JV17" s="56" t="n"/>
      <c r="JW17" s="56" t="n"/>
      <c r="JX17" s="56" t="n"/>
      <c r="JY17" s="56" t="n"/>
      <c r="JZ17" s="56" t="n"/>
      <c r="KA17" s="56" t="n"/>
      <c r="KB17" s="56" t="n"/>
      <c r="KC17" s="56" t="n"/>
      <c r="KD17" s="56" t="n"/>
      <c r="KH17" s="49" t="n"/>
      <c r="KI17" s="53" t="inlineStr">
        <is>
          <t>QBO</t>
        </is>
      </c>
      <c r="KJ17" s="43" t="inlineStr">
        <is>
          <t>New  Customers</t>
        </is>
      </c>
      <c r="KK17" s="44">
        <f>SUMPRODUCT(COUNTIFS(Accounts!$AS:$AS,"Communications, Entertainment and Media",Accounts!$B:$B,{"Trialer","none"},Accounts!$C:$C,"Customer",Accounts!$E:$E,"QBO"))</f>
        <v/>
      </c>
      <c r="KW17" s="56" t="n"/>
      <c r="KX17" s="56" t="n"/>
      <c r="KY17" s="56" t="n"/>
      <c r="KZ17" s="56" t="n"/>
      <c r="LA17" s="56" t="n"/>
      <c r="LB17" s="56" t="n"/>
      <c r="LC17" s="56" t="n"/>
      <c r="LD17" s="56" t="n"/>
      <c r="LE17" s="56" t="n"/>
      <c r="LF17" s="56" t="n"/>
      <c r="LJ17" s="49" t="n"/>
      <c r="LK17" s="53" t="inlineStr">
        <is>
          <t>QBO</t>
        </is>
      </c>
      <c r="LL17" s="43" t="inlineStr">
        <is>
          <t>New  Customers</t>
        </is>
      </c>
      <c r="LM17" s="44">
        <f>SUMPRODUCT(COUNTIFS(Accounts!$AS:$AS,"IT and computer related",Accounts!$B:$B,{"Trialer","none"},Accounts!$C:$C,"Customer",Accounts!$E:$E,"QBO"))</f>
        <v/>
      </c>
      <c r="LY17" s="56" t="n"/>
      <c r="LZ17" s="56" t="n"/>
      <c r="MA17" s="56" t="n"/>
      <c r="MB17" s="56" t="n"/>
      <c r="MC17" s="56" t="n"/>
      <c r="MD17" s="56" t="n"/>
      <c r="ME17" s="56" t="n"/>
      <c r="MF17" s="56" t="n"/>
      <c r="MG17" s="56" t="n"/>
      <c r="MH17" s="56" t="n"/>
      <c r="ML17" s="49" t="n"/>
      <c r="MM17" s="53" t="inlineStr">
        <is>
          <t>QBO</t>
        </is>
      </c>
      <c r="MN17" s="43" t="inlineStr">
        <is>
          <t>New  Customers</t>
        </is>
      </c>
      <c r="MO17" s="44">
        <f>SUMPRODUCT(COUNTIFS(Accounts!$AS:$AS,{"General service based","General"},Accounts!$B:$B,{"Trialer","none"},Accounts!$C:$C,"Customer",Accounts!$E:$E,"QBO"))</f>
        <v/>
      </c>
      <c r="NA17" s="56" t="n"/>
      <c r="NB17" s="56" t="n"/>
      <c r="NC17" s="56" t="n"/>
      <c r="ND17" s="56" t="n"/>
      <c r="NE17" s="56" t="n"/>
      <c r="NF17" s="56" t="n"/>
      <c r="NG17" s="56" t="n"/>
      <c r="NH17" s="56" t="n"/>
      <c r="NI17" s="56" t="n"/>
      <c r="NJ17" s="56" t="n"/>
      <c r="NN17" s="49" t="n"/>
      <c r="NO17" s="53" t="inlineStr">
        <is>
          <t>QBO</t>
        </is>
      </c>
      <c r="NP17" s="43" t="inlineStr">
        <is>
          <t>New  Customers</t>
        </is>
      </c>
      <c r="NQ17" s="44">
        <f>SUMPRODUCT(COUNTIFS(Accounts!$AS:$AS,"Other",Accounts!$B:$B,{"Trialer","none"},Accounts!$C:$C,"Customer",Accounts!$E:$E,"QBO"))</f>
        <v/>
      </c>
      <c r="OC17" s="56" t="n"/>
      <c r="OD17" s="56" t="n"/>
      <c r="OE17" s="56" t="n"/>
      <c r="OF17" s="56" t="n"/>
      <c r="OG17" s="56" t="n"/>
      <c r="OH17" s="56" t="n"/>
      <c r="OI17" s="56" t="n"/>
      <c r="OJ17" s="56" t="n"/>
      <c r="OK17" s="56" t="n"/>
      <c r="OL17" s="56" t="n"/>
      <c r="OP17" s="49" t="n"/>
      <c r="OQ17" s="53" t="inlineStr">
        <is>
          <t>QBO</t>
        </is>
      </c>
      <c r="OR17" s="43" t="inlineStr">
        <is>
          <t>New  Customers</t>
        </is>
      </c>
      <c r="OS17" s="44">
        <f>SUMPRODUCT(COUNTIFS(Accounts!$AS:$AS,"Accounting and Bookkeeping",Accounts!$B:$B,{"Trialer","none"},Accounts!$C:$C,"Customer",Accounts!$E:$E,"QBO"))</f>
        <v/>
      </c>
      <c r="PE17" s="56" t="n"/>
      <c r="PF17" s="56" t="n"/>
      <c r="PG17" s="56" t="n"/>
      <c r="PH17" s="56" t="n"/>
      <c r="PI17" s="56" t="n"/>
      <c r="PJ17" s="56" t="n"/>
      <c r="PK17" s="56" t="n"/>
      <c r="PL17" s="56" t="n"/>
      <c r="PM17" s="56" t="n"/>
      <c r="PN17" s="56" t="n"/>
      <c r="PR17" s="49" t="n"/>
      <c r="PS17" s="49" t="n"/>
      <c r="PT17" s="57" t="n"/>
    </row>
    <row r="18" ht="16" customFormat="1" customHeight="1" s="31">
      <c r="J18" s="35" t="n"/>
      <c r="K18" s="35" t="n"/>
      <c r="M18" s="34" t="n"/>
      <c r="AZ18" s="53" t="inlineStr">
        <is>
          <t>QBO</t>
        </is>
      </c>
      <c r="BA18" s="43" t="inlineStr">
        <is>
          <t>Accounts EOM</t>
        </is>
      </c>
      <c r="BB18" s="40" t="n"/>
      <c r="BC18" s="44">
        <f>COUNTIFS(Accounts!$C:$C,"Customer",Accounts!$E:$E,"QBO")</f>
        <v/>
      </c>
      <c r="BD18" s="58">
        <f>SUMIFS(Accounts!$AA:$AA,Accounts!$C:$C,"Customer",Accounts!$E:$E,"QBO") + SUMIFS(Accounts!$AH:$AH,Accounts!$C:$C,"Customer",Accounts!$E:$E,"QBO") + SUMIFS(Accounts!$AJ:$AJ,Accounts!$C:$C,"Customer",Accounts!$E:$E,"QBO") + SUMIFS(Accounts!$AI:$AI,Accounts!$C:$C,"Customer",Accounts!$E:$E,"QBO") + SUMIFS(Accounts!$AO:$AO,Accounts!$C:$C,"Customer",Accounts!$E:$E,"QBO")</f>
        <v/>
      </c>
      <c r="BE18" s="58">
        <f>(SUMIFS(Accounts!$AC:$AC,Accounts!$C:$C,"Customer",Accounts!$E:$E,"QBO")+SUMIFS(Accounts!$AF:$AF,Accounts!$C:$C,"Customer",Accounts!$E:$E,"QBO")+SUMIFS(Accounts!$AK:$AK,Accounts!$C:$C,"Customer",Accounts!$E:$E,"QBO"))</f>
        <v/>
      </c>
      <c r="BF18" s="58">
        <f>SUMIFS(Accounts!$AB:$AB,Accounts!$C:$C,"Customer",Accounts!$E:$E,"QBO")</f>
        <v/>
      </c>
      <c r="BG18" s="58">
        <f>SUMIFS(Accounts!$AD:$AD,Accounts!$C:$C,"Customer",Accounts!$E:$E,"QBO")+SUMIFS(Accounts!$AM:$AM,Accounts!$C:$C,"Customer",Accounts!$E:$E,"QBO")+SUMIFS(Accounts!$AN:$AN,Accounts!$C:$C,"Customer",Accounts!$E:$E,"QBO")</f>
        <v/>
      </c>
      <c r="BH18" s="58">
        <f>SUMIFS(Accounts!$AE:$AE,Accounts!$C:$C,"Customer",Accounts!$E:$E,"QBO") + SUMIFS(Accounts!$AP:$AP,Accounts!$C:$C,"Customer",Accounts!$E:$E,"QBO")+SUMIFS(Accounts!$Z:$Z,Accounts!$C:$C,"Customer",Accounts!$E:$E,"QBO")+SUMIFS(Accounts!$AG:$AG,Accounts!$C:$C,"Customer",Accounts!$E:$E,"QBO") + SUMIFS(Accounts!$AL:$AL,Accounts!$C:$C,"Customer",Accounts!$E:$E,"QBO")</f>
        <v/>
      </c>
      <c r="BI18" s="58">
        <f>SUMIFS(Accounts!$AE:$AE,Accounts!$C:$C,"Customer",Accounts!$E:$E,"QBO") + SUMIFS(Accounts!$AP:$AP,Accounts!$C:$C,"Customer",Accounts!$E:$E,"QBO")</f>
        <v/>
      </c>
      <c r="BJ18" s="58">
        <f>SUMIFS(Accounts!$Z:$Z,Accounts!$C:$C,"Customer",Accounts!$E:$E,"QBO")</f>
        <v/>
      </c>
      <c r="BK18" s="58">
        <f>SUMIFS(Accounts!$AG:$AG,Accounts!$C:$C,"Customer",Accounts!$E:$E,"QBO") + SUMIFS(Accounts!$AL:$AL,Accounts!$C:$C,"Customer",Accounts!$E:$E,"QBO")</f>
        <v/>
      </c>
      <c r="BL18" s="58">
        <f>SUMIFS(Accounts!$AQ:$AQ,Accounts!$C:$C,"Customer",Accounts!$E:$E,"QBO")</f>
        <v/>
      </c>
      <c r="CU18" s="53" t="inlineStr">
        <is>
          <t>QBO</t>
        </is>
      </c>
      <c r="CV18" s="43" t="inlineStr">
        <is>
          <t>LostNew Customers</t>
        </is>
      </c>
      <c r="CW18" s="44">
        <f>SUMPRODUCT(COUNTIFS(Accounts!$AS:$AS,"Manufacturing (MWD)",Accounts!$B:$B,{"Trialer","none"},Accounts!$C:$C,"Lost",Accounts!$E:$E,"QBO"))</f>
        <v/>
      </c>
      <c r="DI18" s="39" t="n"/>
      <c r="DJ18" s="39" t="n"/>
      <c r="DK18" s="39" t="n"/>
      <c r="DL18" s="39" t="n"/>
      <c r="DM18" s="39" t="n"/>
      <c r="DN18" s="39" t="n"/>
      <c r="DO18" s="39" t="n"/>
      <c r="DP18" s="39" t="n"/>
      <c r="DQ18" s="39" t="n"/>
      <c r="DR18" s="39" t="n"/>
      <c r="DV18" s="49" t="n"/>
      <c r="DW18" s="53" t="inlineStr">
        <is>
          <t>QBO</t>
        </is>
      </c>
      <c r="DX18" s="43" t="inlineStr">
        <is>
          <t>LostNew Customers</t>
        </is>
      </c>
      <c r="DY18" s="44">
        <f>SUMPRODUCT(COUNTIFS(Accounts!$AS:$AS,"Wholesale and distribution services (MWD)",Accounts!$B:$B,{"Trialer","none"},Accounts!$C:$C,"Lost",Accounts!$E:$E,"QBO"))</f>
        <v/>
      </c>
      <c r="EK18" s="39" t="n"/>
      <c r="EL18" s="39" t="n"/>
      <c r="EM18" s="39" t="n"/>
      <c r="EN18" s="39" t="n"/>
      <c r="EO18" s="39" t="n"/>
      <c r="EP18" s="39" t="n"/>
      <c r="EQ18" s="39" t="n"/>
      <c r="ER18" s="39" t="n"/>
      <c r="ES18" s="39" t="n"/>
      <c r="ET18" s="39" t="n"/>
      <c r="EX18" s="49" t="n"/>
      <c r="EY18" s="53" t="inlineStr">
        <is>
          <t>QBO</t>
        </is>
      </c>
      <c r="EZ18" s="43" t="inlineStr">
        <is>
          <t>LostNew Customers</t>
        </is>
      </c>
      <c r="FA18" s="44">
        <f>SUMPRODUCT(COUNTIFS(Accounts!$AS:$AS,"Construction",Accounts!$B:$B,{"Trialer","none"},Accounts!$C:$C,"Lost",Accounts!$E:$E,"QBO"))</f>
        <v/>
      </c>
      <c r="FM18" s="39" t="n"/>
      <c r="FN18" s="39" t="n"/>
      <c r="FO18" s="39" t="n"/>
      <c r="FP18" s="39" t="n"/>
      <c r="FQ18" s="39" t="n"/>
      <c r="FR18" s="39" t="n"/>
      <c r="FS18" s="39" t="n"/>
      <c r="FT18" s="39" t="n"/>
      <c r="FU18" s="39" t="n"/>
      <c r="FV18" s="39" t="n"/>
      <c r="FZ18" s="49" t="n"/>
      <c r="GA18" s="53" t="inlineStr">
        <is>
          <t>QBO</t>
        </is>
      </c>
      <c r="GB18" s="43" t="inlineStr">
        <is>
          <t>LostNew Customers</t>
        </is>
      </c>
      <c r="GC18" s="44">
        <f>SUMPRODUCT(COUNTIFS(Accounts!$AS:$AS,"Field Services",Accounts!$B:$B,{"Trialer","none"},Accounts!$C:$C,"Lost",Accounts!$E:$E,"QBO"))</f>
        <v/>
      </c>
      <c r="GO18" s="39" t="n"/>
      <c r="GP18" s="39" t="n"/>
      <c r="GQ18" s="39" t="n"/>
      <c r="GR18" s="39" t="n"/>
      <c r="GS18" s="39" t="n"/>
      <c r="GT18" s="39" t="n"/>
      <c r="GU18" s="39" t="n"/>
      <c r="GV18" s="39" t="n"/>
      <c r="GW18" s="39" t="n"/>
      <c r="GX18" s="39" t="n"/>
      <c r="HB18" s="49" t="n"/>
      <c r="HC18" s="53" t="inlineStr">
        <is>
          <t>QBO</t>
        </is>
      </c>
      <c r="HD18" s="43" t="inlineStr">
        <is>
          <t>LostNew Customers</t>
        </is>
      </c>
      <c r="HE18" s="44">
        <f>SUMPRODUCT(COUNTIFS(Accounts!$AS:$AS,"Consulting and Professional Services",Accounts!$B:$B,{"Trialer","none"},Accounts!$C:$C,"Lost",Accounts!$E:$E,"QBO"))</f>
        <v/>
      </c>
      <c r="HQ18" s="39" t="n"/>
      <c r="HR18" s="39" t="n"/>
      <c r="HS18" s="39" t="n"/>
      <c r="HT18" s="39" t="n"/>
      <c r="HU18" s="39" t="n"/>
      <c r="HV18" s="39" t="n"/>
      <c r="HW18" s="39" t="n"/>
      <c r="HX18" s="39" t="n"/>
      <c r="HY18" s="39" t="n"/>
      <c r="HZ18" s="39" t="n"/>
      <c r="ID18" s="49" t="n"/>
      <c r="IE18" s="53" t="inlineStr">
        <is>
          <t>QBO</t>
        </is>
      </c>
      <c r="IF18" s="43" t="inlineStr">
        <is>
          <t>LostNew Customers</t>
        </is>
      </c>
      <c r="IG18" s="44">
        <f>SUMPRODUCT(COUNTIFS(Accounts!$AS:$AS,"Retail",Accounts!$B:$B,{"Trialer","none"},Accounts!$C:$C,"Lost",Accounts!$E:$E,"QBO"))</f>
        <v/>
      </c>
      <c r="IS18" s="39" t="n"/>
      <c r="IT18" s="39" t="n"/>
      <c r="IU18" s="39" t="n"/>
      <c r="IV18" s="39" t="n"/>
      <c r="IW18" s="39" t="n"/>
      <c r="IX18" s="39" t="n"/>
      <c r="IY18" s="39" t="n"/>
      <c r="IZ18" s="39" t="n"/>
      <c r="JA18" s="39" t="n"/>
      <c r="JB18" s="39" t="n"/>
      <c r="JF18" s="49" t="n"/>
      <c r="JG18" s="53" t="inlineStr">
        <is>
          <t>QBO</t>
        </is>
      </c>
      <c r="JH18" s="43" t="inlineStr">
        <is>
          <t>LostNew Customers</t>
        </is>
      </c>
      <c r="JI18" s="44">
        <f>SUMPRODUCT(COUNTIFS(Accounts!$AS:$AS,"Non-profit, govt or religious organization",Accounts!$B:$B,{"Trialer","none"},Accounts!$C:$C,"Lost",Accounts!$E:$E,"QBO"))</f>
        <v/>
      </c>
      <c r="JU18" s="39" t="n"/>
      <c r="JV18" s="39" t="n"/>
      <c r="JW18" s="39" t="n"/>
      <c r="JX18" s="39" t="n"/>
      <c r="JY18" s="39" t="n"/>
      <c r="JZ18" s="39" t="n"/>
      <c r="KA18" s="39" t="n"/>
      <c r="KB18" s="39" t="n"/>
      <c r="KC18" s="39" t="n"/>
      <c r="KD18" s="39" t="n"/>
      <c r="KH18" s="49" t="n"/>
      <c r="KI18" s="53" t="inlineStr">
        <is>
          <t>QBO</t>
        </is>
      </c>
      <c r="KJ18" s="43" t="inlineStr">
        <is>
          <t>LostNew Customers</t>
        </is>
      </c>
      <c r="KK18" s="44">
        <f>SUMPRODUCT(COUNTIFS(Accounts!$AS:$AS,"Communications, Entertainment and Media",Accounts!$B:$B,{"Trialer","none"},Accounts!$C:$C,"Lost",Accounts!$E:$E,"QBO"))</f>
        <v/>
      </c>
      <c r="KW18" s="39" t="n"/>
      <c r="KX18" s="39" t="n"/>
      <c r="KY18" s="39" t="n"/>
      <c r="KZ18" s="39" t="n"/>
      <c r="LA18" s="39" t="n"/>
      <c r="LB18" s="39" t="n"/>
      <c r="LC18" s="39" t="n"/>
      <c r="LD18" s="39" t="n"/>
      <c r="LE18" s="39" t="n"/>
      <c r="LF18" s="39" t="n"/>
      <c r="LJ18" s="49" t="n"/>
      <c r="LK18" s="53" t="inlineStr">
        <is>
          <t>QBO</t>
        </is>
      </c>
      <c r="LL18" s="43" t="inlineStr">
        <is>
          <t>LostNew Customers</t>
        </is>
      </c>
      <c r="LM18" s="44">
        <f>SUMPRODUCT(COUNTIFS(Accounts!$AS:$AS,"IT and computer related",Accounts!$B:$B,{"Trialer","none"},Accounts!$C:$C,"Lost",Accounts!$E:$E,"QBO"))</f>
        <v/>
      </c>
      <c r="LY18" s="39" t="n"/>
      <c r="LZ18" s="39" t="n"/>
      <c r="MA18" s="39" t="n"/>
      <c r="MB18" s="39" t="n"/>
      <c r="MC18" s="39" t="n"/>
      <c r="MD18" s="39" t="n"/>
      <c r="ME18" s="39" t="n"/>
      <c r="MF18" s="39" t="n"/>
      <c r="MG18" s="39" t="n"/>
      <c r="MH18" s="39" t="n"/>
      <c r="ML18" s="49" t="n"/>
      <c r="MM18" s="53" t="inlineStr">
        <is>
          <t>QBO</t>
        </is>
      </c>
      <c r="MN18" s="43" t="inlineStr">
        <is>
          <t>LostNew Customers</t>
        </is>
      </c>
      <c r="MO18" s="44">
        <f>SUMPRODUCT(COUNTIFS(Accounts!$AS:$AS,{"General service based","General"},Accounts!$B:$B,{"Trialer","none"},Accounts!$C:$C,"Lost",Accounts!$E:$E,"QBO"))</f>
        <v/>
      </c>
      <c r="NA18" s="39" t="n"/>
      <c r="NB18" s="39" t="n"/>
      <c r="NC18" s="39" t="n"/>
      <c r="ND18" s="39" t="n"/>
      <c r="NE18" s="39" t="n"/>
      <c r="NF18" s="39" t="n"/>
      <c r="NG18" s="39" t="n"/>
      <c r="NH18" s="39" t="n"/>
      <c r="NI18" s="39" t="n"/>
      <c r="NJ18" s="39" t="n"/>
      <c r="NN18" s="49" t="n"/>
      <c r="NO18" s="53" t="inlineStr">
        <is>
          <t>QBO</t>
        </is>
      </c>
      <c r="NP18" s="43" t="inlineStr">
        <is>
          <t>LostNew Customers</t>
        </is>
      </c>
      <c r="NQ18" s="44">
        <f>SUMPRODUCT(COUNTIFS(Accounts!$AS:$AS,"Other",Accounts!$B:$B,{"Trialer","none"},Accounts!$C:$C,"Lost",Accounts!$E:$E,"QBO"))</f>
        <v/>
      </c>
      <c r="OC18" s="39" t="n"/>
      <c r="OD18" s="39" t="n"/>
      <c r="OE18" s="39" t="n"/>
      <c r="OF18" s="39" t="n"/>
      <c r="OG18" s="39" t="n"/>
      <c r="OH18" s="39" t="n"/>
      <c r="OI18" s="39" t="n"/>
      <c r="OJ18" s="39" t="n"/>
      <c r="OK18" s="39" t="n"/>
      <c r="OL18" s="39" t="n"/>
      <c r="OP18" s="49" t="n"/>
      <c r="OQ18" s="53" t="inlineStr">
        <is>
          <t>QBO</t>
        </is>
      </c>
      <c r="OR18" s="43" t="inlineStr">
        <is>
          <t>LostNew Customers</t>
        </is>
      </c>
      <c r="OS18" s="44">
        <f>SUMPRODUCT(COUNTIFS(Accounts!$AS:$AS,"Accounting and Bookkeeping",Accounts!$B:$B,{"Trialer","none"},Accounts!$C:$C,"Lost",Accounts!$E:$E,"QBO"))</f>
        <v/>
      </c>
      <c r="PE18" s="39" t="n"/>
      <c r="PF18" s="39" t="n"/>
      <c r="PG18" s="39" t="n"/>
      <c r="PH18" s="39" t="n"/>
      <c r="PI18" s="39" t="n"/>
      <c r="PJ18" s="39" t="n"/>
      <c r="PK18" s="39" t="n"/>
      <c r="PL18" s="39" t="n"/>
      <c r="PM18" s="39" t="n"/>
      <c r="PN18" s="39" t="n"/>
      <c r="PR18" s="49" t="n"/>
      <c r="PS18" s="49" t="n"/>
      <c r="PT18" s="57" t="n"/>
    </row>
    <row r="19" ht="16" customFormat="1" customHeight="1" s="31">
      <c r="G19" s="51" t="n"/>
      <c r="AZ19" s="53" t="inlineStr">
        <is>
          <t>QBO</t>
        </is>
      </c>
      <c r="BA19" s="43" t="inlineStr">
        <is>
          <t>New  Customers</t>
        </is>
      </c>
      <c r="BB19" s="40" t="n"/>
      <c r="BC19" s="44">
        <f>SUMPRODUCT(COUNTIFS(Accounts!$B:$B,{"Trialer","none"},Accounts!$C:$C,"Customer",Accounts!$E:$E,"QBO"))</f>
        <v/>
      </c>
      <c r="BD19" s="58">
        <f>SUMPRODUCT(SUMIFS(Accounts!$AA:$AA,Accounts!$B:$B,{"Trialer","none"},Accounts!$C:$C,"Customer",Accounts!$E:$E,"QBO") + SUMIFS(Accounts!$AH:$AH,Accounts!$B:$B,{"Trialer","none"},Accounts!$C:$C,"Customer",Accounts!$E:$E,"QBO") + SUMIFS(Accounts!$AJ:$AJ,Accounts!$B:$B,{"Trialer","none"},Accounts!$C:$C,"Customer",Accounts!$E:$E,"QBO") + SUMIFS(Accounts!$AI:$AI,Accounts!$B:$B,{"Trialer","none"},Accounts!$C:$C,"Customer",Accounts!$E:$E,"QBO") + SUMIFS(Accounts!$AO:$AO,Accounts!$B:$B,{"Trialer","none"},Accounts!$C:$C,"Customer",Accounts!$E:$E,"QBO"))</f>
        <v/>
      </c>
      <c r="BE19" s="58">
        <f>SUMPRODUCT(SUMIFS(Accounts!$AC:$AC,Accounts!$B:$B,{"Trialer","none"},Accounts!$C:$C,"Customer",Accounts!$E:$E,"QBO")+SUMIFS(Accounts!$AF:$AF,Accounts!$B:$B,{"Trialer","none"},Accounts!$C:$C,"Customer",Accounts!$E:$E,"QBO")+SUMIFS(Accounts!$AK:$AK,Accounts!$B:$B,{"Trialer","none"},Accounts!$C:$C,"Customer",Accounts!$E:$E,"QBO"))</f>
        <v/>
      </c>
      <c r="BF19" s="58">
        <f>SUMPRODUCT(SUMIFS(Accounts!$AB:$AB,Accounts!$B:$B,{"Trialer","none"},Accounts!$C:$C,"Customer",Accounts!$E:$E,"QBO"))</f>
        <v/>
      </c>
      <c r="BG19" s="58">
        <f>SUMPRODUCT(SUMIFS(Accounts!$AD:$AD,Accounts!$B:$B,{"Trialer","none"},Accounts!$C:$C,"Customer",Accounts!$E:$E,"QBO")+SUMIFS(Accounts!$AM:$AM,Accounts!$B:$B,{"Trialer","none"},Accounts!$C:$C,"Customer",Accounts!$E:$E,"QBO")+SUMIFS(Accounts!$AN:$AN,Accounts!$B:$B,{"Trialer","none"},Accounts!$C:$C,"Customer",Accounts!$E:$E,"QBO"))</f>
        <v/>
      </c>
      <c r="BH19" s="58">
        <f>SUMPRODUCT(SUMIFS(Accounts!$AE:$AE,Accounts!$B:$B,{"Trialer","none"},Accounts!$C:$C,"Customer",Accounts!$E:$E,"QBO")+SUMIFS(Accounts!$AP:$AP,Accounts!$B:$B,{"Trialer","none"},Accounts!$C:$C,"Customer",Accounts!$E:$E,"QBO")+SUMIFS(Accounts!$Z:$Z,Accounts!$B:$B,{"Trialer","none"},Accounts!$C:$C,"Customer",Accounts!$E:$E,"QBO")+SUMIFS(Accounts!$AG:$AG,Accounts!$B:$B,{"Trialer","none"},Accounts!$C:$C,"Customer",Accounts!$E:$E,"QBO")+SUMIFS(Accounts!$AL:$AL,Accounts!$B:$B,{"Trialer","none"},Accounts!$C:$C,"Customer",Accounts!$E:$E,"QBO"))</f>
        <v/>
      </c>
      <c r="BI19" s="58">
        <f>SUMPRODUCT(SUMIFS(Accounts!$AE:$AE,Accounts!$B:$B,{"Trialer","none"},Accounts!$C:$C,"Customer",Accounts!$E:$E,"QBO")+SUMIFS(Accounts!$AP:$AP,Accounts!$B:$B,{"Trialer","none"},Accounts!$C:$C,"Customer",Accounts!$E:$E,"QBO"))</f>
        <v/>
      </c>
      <c r="BJ19" s="58">
        <f>SUMPRODUCT(SUMIFS(Accounts!$Z:$Z,Accounts!$B:$B,{"Trialer","none"},Accounts!$C:$C,"Customer",Accounts!$E:$E,"QBO"))</f>
        <v/>
      </c>
      <c r="BK19" s="58">
        <f>SUMPRODUCT(SUMIFS(Accounts!$AG:$AG,Accounts!$B:$B,{"Trialer","none"},Accounts!$C:$C,"Customer",Accounts!$E:$E,"QBO")+SUMIFS(Accounts!$AL:$AL,Accounts!$B:$B,{"Trialer","none"},Accounts!$C:$C,"Customer",Accounts!$E:$E,"QBO"))</f>
        <v/>
      </c>
      <c r="BL19" s="58">
        <f>SUMPRODUCT(SUMIFS(Accounts!$AQ:$AQ,Accounts!$B:$B,{"Trialer","none"},Accounts!$C:$C,"Customer",Accounts!$E:$E,"QBO"))</f>
        <v/>
      </c>
      <c r="CU19" s="40" t="n"/>
      <c r="CV19" s="40" t="n"/>
      <c r="CW19" s="40" t="n"/>
      <c r="DI19" s="56" t="n"/>
      <c r="DJ19" s="56" t="n"/>
      <c r="DK19" s="56" t="n"/>
      <c r="DL19" s="56" t="n"/>
      <c r="DM19" s="56" t="n"/>
      <c r="DN19" s="56" t="n"/>
      <c r="DO19" s="56" t="n"/>
      <c r="DP19" s="56" t="n"/>
      <c r="DQ19" s="56" t="n"/>
      <c r="DR19" s="56" t="n"/>
      <c r="DW19" s="40" t="n"/>
      <c r="DX19" s="40" t="n"/>
      <c r="DY19" s="40" t="n"/>
      <c r="EK19" s="56" t="n"/>
      <c r="EL19" s="56" t="n"/>
      <c r="EM19" s="56" t="n"/>
      <c r="EN19" s="56" t="n"/>
      <c r="EO19" s="56" t="n"/>
      <c r="EP19" s="56" t="n"/>
      <c r="EQ19" s="56" t="n"/>
      <c r="ER19" s="56" t="n"/>
      <c r="ES19" s="56" t="n"/>
      <c r="ET19" s="56" t="n"/>
      <c r="EY19" s="40" t="n"/>
      <c r="EZ19" s="40" t="n"/>
      <c r="FA19" s="40" t="n"/>
      <c r="FM19" s="56" t="n"/>
      <c r="FN19" s="56" t="n"/>
      <c r="FO19" s="56" t="n"/>
      <c r="FP19" s="56" t="n"/>
      <c r="FQ19" s="56" t="n"/>
      <c r="FR19" s="56" t="n"/>
      <c r="FS19" s="56" t="n"/>
      <c r="FT19" s="56" t="n"/>
      <c r="FU19" s="56" t="n"/>
      <c r="FV19" s="56" t="n"/>
      <c r="GA19" s="40" t="n"/>
      <c r="GB19" s="40" t="n"/>
      <c r="GC19" s="40" t="n"/>
      <c r="GO19" s="56" t="n"/>
      <c r="GP19" s="56" t="n"/>
      <c r="GQ19" s="56" t="n"/>
      <c r="GR19" s="56" t="n"/>
      <c r="GS19" s="56" t="n"/>
      <c r="GT19" s="56" t="n"/>
      <c r="GU19" s="56" t="n"/>
      <c r="GV19" s="56" t="n"/>
      <c r="GW19" s="56" t="n"/>
      <c r="GX19" s="56" t="n"/>
      <c r="HC19" s="40" t="n"/>
      <c r="HD19" s="40" t="n"/>
      <c r="HE19" s="40" t="n"/>
      <c r="HQ19" s="56" t="n"/>
      <c r="HR19" s="56" t="n"/>
      <c r="HS19" s="56" t="n"/>
      <c r="HT19" s="56" t="n"/>
      <c r="HU19" s="56" t="n"/>
      <c r="HV19" s="56" t="n"/>
      <c r="HW19" s="56" t="n"/>
      <c r="HX19" s="56" t="n"/>
      <c r="HY19" s="56" t="n"/>
      <c r="HZ19" s="56" t="n"/>
      <c r="IE19" s="40" t="n"/>
      <c r="IF19" s="40" t="n"/>
      <c r="IG19" s="40" t="n"/>
      <c r="IS19" s="56" t="n"/>
      <c r="IT19" s="56" t="n"/>
      <c r="IU19" s="56" t="n"/>
      <c r="IV19" s="56" t="n"/>
      <c r="IW19" s="56" t="n"/>
      <c r="IX19" s="56" t="n"/>
      <c r="IY19" s="56" t="n"/>
      <c r="IZ19" s="56" t="n"/>
      <c r="JA19" s="56" t="n"/>
      <c r="JB19" s="56" t="n"/>
      <c r="JG19" s="40" t="n"/>
      <c r="JH19" s="40" t="n"/>
      <c r="JI19" s="40" t="n"/>
      <c r="JU19" s="56" t="n"/>
      <c r="JV19" s="56" t="n"/>
      <c r="JW19" s="56" t="n"/>
      <c r="JX19" s="56" t="n"/>
      <c r="JY19" s="56" t="n"/>
      <c r="JZ19" s="56" t="n"/>
      <c r="KA19" s="56" t="n"/>
      <c r="KB19" s="56" t="n"/>
      <c r="KC19" s="56" t="n"/>
      <c r="KD19" s="56" t="n"/>
      <c r="KI19" s="40" t="n"/>
      <c r="KJ19" s="40" t="n"/>
      <c r="KK19" s="40" t="n"/>
      <c r="KW19" s="56" t="n"/>
      <c r="KX19" s="56" t="n"/>
      <c r="KY19" s="56" t="n"/>
      <c r="KZ19" s="56" t="n"/>
      <c r="LA19" s="56" t="n"/>
      <c r="LB19" s="56" t="n"/>
      <c r="LC19" s="56" t="n"/>
      <c r="LD19" s="56" t="n"/>
      <c r="LE19" s="56" t="n"/>
      <c r="LF19" s="56" t="n"/>
      <c r="LK19" s="40" t="n"/>
      <c r="LL19" s="40" t="n"/>
      <c r="LM19" s="40" t="n"/>
      <c r="LY19" s="56" t="n"/>
      <c r="LZ19" s="56" t="n"/>
      <c r="MA19" s="56" t="n"/>
      <c r="MB19" s="56" t="n"/>
      <c r="MC19" s="56" t="n"/>
      <c r="MD19" s="56" t="n"/>
      <c r="ME19" s="56" t="n"/>
      <c r="MF19" s="56" t="n"/>
      <c r="MG19" s="56" t="n"/>
      <c r="MH19" s="56" t="n"/>
      <c r="MM19" s="40" t="n"/>
      <c r="MN19" s="40" t="n"/>
      <c r="MO19" s="40" t="n"/>
      <c r="NA19" s="56" t="n"/>
      <c r="NB19" s="56" t="n"/>
      <c r="NC19" s="56" t="n"/>
      <c r="ND19" s="56" t="n"/>
      <c r="NE19" s="56" t="n"/>
      <c r="NF19" s="56" t="n"/>
      <c r="NG19" s="56" t="n"/>
      <c r="NH19" s="56" t="n"/>
      <c r="NI19" s="56" t="n"/>
      <c r="NJ19" s="56" t="n"/>
      <c r="NO19" s="40" t="n"/>
      <c r="NP19" s="40" t="n"/>
      <c r="NQ19" s="40" t="n"/>
      <c r="OC19" s="56" t="n"/>
      <c r="OD19" s="56" t="n"/>
      <c r="OE19" s="56" t="n"/>
      <c r="OF19" s="56" t="n"/>
      <c r="OG19" s="56" t="n"/>
      <c r="OH19" s="56" t="n"/>
      <c r="OI19" s="56" t="n"/>
      <c r="OJ19" s="56" t="n"/>
      <c r="OK19" s="56" t="n"/>
      <c r="OL19" s="56" t="n"/>
      <c r="OQ19" s="40" t="n"/>
      <c r="OR19" s="40" t="n"/>
      <c r="OS19" s="40" t="n"/>
      <c r="PE19" s="56" t="n"/>
      <c r="PF19" s="56" t="n"/>
      <c r="PG19" s="56" t="n"/>
      <c r="PH19" s="56" t="n"/>
      <c r="PI19" s="56" t="n"/>
      <c r="PJ19" s="56" t="n"/>
      <c r="PK19" s="56" t="n"/>
      <c r="PL19" s="56" t="n"/>
      <c r="PM19" s="56" t="n"/>
      <c r="PN19" s="56" t="n"/>
    </row>
    <row r="20" ht="16" customFormat="1" customHeight="1" s="31">
      <c r="F20" s="79" t="n"/>
      <c r="J20" s="61" t="n"/>
      <c r="AZ20" s="53" t="inlineStr">
        <is>
          <t>QBO</t>
        </is>
      </c>
      <c r="BA20" s="43" t="inlineStr">
        <is>
          <t>LostNew Customers</t>
        </is>
      </c>
      <c r="BB20" s="40" t="n"/>
      <c r="BC20" s="44">
        <f>SUMPRODUCT(COUNTIFS(Accounts!$B:$B,{"Trialer","none"},Accounts!$C:$C,"Lost",Accounts!$E:$E,"QBO"))</f>
        <v/>
      </c>
      <c r="BD20" s="58">
        <f>SUMPRODUCT(SUMIFS(Accounts!$AA:$AA,Accounts!$B:$B,{"Trialer","none"},Accounts!$C:$C,"Lost",Accounts!$E:$E,"QBO") + SUMIFS(Accounts!$AH:$AH,Accounts!$B:$B,{"Trialer","none"},Accounts!$C:$C,"Lost",Accounts!$E:$E,"QBO") + SUMIFS(Accounts!$AJ:$AJ,Accounts!$B:$B,{"Trialer","none"},Accounts!$C:$C,"Lost",Accounts!$E:$E,"QBO") + SUMIFS(Accounts!$AI:$AI,Accounts!$B:$B,{"Trialer","none"},Accounts!$C:$C,"Lost",Accounts!$E:$E,"QBO") + SUMIFS(Accounts!$AO:$AO,Accounts!$B:$B,{"Trialer","none"},Accounts!$C:$C,"Lost",Accounts!$E:$E,"QBO"))</f>
        <v/>
      </c>
      <c r="BE20" s="58">
        <f>SUMPRODUCT((SUMIFS(Accounts!$AC:$AC,Accounts!$B:$B,{"Trialer","none"},Accounts!$C:$C,"Lost",Accounts!$E:$E,"QBO")+SUMIFS(Accounts!$AF:$AF,Accounts!$B:$B,{"Trialer","none"},Accounts!$C:$C,"Lost",Accounts!$E:$E,"QBO")+SUMIFS(Accounts!$AK:$AK,Accounts!$B:$B,{"Trialer","none"},Accounts!$C:$C,"Lost",Accounts!$E:$E,"QBO")))</f>
        <v/>
      </c>
      <c r="BF20" s="58">
        <f>SUMPRODUCT(SUMIFS(Accounts!$AB:$AB,Accounts!$B:$B,{"Trialer","none"},Accounts!$C:$C,"Lost",Accounts!$E:$E,"QBO"))</f>
        <v/>
      </c>
      <c r="BG20" s="58">
        <f>SUMPRODUCT(SUMIFS(Accounts!$AD:$AD,Accounts!$B:$B,{"Trialer","none"},Accounts!$C:$C,"Lost",Accounts!$E:$E,"QBO")+SUMIFS(Accounts!$AM:$AM,Accounts!$B:$B,{"Trialer","none"},Accounts!$C:$C,"Lost",Accounts!$E:$E,"QBO")+SUMIFS(Accounts!$AN:$AN,Accounts!$B:$B,{"Trialer","none"},Accounts!$C:$C,"Lost",Accounts!$E:$E,"QBO"))</f>
        <v/>
      </c>
      <c r="BH20" s="58">
        <f>SUMPRODUCT(SUMIFS(Accounts!$AE:$AE,Accounts!$B:$B,{"Trialer","none"},Accounts!$C:$C,"Lost",Accounts!$E:$E,"QBO")+SUMIFS(Accounts!$AP:$AP,Accounts!$B:$B,{"Trialer","none"},Accounts!$C:$C,"Lost",Accounts!$E:$E,"QBO")+SUMIFS(Accounts!$Z:$Z,Accounts!$B:$B,{"Trialer","none"},Accounts!$C:$C,"Lost",Accounts!$E:$E,"QBO")+SUMIFS(Accounts!$AG:$AG,Accounts!$B:$B,{"Trialer","none"},Accounts!$C:$C,"Lost",Accounts!$E:$E,"QBO")+SUMIFS(Accounts!$AL:$AL,Accounts!$B:$B,{"Trialer","none"},Accounts!$C:$C,"Lost",Accounts!$E:$E,"QBO"))</f>
        <v/>
      </c>
      <c r="BI20" s="58">
        <f>SUMPRODUCT(SUMIFS(Accounts!$AE:$AE,Accounts!$B:$B,{"Trialer","none"},Accounts!$C:$C,"Lost",Accounts!$E:$E,"QBO")+SUMIFS(Accounts!$AP:$AP,Accounts!$B:$B,{"Trialer","none"},Accounts!$C:$C,"Lost",Accounts!$E:$E,"QBO"))</f>
        <v/>
      </c>
      <c r="BJ20" s="58">
        <f>SUMPRODUCT(SUMIFS(Accounts!$Z:$Z,Accounts!$B:$B,{"Trialer","none"},Accounts!$C:$C,"Lost",Accounts!$E:$E,"QBO"))</f>
        <v/>
      </c>
      <c r="BK20" s="58">
        <f>SUMPRODUCT(SUMIFS(Accounts!$AG:$AG,Accounts!$B:$B,{"Trialer","none"},Accounts!$C:$C,"Lost",Accounts!$E:$E,"QBO")+SUMIFS(Accounts!$AL:$AL,Accounts!$B:$B,{"Trialer","none"},Accounts!$C:$C,"Lost",Accounts!$E:$E,"QBO"))</f>
        <v/>
      </c>
      <c r="BL20" s="58">
        <f>SUMPRODUCT(SUMIFS(Accounts!$AQ:$AQ,Accounts!$B:$B,{"Trialer","none"},Accounts!$C:$C,"Lost",Accounts!$E:$E,"QBO"))</f>
        <v/>
      </c>
      <c r="CU20" s="53" t="inlineStr">
        <is>
          <t>QBDT</t>
        </is>
      </c>
      <c r="CV20" s="43" t="inlineStr">
        <is>
          <t>Customer Life Time (Months)</t>
        </is>
      </c>
      <c r="CW20" s="44">
        <f>IF(CW$4=0,120,1/CW$4)</f>
        <v/>
      </c>
      <c r="DI20" s="39" t="n"/>
      <c r="DJ20" s="39" t="n"/>
      <c r="DK20" s="39" t="n"/>
      <c r="DL20" s="39" t="n"/>
      <c r="DM20" s="39" t="n"/>
      <c r="DN20" s="39" t="n"/>
      <c r="DO20" s="39" t="n"/>
      <c r="DP20" s="39" t="n"/>
      <c r="DQ20" s="38" t="n"/>
      <c r="DR20" s="38" t="n"/>
      <c r="DV20" s="49" t="n"/>
      <c r="DW20" s="53" t="inlineStr">
        <is>
          <t>QBDT</t>
        </is>
      </c>
      <c r="DX20" s="43" t="inlineStr">
        <is>
          <t>Customer Life Time (Months)</t>
        </is>
      </c>
      <c r="DY20" s="44">
        <f>IF(DY$4=0,120,1/DY$4)</f>
        <v/>
      </c>
      <c r="EK20" s="39" t="n"/>
      <c r="EL20" s="39" t="n"/>
      <c r="EM20" s="39" t="n"/>
      <c r="EN20" s="39" t="n"/>
      <c r="EO20" s="39" t="n"/>
      <c r="EP20" s="39" t="n"/>
      <c r="EQ20" s="39" t="n"/>
      <c r="ER20" s="39" t="n"/>
      <c r="ES20" s="38" t="n"/>
      <c r="ET20" s="38" t="n"/>
      <c r="EX20" s="49" t="n"/>
      <c r="EY20" s="53" t="inlineStr">
        <is>
          <t>QBDT</t>
        </is>
      </c>
      <c r="EZ20" s="43" t="inlineStr">
        <is>
          <t>Customer Life Time (Months)</t>
        </is>
      </c>
      <c r="FA20" s="44">
        <f>IF(FA$4=0,120,1/FA$4)</f>
        <v/>
      </c>
      <c r="FM20" s="39" t="n"/>
      <c r="FN20" s="39" t="n"/>
      <c r="FO20" s="39" t="n"/>
      <c r="FP20" s="39" t="n"/>
      <c r="FQ20" s="39" t="n"/>
      <c r="FR20" s="39" t="n"/>
      <c r="FS20" s="39" t="n"/>
      <c r="FT20" s="39" t="n"/>
      <c r="FU20" s="38" t="n"/>
      <c r="FV20" s="38" t="n"/>
      <c r="FZ20" s="49" t="n"/>
      <c r="GA20" s="53" t="inlineStr">
        <is>
          <t>QBDT</t>
        </is>
      </c>
      <c r="GB20" s="43" t="inlineStr">
        <is>
          <t>Customer Life Time (Months)</t>
        </is>
      </c>
      <c r="GC20" s="44">
        <f>IF(GC$4=0,120,1/GC$4)</f>
        <v/>
      </c>
      <c r="GO20" s="39" t="n"/>
      <c r="GP20" s="39" t="n"/>
      <c r="GQ20" s="39" t="n"/>
      <c r="GR20" s="39" t="n"/>
      <c r="GS20" s="39" t="n"/>
      <c r="GT20" s="39" t="n"/>
      <c r="GU20" s="39" t="n"/>
      <c r="GV20" s="39" t="n"/>
      <c r="GW20" s="38" t="n"/>
      <c r="GX20" s="38" t="n"/>
      <c r="HB20" s="49" t="n"/>
      <c r="HC20" s="53" t="inlineStr">
        <is>
          <t>QBDT</t>
        </is>
      </c>
      <c r="HD20" s="43" t="inlineStr">
        <is>
          <t>Customer Life Time (Months)</t>
        </is>
      </c>
      <c r="HE20" s="44">
        <f>IF(HE$4=0,120,1/HE$4)</f>
        <v/>
      </c>
      <c r="HQ20" s="39" t="n"/>
      <c r="HR20" s="39" t="n"/>
      <c r="HS20" s="39" t="n"/>
      <c r="HT20" s="39" t="n"/>
      <c r="HU20" s="39" t="n"/>
      <c r="HV20" s="39" t="n"/>
      <c r="HW20" s="39" t="n"/>
      <c r="HX20" s="39" t="n"/>
      <c r="HY20" s="38" t="n"/>
      <c r="HZ20" s="38" t="n"/>
      <c r="ID20" s="49" t="n"/>
      <c r="IE20" s="53" t="inlineStr">
        <is>
          <t>QBDT</t>
        </is>
      </c>
      <c r="IF20" s="43" t="inlineStr">
        <is>
          <t>Customer Life Time (Months)</t>
        </is>
      </c>
      <c r="IG20" s="44">
        <f>IF(IG$4=0,120,1/IG$4)</f>
        <v/>
      </c>
      <c r="IS20" s="39" t="n"/>
      <c r="IT20" s="39" t="n"/>
      <c r="IU20" s="39" t="n"/>
      <c r="IV20" s="39" t="n"/>
      <c r="IW20" s="39" t="n"/>
      <c r="IX20" s="39" t="n"/>
      <c r="IY20" s="39" t="n"/>
      <c r="IZ20" s="39" t="n"/>
      <c r="JA20" s="38" t="n"/>
      <c r="JB20" s="38" t="n"/>
      <c r="JF20" s="49" t="n"/>
      <c r="JG20" s="53" t="inlineStr">
        <is>
          <t>QBDT</t>
        </is>
      </c>
      <c r="JH20" s="43" t="inlineStr">
        <is>
          <t>Customer Life Time (Months)</t>
        </is>
      </c>
      <c r="JI20" s="44">
        <f>IF(JI$4=0,120,1/JI$4)</f>
        <v/>
      </c>
      <c r="JU20" s="39" t="n"/>
      <c r="JV20" s="39" t="n"/>
      <c r="JW20" s="39" t="n"/>
      <c r="JX20" s="39" t="n"/>
      <c r="JY20" s="39" t="n"/>
      <c r="JZ20" s="39" t="n"/>
      <c r="KA20" s="39" t="n"/>
      <c r="KB20" s="39" t="n"/>
      <c r="KC20" s="38" t="n"/>
      <c r="KD20" s="38" t="n"/>
      <c r="KH20" s="49" t="n"/>
      <c r="KI20" s="53" t="inlineStr">
        <is>
          <t>QBDT</t>
        </is>
      </c>
      <c r="KJ20" s="43" t="inlineStr">
        <is>
          <t>Customer Life Time (Months)</t>
        </is>
      </c>
      <c r="KK20" s="44">
        <f>IF(KK$4=0,120,1/KK$4)</f>
        <v/>
      </c>
      <c r="KW20" s="39" t="n"/>
      <c r="KX20" s="39" t="n"/>
      <c r="KY20" s="39" t="n"/>
      <c r="KZ20" s="39" t="n"/>
      <c r="LA20" s="39" t="n"/>
      <c r="LB20" s="39" t="n"/>
      <c r="LC20" s="39" t="n"/>
      <c r="LD20" s="39" t="n"/>
      <c r="LE20" s="38" t="n"/>
      <c r="LF20" s="38" t="n"/>
      <c r="LJ20" s="49" t="n"/>
      <c r="LK20" s="53" t="inlineStr">
        <is>
          <t>QBDT</t>
        </is>
      </c>
      <c r="LL20" s="43" t="inlineStr">
        <is>
          <t>Customer Life Time (Months)</t>
        </is>
      </c>
      <c r="LM20" s="44">
        <f>IF(LM$4=0,120,1/LM$4)</f>
        <v/>
      </c>
      <c r="LY20" s="39" t="n"/>
      <c r="LZ20" s="39" t="n"/>
      <c r="MA20" s="39" t="n"/>
      <c r="MB20" s="39" t="n"/>
      <c r="MC20" s="39" t="n"/>
      <c r="MD20" s="39" t="n"/>
      <c r="ME20" s="39" t="n"/>
      <c r="MF20" s="39" t="n"/>
      <c r="MG20" s="38" t="n"/>
      <c r="MH20" s="38" t="n"/>
      <c r="ML20" s="49" t="n"/>
      <c r="MM20" s="53" t="inlineStr">
        <is>
          <t>QBDT</t>
        </is>
      </c>
      <c r="MN20" s="43" t="inlineStr">
        <is>
          <t>Customer Life Time (Months)</t>
        </is>
      </c>
      <c r="MO20" s="44">
        <f>IF(MO$4=0,120,1/MO$4)</f>
        <v/>
      </c>
      <c r="NA20" s="39" t="n"/>
      <c r="NB20" s="39" t="n"/>
      <c r="NC20" s="39" t="n"/>
      <c r="ND20" s="39" t="n"/>
      <c r="NE20" s="39" t="n"/>
      <c r="NF20" s="39" t="n"/>
      <c r="NG20" s="39" t="n"/>
      <c r="NH20" s="39" t="n"/>
      <c r="NI20" s="38" t="n"/>
      <c r="NJ20" s="38" t="n"/>
      <c r="NN20" s="49" t="n"/>
      <c r="NO20" s="53" t="inlineStr">
        <is>
          <t>QBDT</t>
        </is>
      </c>
      <c r="NP20" s="43" t="inlineStr">
        <is>
          <t>Customer Life Time (Months)</t>
        </is>
      </c>
      <c r="NQ20" s="44">
        <f>IF(NQ$4=0,120,1/NQ$4)</f>
        <v/>
      </c>
      <c r="OC20" s="39" t="n"/>
      <c r="OD20" s="39" t="n"/>
      <c r="OE20" s="39" t="n"/>
      <c r="OF20" s="39" t="n"/>
      <c r="OG20" s="39" t="n"/>
      <c r="OH20" s="39" t="n"/>
      <c r="OI20" s="39" t="n"/>
      <c r="OJ20" s="39" t="n"/>
      <c r="OK20" s="38" t="n"/>
      <c r="OL20" s="38" t="n"/>
      <c r="OP20" s="49" t="n"/>
      <c r="OQ20" s="53" t="inlineStr">
        <is>
          <t>QBDT</t>
        </is>
      </c>
      <c r="OR20" s="43" t="inlineStr">
        <is>
          <t>Customer Life Time (Months)</t>
        </is>
      </c>
      <c r="OS20" s="44">
        <f>IF(OS$4=0,120,1/OS$4)</f>
        <v/>
      </c>
      <c r="PE20" s="39" t="n"/>
      <c r="PF20" s="39" t="n"/>
      <c r="PG20" s="39" t="n"/>
      <c r="PH20" s="39" t="n"/>
      <c r="PI20" s="39" t="n"/>
      <c r="PJ20" s="39" t="n"/>
      <c r="PK20" s="39" t="n"/>
      <c r="PL20" s="39" t="n"/>
      <c r="PM20" s="38" t="n"/>
      <c r="PN20" s="38" t="n"/>
      <c r="PR20" s="49" t="n"/>
      <c r="PS20" s="49" t="n"/>
      <c r="PT20" s="57" t="n"/>
    </row>
    <row r="21" ht="16" customFormat="1" customHeight="1" s="31">
      <c r="C21" s="36" t="n"/>
      <c r="F21" s="79" t="n"/>
      <c r="AZ21" s="40" t="n"/>
      <c r="BA21" s="40" t="n"/>
      <c r="BB21" s="40" t="n"/>
      <c r="BC21" s="44" t="n"/>
      <c r="BD21" s="44" t="n"/>
      <c r="BE21" s="44" t="n"/>
      <c r="BF21" s="44" t="n"/>
      <c r="BG21" s="44" t="n"/>
      <c r="BH21" s="44" t="n"/>
      <c r="BI21" s="44" t="n"/>
      <c r="BJ21" s="44" t="n"/>
      <c r="BK21" s="44" t="n"/>
      <c r="BL21" s="44" t="n"/>
      <c r="CU21" s="53" t="inlineStr">
        <is>
          <t>QBDT</t>
        </is>
      </c>
      <c r="CV21" s="43" t="inlineStr">
        <is>
          <t>Accounts BOM</t>
        </is>
      </c>
      <c r="CW21" s="44">
        <f>COUNTIFS(Accounts!$AS:$AS, "Manufacturing (MWD)",Accounts!$B:$B,"Customer",Accounts!$E:$E,"QBDT")</f>
        <v/>
      </c>
      <c r="DI21" s="38" t="n"/>
      <c r="DJ21" s="38" t="n"/>
      <c r="DK21" s="38" t="n"/>
      <c r="DL21" s="38" t="n"/>
      <c r="DM21" s="38" t="n"/>
      <c r="DN21" s="38" t="n"/>
      <c r="DO21" s="38" t="n"/>
      <c r="DP21" s="38" t="n"/>
      <c r="DQ21" s="38" t="n"/>
      <c r="DR21" s="38" t="n"/>
      <c r="DV21" s="49" t="n"/>
      <c r="DW21" s="53" t="inlineStr">
        <is>
          <t>QBDT</t>
        </is>
      </c>
      <c r="DX21" s="43" t="inlineStr">
        <is>
          <t>Accounts BOM</t>
        </is>
      </c>
      <c r="DY21" s="44">
        <f>COUNTIFS(Accounts!$AS:$AS, "Wholesale and distribution services (MWD)",Accounts!$B:$B,"Customer",Accounts!$E:$E,"QBDT")</f>
        <v/>
      </c>
      <c r="EK21" s="38" t="n"/>
      <c r="EL21" s="38" t="n"/>
      <c r="EM21" s="38" t="n"/>
      <c r="EN21" s="38" t="n"/>
      <c r="EO21" s="38" t="n"/>
      <c r="EP21" s="38" t="n"/>
      <c r="EQ21" s="38" t="n"/>
      <c r="ER21" s="38" t="n"/>
      <c r="ES21" s="38" t="n"/>
      <c r="ET21" s="38" t="n"/>
      <c r="EX21" s="49" t="n"/>
      <c r="EY21" s="53" t="inlineStr">
        <is>
          <t>QBDT</t>
        </is>
      </c>
      <c r="EZ21" s="43" t="inlineStr">
        <is>
          <t>Accounts BOM</t>
        </is>
      </c>
      <c r="FA21" s="44">
        <f>COUNTIFS(Accounts!$AS:$AS, "Construction",Accounts!$B:$B,"Customer",Accounts!$E:$E,"QBDT")</f>
        <v/>
      </c>
      <c r="FM21" s="38" t="n"/>
      <c r="FN21" s="38" t="n"/>
      <c r="FO21" s="38" t="n"/>
      <c r="FP21" s="38" t="n"/>
      <c r="FQ21" s="38" t="n"/>
      <c r="FR21" s="38" t="n"/>
      <c r="FS21" s="38" t="n"/>
      <c r="FT21" s="38" t="n"/>
      <c r="FU21" s="38" t="n"/>
      <c r="FV21" s="38" t="n"/>
      <c r="FZ21" s="49" t="n"/>
      <c r="GA21" s="53" t="inlineStr">
        <is>
          <t>QBDT</t>
        </is>
      </c>
      <c r="GB21" s="43" t="inlineStr">
        <is>
          <t>Accounts BOM</t>
        </is>
      </c>
      <c r="GC21" s="44">
        <f>COUNTIFS(Accounts!$AS:$AS, "Field Services",Accounts!$B:$B,"Customer",Accounts!$E:$E,"QBDT")</f>
        <v/>
      </c>
      <c r="GO21" s="38" t="n"/>
      <c r="GP21" s="38" t="n"/>
      <c r="GQ21" s="38" t="n"/>
      <c r="GR21" s="38" t="n"/>
      <c r="GS21" s="38" t="n"/>
      <c r="GT21" s="38" t="n"/>
      <c r="GU21" s="38" t="n"/>
      <c r="GV21" s="38" t="n"/>
      <c r="GW21" s="38" t="n"/>
      <c r="GX21" s="38" t="n"/>
      <c r="HB21" s="49" t="n"/>
      <c r="HC21" s="53" t="inlineStr">
        <is>
          <t>QBDT</t>
        </is>
      </c>
      <c r="HD21" s="43" t="inlineStr">
        <is>
          <t>Accounts BOM</t>
        </is>
      </c>
      <c r="HE21" s="44">
        <f>COUNTIFS(Accounts!$AS:$AS, "Consulting and Professional Services",Accounts!$B:$B,"Customer",Accounts!$E:$E,"QBDT")</f>
        <v/>
      </c>
      <c r="HQ21" s="38" t="n"/>
      <c r="HR21" s="38" t="n"/>
      <c r="HS21" s="38" t="n"/>
      <c r="HT21" s="38" t="n"/>
      <c r="HU21" s="38" t="n"/>
      <c r="HV21" s="38" t="n"/>
      <c r="HW21" s="38" t="n"/>
      <c r="HX21" s="38" t="n"/>
      <c r="HY21" s="38" t="n"/>
      <c r="HZ21" s="38" t="n"/>
      <c r="ID21" s="49" t="n"/>
      <c r="IE21" s="53" t="inlineStr">
        <is>
          <t>QBDT</t>
        </is>
      </c>
      <c r="IF21" s="43" t="inlineStr">
        <is>
          <t>Accounts BOM</t>
        </is>
      </c>
      <c r="IG21" s="44">
        <f>COUNTIFS(Accounts!$AS:$AS, "Retail",Accounts!$B:$B,"Customer",Accounts!$E:$E,"QBDT")</f>
        <v/>
      </c>
      <c r="IS21" s="38" t="n"/>
      <c r="IT21" s="38" t="n"/>
      <c r="IU21" s="38" t="n"/>
      <c r="IV21" s="38" t="n"/>
      <c r="IW21" s="38" t="n"/>
      <c r="IX21" s="38" t="n"/>
      <c r="IY21" s="38" t="n"/>
      <c r="IZ21" s="38" t="n"/>
      <c r="JA21" s="38" t="n"/>
      <c r="JB21" s="38" t="n"/>
      <c r="JF21" s="49" t="n"/>
      <c r="JG21" s="53" t="inlineStr">
        <is>
          <t>QBDT</t>
        </is>
      </c>
      <c r="JH21" s="43" t="inlineStr">
        <is>
          <t>Accounts BOM</t>
        </is>
      </c>
      <c r="JI21" s="44">
        <f>COUNTIFS(Accounts!$AS:$AS, "Non-profit, govt or religious organization",Accounts!$B:$B,"Customer",Accounts!$E:$E,"QBDT")</f>
        <v/>
      </c>
      <c r="JU21" s="38" t="n"/>
      <c r="JV21" s="38" t="n"/>
      <c r="JW21" s="38" t="n"/>
      <c r="JX21" s="38" t="n"/>
      <c r="JY21" s="38" t="n"/>
      <c r="JZ21" s="38" t="n"/>
      <c r="KA21" s="38" t="n"/>
      <c r="KB21" s="38" t="n"/>
      <c r="KC21" s="38" t="n"/>
      <c r="KD21" s="38" t="n"/>
      <c r="KH21" s="49" t="n"/>
      <c r="KI21" s="53" t="inlineStr">
        <is>
          <t>QBDT</t>
        </is>
      </c>
      <c r="KJ21" s="43" t="inlineStr">
        <is>
          <t>Accounts BOM</t>
        </is>
      </c>
      <c r="KK21" s="44">
        <f>COUNTIFS(Accounts!$AS:$AS, "Communications, Entertainment and Media",Accounts!$B:$B,"Customer",Accounts!$E:$E,"QBDT")</f>
        <v/>
      </c>
      <c r="KW21" s="38" t="n"/>
      <c r="KX21" s="38" t="n"/>
      <c r="KY21" s="38" t="n"/>
      <c r="KZ21" s="38" t="n"/>
      <c r="LA21" s="38" t="n"/>
      <c r="LB21" s="38" t="n"/>
      <c r="LC21" s="38" t="n"/>
      <c r="LD21" s="38" t="n"/>
      <c r="LE21" s="38" t="n"/>
      <c r="LF21" s="38" t="n"/>
      <c r="LJ21" s="49" t="n"/>
      <c r="LK21" s="53" t="inlineStr">
        <is>
          <t>QBDT</t>
        </is>
      </c>
      <c r="LL21" s="43" t="inlineStr">
        <is>
          <t>Accounts BOM</t>
        </is>
      </c>
      <c r="LM21" s="44">
        <f>COUNTIFS(Accounts!$AS:$AS, "IT and computer related",Accounts!$B:$B,"Customer",Accounts!$E:$E,"QBDT")</f>
        <v/>
      </c>
      <c r="LY21" s="38" t="n"/>
      <c r="LZ21" s="38" t="n"/>
      <c r="MA21" s="38" t="n"/>
      <c r="MB21" s="38" t="n"/>
      <c r="MC21" s="38" t="n"/>
      <c r="MD21" s="38" t="n"/>
      <c r="ME21" s="38" t="n"/>
      <c r="MF21" s="38" t="n"/>
      <c r="MG21" s="38" t="n"/>
      <c r="MH21" s="38" t="n"/>
      <c r="ML21" s="49" t="n"/>
      <c r="MM21" s="53" t="inlineStr">
        <is>
          <t>QBDT</t>
        </is>
      </c>
      <c r="MN21" s="43" t="inlineStr">
        <is>
          <t>Accounts BOM</t>
        </is>
      </c>
      <c r="MO21" s="44">
        <f>COUNTIFS(Accounts!$AS:$AS, {"General service based","General"},Accounts!$B:$B,"Customer",Accounts!$E:$E,"QBDT")</f>
        <v/>
      </c>
      <c r="NA21" s="38" t="n"/>
      <c r="NB21" s="38" t="n"/>
      <c r="NC21" s="38" t="n"/>
      <c r="ND21" s="38" t="n"/>
      <c r="NE21" s="38" t="n"/>
      <c r="NF21" s="38" t="n"/>
      <c r="NG21" s="38" t="n"/>
      <c r="NH21" s="38" t="n"/>
      <c r="NI21" s="38" t="n"/>
      <c r="NJ21" s="38" t="n"/>
      <c r="NN21" s="49" t="n"/>
      <c r="NO21" s="53" t="inlineStr">
        <is>
          <t>QBDT</t>
        </is>
      </c>
      <c r="NP21" s="43" t="inlineStr">
        <is>
          <t>Accounts BOM</t>
        </is>
      </c>
      <c r="NQ21" s="44">
        <f>COUNTIFS(Accounts!$AS:$AS, "Other",Accounts!$B:$B,"Customer",Accounts!$E:$E,"QBDT")</f>
        <v/>
      </c>
      <c r="OC21" s="38" t="n"/>
      <c r="OD21" s="38" t="n"/>
      <c r="OE21" s="38" t="n"/>
      <c r="OF21" s="38" t="n"/>
      <c r="OG21" s="38" t="n"/>
      <c r="OH21" s="38" t="n"/>
      <c r="OI21" s="38" t="n"/>
      <c r="OJ21" s="38" t="n"/>
      <c r="OK21" s="38" t="n"/>
      <c r="OL21" s="38" t="n"/>
      <c r="OP21" s="49" t="n"/>
      <c r="OQ21" s="53" t="inlineStr">
        <is>
          <t>QBDT</t>
        </is>
      </c>
      <c r="OR21" s="43" t="inlineStr">
        <is>
          <t>Accounts BOM</t>
        </is>
      </c>
      <c r="OS21" s="44">
        <f>COUNTIFS(Accounts!$AS:$AS, "Accounting and Bookkeeping",Accounts!$B:$B,"Customer",Accounts!$E:$E,"QBDT")</f>
        <v/>
      </c>
      <c r="PE21" s="38" t="n"/>
      <c r="PF21" s="38" t="n"/>
      <c r="PG21" s="38" t="n"/>
      <c r="PH21" s="38" t="n"/>
      <c r="PI21" s="38" t="n"/>
      <c r="PJ21" s="38" t="n"/>
      <c r="PK21" s="38" t="n"/>
      <c r="PL21" s="38" t="n"/>
      <c r="PM21" s="38" t="n"/>
      <c r="PN21" s="38" t="n"/>
      <c r="PR21" s="49" t="n"/>
      <c r="PS21" s="49" t="n"/>
      <c r="PT21" s="57" t="n"/>
    </row>
    <row r="22" ht="16" customFormat="1" customHeight="1" s="31">
      <c r="B22" s="39" t="n"/>
      <c r="C22" s="33" t="n"/>
      <c r="AZ22" s="53" t="inlineStr">
        <is>
          <t>QBDT</t>
        </is>
      </c>
      <c r="BA22" s="43" t="inlineStr">
        <is>
          <t>Customer Life Time (Months)</t>
        </is>
      </c>
      <c r="BB22" s="40" t="n"/>
      <c r="BC22" s="44">
        <f>IF($BC$4&lt;0.005,120,1/$BC$4)</f>
        <v/>
      </c>
      <c r="BD22" s="44">
        <f>IF($BD$4&lt;0.005,120,1/$BD$4)</f>
        <v/>
      </c>
      <c r="BE22" s="44">
        <f>IF($BE$4&lt;0.005,120,1/$BE$4)</f>
        <v/>
      </c>
      <c r="BF22" s="44">
        <f>IF($BF$4&lt;0.005,120,1/$BF$4)</f>
        <v/>
      </c>
      <c r="BG22" s="44">
        <f>IF($BG$4&lt;0.005,120,1/$BG$4)</f>
        <v/>
      </c>
      <c r="BH22" s="44">
        <f>IF($BH$4&lt;0.005,120,1/$BH$4)</f>
        <v/>
      </c>
      <c r="BI22" s="44">
        <f>IF($BI$4&lt;0.005,120,1/$BI$4)</f>
        <v/>
      </c>
      <c r="BJ22" s="44">
        <f>IF($BJ$4&lt;0.005,120,1/$BJ$4)</f>
        <v/>
      </c>
      <c r="BK22" s="44">
        <f>IF($BK$4&lt;0.005,120,1/$BK$4)</f>
        <v/>
      </c>
      <c r="BL22" s="44">
        <f>IF($BL$4&lt;0.005,120,1/$BL$4)</f>
        <v/>
      </c>
      <c r="CU22" s="53" t="inlineStr">
        <is>
          <t>QBDT</t>
        </is>
      </c>
      <c r="CV22" s="43" t="inlineStr">
        <is>
          <t>Lost Accounts</t>
        </is>
      </c>
      <c r="CW22" s="44">
        <f>COUNTIFS(Accounts!$AS:$AS, "Manufacturing (MWD)",Accounts!$B:$B,"Customer",Accounts!$C:$C,"Lost",Accounts!$E:$E,"QBDT")</f>
        <v/>
      </c>
      <c r="DV22" s="49" t="n"/>
      <c r="DW22" s="53" t="inlineStr">
        <is>
          <t>QBDT</t>
        </is>
      </c>
      <c r="DX22" s="43" t="inlineStr">
        <is>
          <t>Lost Accounts</t>
        </is>
      </c>
      <c r="DY22" s="44">
        <f>COUNTIFS(Accounts!$AS:$AS, "Wholesale and distribution services (MWD)",Accounts!$B:$B,"Customer",Accounts!$C:$C,"Lost",Accounts!$E:$E,"QBDT")</f>
        <v/>
      </c>
      <c r="EX22" s="49" t="n"/>
      <c r="EY22" s="53" t="inlineStr">
        <is>
          <t>QBDT</t>
        </is>
      </c>
      <c r="EZ22" s="43" t="inlineStr">
        <is>
          <t>Lost Accounts</t>
        </is>
      </c>
      <c r="FA22" s="44">
        <f>COUNTIFS(Accounts!$AS:$AS, "Construction",Accounts!$B:$B,"Customer",Accounts!$C:$C,"Lost",Accounts!$E:$E,"QBDT")</f>
        <v/>
      </c>
      <c r="FZ22" s="49" t="n"/>
      <c r="GA22" s="53" t="inlineStr">
        <is>
          <t>QBDT</t>
        </is>
      </c>
      <c r="GB22" s="43" t="inlineStr">
        <is>
          <t>Lost Accounts</t>
        </is>
      </c>
      <c r="GC22" s="44">
        <f>COUNTIFS(Accounts!$AS:$AS, "Field Services",Accounts!$B:$B,"Customer",Accounts!$C:$C,"Lost",Accounts!$E:$E,"QBDT")</f>
        <v/>
      </c>
      <c r="HB22" s="49" t="n"/>
      <c r="HC22" s="53" t="inlineStr">
        <is>
          <t>QBDT</t>
        </is>
      </c>
      <c r="HD22" s="43" t="inlineStr">
        <is>
          <t>Lost Accounts</t>
        </is>
      </c>
      <c r="HE22" s="44">
        <f>COUNTIFS(Accounts!$AS:$AS, "Consulting and Professional Services",Accounts!$B:$B,"Customer",Accounts!$C:$C,"Lost",Accounts!$E:$E,"QBDT")</f>
        <v/>
      </c>
      <c r="ID22" s="49" t="n"/>
      <c r="IE22" s="53" t="inlineStr">
        <is>
          <t>QBDT</t>
        </is>
      </c>
      <c r="IF22" s="43" t="inlineStr">
        <is>
          <t>Lost Accounts</t>
        </is>
      </c>
      <c r="IG22" s="44">
        <f>COUNTIFS(Accounts!$AS:$AS, "Retail",Accounts!$B:$B,"Customer",Accounts!$C:$C,"Lost",Accounts!$E:$E,"QBDT")</f>
        <v/>
      </c>
      <c r="JF22" s="49" t="n"/>
      <c r="JG22" s="53" t="inlineStr">
        <is>
          <t>QBDT</t>
        </is>
      </c>
      <c r="JH22" s="43" t="inlineStr">
        <is>
          <t>Lost Accounts</t>
        </is>
      </c>
      <c r="JI22" s="44">
        <f>COUNTIFS(Accounts!$AS:$AS, "Non-profit, govt or religious organization",Accounts!$B:$B,"Customer",Accounts!$C:$C,"Lost",Accounts!$E:$E,"QBDT")</f>
        <v/>
      </c>
      <c r="KH22" s="49" t="n"/>
      <c r="KI22" s="53" t="inlineStr">
        <is>
          <t>QBDT</t>
        </is>
      </c>
      <c r="KJ22" s="43" t="inlineStr">
        <is>
          <t>Lost Accounts</t>
        </is>
      </c>
      <c r="KK22" s="44">
        <f>COUNTIFS(Accounts!$AS:$AS, "Communications, Entertainment and Media",Accounts!$B:$B,"Customer",Accounts!$C:$C,"Lost",Accounts!$E:$E,"QBDT")</f>
        <v/>
      </c>
      <c r="LJ22" s="49" t="n"/>
      <c r="LK22" s="53" t="inlineStr">
        <is>
          <t>QBDT</t>
        </is>
      </c>
      <c r="LL22" s="43" t="inlineStr">
        <is>
          <t>Lost Accounts</t>
        </is>
      </c>
      <c r="LM22" s="44">
        <f>COUNTIFS(Accounts!$AS:$AS, "IT and computer related",Accounts!$B:$B,"Customer",Accounts!$C:$C,"Lost",Accounts!$E:$E,"QBDT")</f>
        <v/>
      </c>
      <c r="ML22" s="49" t="n"/>
      <c r="MM22" s="53" t="inlineStr">
        <is>
          <t>QBDT</t>
        </is>
      </c>
      <c r="MN22" s="43" t="inlineStr">
        <is>
          <t>Lost Accounts</t>
        </is>
      </c>
      <c r="MO22" s="44">
        <f>COUNTIFS(Accounts!$AS:$AS, {"General service based","General"},Accounts!$B:$B,"Customer",Accounts!$C:$C,"Lost",Accounts!$E:$E,"QBDT")</f>
        <v/>
      </c>
      <c r="NN22" s="49" t="n"/>
      <c r="NO22" s="53" t="inlineStr">
        <is>
          <t>QBDT</t>
        </is>
      </c>
      <c r="NP22" s="43" t="inlineStr">
        <is>
          <t>Lost Accounts</t>
        </is>
      </c>
      <c r="NQ22" s="44">
        <f>COUNTIFS(Accounts!$AS:$AS, "Other",Accounts!$B:$B,"Customer",Accounts!$C:$C,"Lost",Accounts!$E:$E,"QBDT")</f>
        <v/>
      </c>
      <c r="OP22" s="49" t="n"/>
      <c r="OQ22" s="53" t="inlineStr">
        <is>
          <t>QBDT</t>
        </is>
      </c>
      <c r="OR22" s="43" t="inlineStr">
        <is>
          <t>Lost Accounts</t>
        </is>
      </c>
      <c r="OS22" s="44">
        <f>COUNTIFS(Accounts!$AS:$AS, "Accounting and Bookkeeping",Accounts!$B:$B,"Customer",Accounts!$C:$C,"Lost",Accounts!$E:$E,"QBDT")</f>
        <v/>
      </c>
      <c r="PR22" s="49" t="n"/>
      <c r="PS22" s="49" t="n"/>
      <c r="PT22" s="57" t="n"/>
    </row>
    <row r="23" ht="16" customFormat="1" customHeight="1" s="31">
      <c r="B23" s="39" t="n"/>
      <c r="C23" s="33" t="n"/>
      <c r="AZ23" s="53" t="inlineStr">
        <is>
          <t>QBDT</t>
        </is>
      </c>
      <c r="BA23" s="43" t="inlineStr">
        <is>
          <t>Accounts BOM</t>
        </is>
      </c>
      <c r="BB23" s="40" t="n"/>
      <c r="BC23" s="44">
        <f>COUNTIFS(Accounts!$B:$B,"Customer",Accounts!$E:$E,"QBDT")</f>
        <v/>
      </c>
      <c r="BD23" s="58">
        <f>SUMIFS(Accounts!$AA:$AA,Accounts!$B:$B,"Customer",Accounts!$E:$E,"QBDT") + SUMIFS(Accounts!$AH:$AH,Accounts!$B:$B,"Customer",Accounts!$E:$E,"QBDT") + SUMIFS(Accounts!$AJ:$AJ,Accounts!$B:$B,"Customer",Accounts!$E:$E,"QBDT") + SUMIFS(Accounts!$AI:$AI,Accounts!$B:$B,"Customer",Accounts!$E:$E,"QBDT") + SUMIFS(Accounts!$AO:$AO,Accounts!$B:$B,"Customer",Accounts!$E:$E,"QBDT")</f>
        <v/>
      </c>
      <c r="BE23" s="58">
        <f>(SUMIFS(Accounts!$AC:$AC,Accounts!$B:$B,"Customer",Accounts!$E:$E,"QBDT")+SUMIFS(Accounts!$AF:$AF,Accounts!$B:$B,"Customer",Accounts!$E:$E,"QBDT")+SUMIFS(Accounts!$AK:$AK,Accounts!$B:$B,"Customer",Accounts!$E:$E,"QBDT"))</f>
        <v/>
      </c>
      <c r="BF23" s="58">
        <f>SUMIFS(Accounts!$AB:$AB,Accounts!$B:$B,"Customer",Accounts!$E:$E,"QBDT")</f>
        <v/>
      </c>
      <c r="BG23" s="58">
        <f>SUMIFS(Accounts!$AD:$AD,Accounts!$B:$B,"Customer",Accounts!$E:$E,"QBDT")+SUMIFS(Accounts!$AM:$AM,Accounts!$B:$B,"Customer",Accounts!$E:$E,"QBDT")+SUMIFS(Accounts!$AN:$AN,Accounts!$B:$B,"Customer",Accounts!$E:$E,"QBDT")</f>
        <v/>
      </c>
      <c r="BH23" s="58">
        <f>SUMIFS(Accounts!$AE:$AE,Accounts!$B:$B,"Customer",Accounts!$E:$E,"QBDT") + SUMIFS(Accounts!$AP:$AP,Accounts!$B:$B,"Customer",Accounts!$E:$E,"QBDT")+SUMIFS(Accounts!$Z:$Z,Accounts!$B:$B,"Customer",Accounts!$E:$E,"QBDT")+SUMIFS(Accounts!$AG:$AG,Accounts!$B:$B,"Customer",Accounts!$E:$E,"QBDT") + SUMIFS(Accounts!$AL:$AL,Accounts!$B:$B,"Customer",Accounts!$E:$E,"QBDT")</f>
        <v/>
      </c>
      <c r="BI23" s="58">
        <f>SUMIFS(Accounts!$AE:$AE,Accounts!$B:$B,"Customer",Accounts!$E:$E,"QBDT") + SUMIFS(Accounts!$AP:$AP,Accounts!$B:$B,"Customer",Accounts!$E:$E,"QBDT")</f>
        <v/>
      </c>
      <c r="BJ23" s="58">
        <f>SUMIFS(Accounts!$Z:$Z,Accounts!$B:$B,"Customer",Accounts!$E:$E,"QBDT")</f>
        <v/>
      </c>
      <c r="BK23" s="58">
        <f>SUMIFS(Accounts!$AG:$AG,Accounts!$B:$B,"Customer",Accounts!$E:$E,"QBDT") + SUMIFS(Accounts!$AL:$AL,Accounts!$B:$B,"Customer",Accounts!$E:$E,"QBDT")</f>
        <v/>
      </c>
      <c r="BL23" s="58">
        <f>SUMIFS(Accounts!$AQ:$AQ,Accounts!$B:$B,"Customer",Accounts!$E:$E,"QBDT")</f>
        <v/>
      </c>
      <c r="CU23" s="53" t="inlineStr">
        <is>
          <t>QBDT</t>
        </is>
      </c>
      <c r="CV23" s="43" t="inlineStr">
        <is>
          <t>Accounts EOM</t>
        </is>
      </c>
      <c r="CW23" s="44">
        <f>COUNTIFS(Accounts!$AS:$AS, "Manufacturing (MWD)",Accounts!$C:$C,"Customer",Accounts!$E:$E,"QBDT")</f>
        <v/>
      </c>
      <c r="DV23" s="49" t="n"/>
      <c r="DW23" s="53" t="inlineStr">
        <is>
          <t>QBDT</t>
        </is>
      </c>
      <c r="DX23" s="43" t="inlineStr">
        <is>
          <t>Accounts EOM</t>
        </is>
      </c>
      <c r="DY23" s="44">
        <f>COUNTIFS(Accounts!$AS:$AS, "Wholesale and distribution services (MWD)",Accounts!$C:$C,"Customer",Accounts!$E:$E,"QBDT")</f>
        <v/>
      </c>
      <c r="EX23" s="49" t="n"/>
      <c r="EY23" s="53" t="inlineStr">
        <is>
          <t>QBDT</t>
        </is>
      </c>
      <c r="EZ23" s="43" t="inlineStr">
        <is>
          <t>Accounts EOM</t>
        </is>
      </c>
      <c r="FA23" s="44">
        <f>COUNTIFS(Accounts!$AS:$AS, "Construction",Accounts!$C:$C,"Customer",Accounts!$E:$E,"QBDT")</f>
        <v/>
      </c>
      <c r="FZ23" s="49" t="n"/>
      <c r="GA23" s="53" t="inlineStr">
        <is>
          <t>QBDT</t>
        </is>
      </c>
      <c r="GB23" s="43" t="inlineStr">
        <is>
          <t>Accounts EOM</t>
        </is>
      </c>
      <c r="GC23" s="44">
        <f>COUNTIFS(Accounts!$AS:$AS, "Field Services",Accounts!$C:$C,"Customer",Accounts!$E:$E,"QBDT")</f>
        <v/>
      </c>
      <c r="HB23" s="49" t="n"/>
      <c r="HC23" s="53" t="inlineStr">
        <is>
          <t>QBDT</t>
        </is>
      </c>
      <c r="HD23" s="43" t="inlineStr">
        <is>
          <t>Accounts EOM</t>
        </is>
      </c>
      <c r="HE23" s="44">
        <f>COUNTIFS(Accounts!$AS:$AS, "Consulting and Professional Services",Accounts!$C:$C,"Customer",Accounts!$E:$E,"QBDT")</f>
        <v/>
      </c>
      <c r="ID23" s="49" t="n"/>
      <c r="IE23" s="53" t="inlineStr">
        <is>
          <t>QBDT</t>
        </is>
      </c>
      <c r="IF23" s="43" t="inlineStr">
        <is>
          <t>Accounts EOM</t>
        </is>
      </c>
      <c r="IG23" s="44">
        <f>COUNTIFS(Accounts!$AS:$AS, "Retail",Accounts!$C:$C,"Customer",Accounts!$E:$E,"QBDT")</f>
        <v/>
      </c>
      <c r="JF23" s="49" t="n"/>
      <c r="JG23" s="53" t="inlineStr">
        <is>
          <t>QBDT</t>
        </is>
      </c>
      <c r="JH23" s="43" t="inlineStr">
        <is>
          <t>Accounts EOM</t>
        </is>
      </c>
      <c r="JI23" s="44">
        <f>COUNTIFS(Accounts!$AS:$AS, "Non-profit, govt or religious organization",Accounts!$C:$C,"Customer",Accounts!$E:$E,"QBDT")</f>
        <v/>
      </c>
      <c r="KH23" s="49" t="n"/>
      <c r="KI23" s="53" t="inlineStr">
        <is>
          <t>QBDT</t>
        </is>
      </c>
      <c r="KJ23" s="43" t="inlineStr">
        <is>
          <t>Accounts EOM</t>
        </is>
      </c>
      <c r="KK23" s="44">
        <f>COUNTIFS(Accounts!$AS:$AS, "Communications, Entertainment and Media",Accounts!$C:$C,"Customer",Accounts!$E:$E,"QBDT")</f>
        <v/>
      </c>
      <c r="LJ23" s="49" t="n"/>
      <c r="LK23" s="53" t="inlineStr">
        <is>
          <t>QBDT</t>
        </is>
      </c>
      <c r="LL23" s="43" t="inlineStr">
        <is>
          <t>Accounts EOM</t>
        </is>
      </c>
      <c r="LM23" s="44">
        <f>COUNTIFS(Accounts!$AS:$AS, "IT and computer related",Accounts!$C:$C,"Customer",Accounts!$E:$E,"QBDT")</f>
        <v/>
      </c>
      <c r="ML23" s="49" t="n"/>
      <c r="MM23" s="53" t="inlineStr">
        <is>
          <t>QBDT</t>
        </is>
      </c>
      <c r="MN23" s="43" t="inlineStr">
        <is>
          <t>Accounts EOM</t>
        </is>
      </c>
      <c r="MO23" s="44">
        <f>COUNTIFS(Accounts!$AS:$AS, {"General service based","General"},Accounts!$C:$C,"Customer",Accounts!$E:$E,"QBDT")</f>
        <v/>
      </c>
      <c r="NN23" s="49" t="n"/>
      <c r="NO23" s="53" t="inlineStr">
        <is>
          <t>QBDT</t>
        </is>
      </c>
      <c r="NP23" s="43" t="inlineStr">
        <is>
          <t>Accounts EOM</t>
        </is>
      </c>
      <c r="NQ23" s="44">
        <f>COUNTIFS(Accounts!$AS:$AS, "Other",Accounts!$C:$C,"Customer",Accounts!$E:$E,"QBDT")</f>
        <v/>
      </c>
      <c r="OP23" s="49" t="n"/>
      <c r="OQ23" s="53" t="inlineStr">
        <is>
          <t>QBDT</t>
        </is>
      </c>
      <c r="OR23" s="43" t="inlineStr">
        <is>
          <t>Accounts EOM</t>
        </is>
      </c>
      <c r="OS23" s="44">
        <f>COUNTIFS(Accounts!$AS:$AS, "Accounting and Bookkeeping",Accounts!$C:$C,"Customer",Accounts!$E:$E,"QBDT")</f>
        <v/>
      </c>
      <c r="PR23" s="49" t="n"/>
      <c r="PS23" s="49" t="n"/>
      <c r="PT23" s="57" t="n"/>
    </row>
    <row r="24" ht="16" customFormat="1" customHeight="1" s="31">
      <c r="B24" s="39" t="n"/>
      <c r="C24" s="33" t="n"/>
      <c r="AZ24" s="53" t="inlineStr">
        <is>
          <t>QBDT</t>
        </is>
      </c>
      <c r="BA24" s="43" t="inlineStr">
        <is>
          <t>Lost Accounts</t>
        </is>
      </c>
      <c r="BB24" s="40" t="n"/>
      <c r="BC24" s="44">
        <f>COUNTIFS(Accounts!$B:$B,"Customer",Accounts!$C:$C,"Lost",Accounts!$E:$E,"QBDT")</f>
        <v/>
      </c>
      <c r="BD24" s="58">
        <f>SUMIFS(Accounts!$AA:$AA,Accounts!$B:$B,"Customer",Accounts!$C:$C,"Lost",Accounts!$E:$E,"QBDT") + SUMIFS(Accounts!$AH:$AH,Accounts!$B:$B,"Customer",Accounts!$C:$C,"Lost",Accounts!$E:$E,"QBDT") + SUMIFS(Accounts!$AJ:$AJ,Accounts!$B:$B,"Customer",Accounts!$C:$C,"Lost",Accounts!$E:$E,"QBDT") + SUMIFS(Accounts!$AI:$AI,Accounts!$B:$B,"Customer",Accounts!$C:$C,"Lost",Accounts!$E:$E,"QBDT") + SUMIFS(Accounts!$AO:$AO,Accounts!$B:$B,"Customer",Accounts!$C:$C,"Lost",Accounts!$E:$E,"QBDT")</f>
        <v/>
      </c>
      <c r="BE24" s="58">
        <f>(SUMIFS(Accounts!$AC:$AC,Accounts!$B:$B,"Customer",Accounts!$C:$C,"Lost",Accounts!$E:$E,"QBDT")+SUMIFS(Accounts!$AF:$AF,Accounts!$B:$B,"Customer",Accounts!$C:$C,"Lost",Accounts!$E:$E,"QBDT")+SUMIFS(Accounts!$AK:$AK,Accounts!$B:$B,"Customer",Accounts!$C:$C,"Lost",Accounts!$E:$E,"QBDT"))</f>
        <v/>
      </c>
      <c r="BF24" s="58">
        <f>SUMIFS(Accounts!$AB:$AB,Accounts!$B:$B,"Customer",Accounts!$C:$C,"Lost",Accounts!$E:$E,"QBDT")</f>
        <v/>
      </c>
      <c r="BG24" s="58">
        <f>SUMIFS(Accounts!$AD:$AD,Accounts!$B:$B,"Customer",Accounts!$C:$C,"Lost",Accounts!$E:$E,"QBDT")+SUMIFS(Accounts!$AM:$AM,Accounts!$B:$B,"Customer",Accounts!$C:$C,"Lost",Accounts!$E:$E,"QBDT")+SUMIFS(Accounts!$AN:$AN,Accounts!$B:$B,"Customer",Accounts!$C:$C,"Lost",Accounts!$E:$E,"QBDT")</f>
        <v/>
      </c>
      <c r="BH24" s="58">
        <f>SUMPRODUCT(SUMIFS(Accounts!$AE:$AE,Accounts!$B:$B,"Customer",Accounts!$C:$C,"Lost",Accounts!$E:$E,"QBDT")+SUMIFS(Accounts!$AP:$AP,Accounts!$B:$B,"Customer",Accounts!$C:$C,"Lost",Accounts!$E:$E,"QBDT")+SUMIFS(Accounts!$Z:$Z,Accounts!$B:$B,"Customer",Accounts!$C:$C,"Lost",Accounts!$E:$E,"QBDT")+SUMIFS(Accounts!$AG:$AG,Accounts!$B:$B,"Customer",Accounts!$C:$C,"Lost",Accounts!$E:$E,"QBDT")+SUMIFS(Accounts!$AL:$AL,Accounts!$B:$B,"Customer",Accounts!$C:$C,"Lost",Accounts!$E:$E,"QBDT"))</f>
        <v/>
      </c>
      <c r="BI24" s="58">
        <f>SUMIFS(Accounts!$AE:$AE,Accounts!$B:$B,"Customer",Accounts!$C:$C,"Lost",Accounts!$E:$E,"QBDT") + SUMIFS(Accounts!$AP:$AP,Accounts!$B:$B,"Customer",Accounts!$C:$C,"Lost",Accounts!$E:$E,"QBDT")</f>
        <v/>
      </c>
      <c r="BJ24" s="58">
        <f>SUMIFS(Accounts!$Z:$Z,Accounts!$B:$B,"Customer",Accounts!$C:$C,"Lost",Accounts!$E:$E,"QBDT")</f>
        <v/>
      </c>
      <c r="BK24" s="58">
        <f>SUMIFS(Accounts!$AG:$AG,Accounts!$B:$B,"Customer",Accounts!$C:$C,"Lost",Accounts!$E:$E,"QBDT") + SUMIFS(Accounts!$AL:$AL,Accounts!$B:$B,"Customer",Accounts!$C:$C,"Lost",Accounts!$E:$E,"QBDT")</f>
        <v/>
      </c>
      <c r="BL24" s="58">
        <f>SUMIFS(Accounts!$AQ:$AQ,Accounts!$B:$B,"Customer",Accounts!$C:$C,"Lost",Accounts!$E:$E,"QBDT")</f>
        <v/>
      </c>
      <c r="CU24" s="53" t="inlineStr">
        <is>
          <t>QBDT</t>
        </is>
      </c>
      <c r="CV24" s="43" t="inlineStr">
        <is>
          <t>New  Customers</t>
        </is>
      </c>
      <c r="CW24" s="44">
        <f>SUMPRODUCT(COUNTIFS(Accounts!$AS:$AS,"Manufacturing (MWD)",Accounts!$B:$B,{"Trialer","none"},Accounts!$C:$C,"Customer",Accounts!$E:$E,"QBDT"))</f>
        <v/>
      </c>
      <c r="DV24" s="49" t="n"/>
      <c r="DW24" s="53" t="inlineStr">
        <is>
          <t>QBDT</t>
        </is>
      </c>
      <c r="DX24" s="43" t="inlineStr">
        <is>
          <t>New  Customers</t>
        </is>
      </c>
      <c r="DY24" s="44">
        <f>SUMPRODUCT(COUNTIFS(Accounts!$AS:$AS,"Wholesale and distribution services (MWD)",Accounts!$B:$B,{"Trialer","none"},Accounts!$C:$C,"Customer",Accounts!$E:$E,"QBDT"))</f>
        <v/>
      </c>
      <c r="EX24" s="49" t="n"/>
      <c r="EY24" s="53" t="inlineStr">
        <is>
          <t>QBDT</t>
        </is>
      </c>
      <c r="EZ24" s="43" t="inlineStr">
        <is>
          <t>New  Customers</t>
        </is>
      </c>
      <c r="FA24" s="44">
        <f>SUMPRODUCT(COUNTIFS(Accounts!$AS:$AS,"Construction",Accounts!$B:$B,{"Trialer","none"},Accounts!$C:$C,"Customer",Accounts!$E:$E,"QBDT"))</f>
        <v/>
      </c>
      <c r="FZ24" s="49" t="n"/>
      <c r="GA24" s="53" t="inlineStr">
        <is>
          <t>QBDT</t>
        </is>
      </c>
      <c r="GB24" s="43" t="inlineStr">
        <is>
          <t>New  Customers</t>
        </is>
      </c>
      <c r="GC24" s="44">
        <f>SUMPRODUCT(COUNTIFS(Accounts!$AS:$AS,"Field Services",Accounts!$B:$B,{"Trialer","none"},Accounts!$C:$C,"Customer",Accounts!$E:$E,"QBDT"))</f>
        <v/>
      </c>
      <c r="HB24" s="49" t="n"/>
      <c r="HC24" s="53" t="inlineStr">
        <is>
          <t>QBDT</t>
        </is>
      </c>
      <c r="HD24" s="43" t="inlineStr">
        <is>
          <t>New  Customers</t>
        </is>
      </c>
      <c r="HE24" s="44">
        <f>SUMPRODUCT(COUNTIFS(Accounts!$AS:$AS,"Consulting and Professional Services",Accounts!$B:$B,{"Trialer","none"},Accounts!$C:$C,"Customer",Accounts!$E:$E,"QBDT"))</f>
        <v/>
      </c>
      <c r="ID24" s="49" t="n"/>
      <c r="IE24" s="53" t="inlineStr">
        <is>
          <t>QBDT</t>
        </is>
      </c>
      <c r="IF24" s="43" t="inlineStr">
        <is>
          <t>New  Customers</t>
        </is>
      </c>
      <c r="IG24" s="44">
        <f>SUMPRODUCT(COUNTIFS(Accounts!$AS:$AS,"Retail",Accounts!$B:$B,{"Trialer","none"},Accounts!$C:$C,"Customer",Accounts!$E:$E,"QBDT"))</f>
        <v/>
      </c>
      <c r="JF24" s="49" t="n"/>
      <c r="JG24" s="53" t="inlineStr">
        <is>
          <t>QBDT</t>
        </is>
      </c>
      <c r="JH24" s="43" t="inlineStr">
        <is>
          <t>New  Customers</t>
        </is>
      </c>
      <c r="JI24" s="44">
        <f>SUMPRODUCT(COUNTIFS(Accounts!$AS:$AS,"Non-profit, govt or religious organization",Accounts!$B:$B,{"Trialer","none"},Accounts!$C:$C,"Customer",Accounts!$E:$E,"QBDT"))</f>
        <v/>
      </c>
      <c r="KH24" s="49" t="n"/>
      <c r="KI24" s="53" t="inlineStr">
        <is>
          <t>QBDT</t>
        </is>
      </c>
      <c r="KJ24" s="43" t="inlineStr">
        <is>
          <t>New  Customers</t>
        </is>
      </c>
      <c r="KK24" s="44">
        <f>SUMPRODUCT(COUNTIFS(Accounts!$AS:$AS,"Communications, Entertainment and Media",Accounts!$B:$B,{"Trialer","none"},Accounts!$C:$C,"Customer",Accounts!$E:$E,"QBDT"))</f>
        <v/>
      </c>
      <c r="LJ24" s="49" t="n"/>
      <c r="LK24" s="53" t="inlineStr">
        <is>
          <t>QBDT</t>
        </is>
      </c>
      <c r="LL24" s="43" t="inlineStr">
        <is>
          <t>New  Customers</t>
        </is>
      </c>
      <c r="LM24" s="44">
        <f>SUMPRODUCT(COUNTIFS(Accounts!$AS:$AS,"IT and computer related",Accounts!$B:$B,{"Trialer","none"},Accounts!$C:$C,"Customer",Accounts!$E:$E,"QBDT"))</f>
        <v/>
      </c>
      <c r="ML24" s="49" t="n"/>
      <c r="MM24" s="53" t="inlineStr">
        <is>
          <t>QBDT</t>
        </is>
      </c>
      <c r="MN24" s="43" t="inlineStr">
        <is>
          <t>New  Customers</t>
        </is>
      </c>
      <c r="MO24" s="44">
        <f>SUMPRODUCT(COUNTIFS(Accounts!$AS:$AS,{"General service based","General"},Accounts!$B:$B,{"Trialer","none"},Accounts!$C:$C,"Customer",Accounts!$E:$E,"QBDT"))</f>
        <v/>
      </c>
      <c r="NN24" s="49" t="n"/>
      <c r="NO24" s="53" t="inlineStr">
        <is>
          <t>QBDT</t>
        </is>
      </c>
      <c r="NP24" s="43" t="inlineStr">
        <is>
          <t>New  Customers</t>
        </is>
      </c>
      <c r="NQ24" s="44">
        <f>SUMPRODUCT(COUNTIFS(Accounts!$AS:$AS,"Other",Accounts!$B:$B,{"Trialer","none"},Accounts!$C:$C,"Customer",Accounts!$E:$E,"QBDT"))</f>
        <v/>
      </c>
      <c r="OP24" s="49" t="n"/>
      <c r="OQ24" s="53" t="inlineStr">
        <is>
          <t>QBDT</t>
        </is>
      </c>
      <c r="OR24" s="43" t="inlineStr">
        <is>
          <t>New  Customers</t>
        </is>
      </c>
      <c r="OS24" s="44">
        <f>SUMPRODUCT(COUNTIFS(Accounts!$AS:$AS,"Accounting and Bookkeeping",Accounts!$B:$B,{"Trialer","none"},Accounts!$C:$C,"Customer",Accounts!$E:$E,"QBDT"))</f>
        <v/>
      </c>
      <c r="PR24" s="49" t="n"/>
      <c r="PS24" s="49" t="n"/>
      <c r="PT24" s="57" t="n"/>
    </row>
    <row r="25" ht="16" customFormat="1" customHeight="1" s="31">
      <c r="B25" s="39" t="n"/>
      <c r="C25" s="33" t="n"/>
      <c r="AZ25" s="53" t="inlineStr">
        <is>
          <t>QBDT</t>
        </is>
      </c>
      <c r="BA25" s="43" t="inlineStr">
        <is>
          <t>Accounts EOM</t>
        </is>
      </c>
      <c r="BB25" s="40" t="n"/>
      <c r="BC25" s="44">
        <f>COUNTIFS(Accounts!$C:$C,"Customer",Accounts!$E:$E,"QBDT")</f>
        <v/>
      </c>
      <c r="BD25" s="58">
        <f>SUMIFS(Accounts!$AA:$AA,Accounts!$C:$C,"Customer",Accounts!$E:$E,"QBDT") + SUMIFS(Accounts!$AH:$AH,Accounts!$C:$C,"Customer",Accounts!$E:$E,"QBDT") + SUMIFS(Accounts!$AJ:$AJ,Accounts!$C:$C,"Customer",Accounts!$E:$E,"QBDT") + SUMIFS(Accounts!$AI:$AI,Accounts!$C:$C,"Customer",Accounts!$E:$E,"QBDT") + SUMIFS(Accounts!$AO:$AO,Accounts!$C:$C,"Customer",Accounts!$E:$E,"QBDT")</f>
        <v/>
      </c>
      <c r="BE25" s="58">
        <f>(SUMIFS(Accounts!$AC:$AC,Accounts!$C:$C,"Customer",Accounts!$E:$E,"QBDT")+SUMIFS(Accounts!$AF:$AF,Accounts!$C:$C,"Customer",Accounts!$E:$E,"QBDT")+SUMIFS(Accounts!$AK:$AK,Accounts!$C:$C,"Customer",Accounts!$E:$E,"QBDT"))</f>
        <v/>
      </c>
      <c r="BF25" s="58">
        <f>SUMIFS(Accounts!$AB:$AB,Accounts!$C:$C,"Customer",Accounts!$E:$E,"QBDT")</f>
        <v/>
      </c>
      <c r="BG25" s="58">
        <f>SUMIFS(Accounts!$AD:$AD,Accounts!$C:$C,"Customer",Accounts!$E:$E,"QBDT")+SUMIFS(Accounts!$AM:$AM,Accounts!$C:$C,"Customer",Accounts!$E:$E,"QBDT")+SUMIFS(Accounts!$AN:$AN,Accounts!$C:$C,"Customer",Accounts!$E:$E,"QBDT")</f>
        <v/>
      </c>
      <c r="BH25" s="58">
        <f>SUMIFS(Accounts!$AE:$AE,Accounts!$C:$C,"Customer",Accounts!$E:$E,"QBDT") + SUMIFS(Accounts!$AP:$AP,Accounts!$C:$C,"Customer",Accounts!$E:$E,"QBDT")+SUMIFS(Accounts!$Z:$Z,Accounts!$C:$C,"Customer",Accounts!$E:$E,"QBDT")+SUMIFS(Accounts!$AG:$AG,Accounts!$C:$C,"Customer",Accounts!$E:$E,"QBDT") + SUMIFS(Accounts!$AL:$AL,Accounts!$C:$C,"Customer",Accounts!$E:$E,"QBDT")</f>
        <v/>
      </c>
      <c r="BI25" s="58">
        <f>SUMIFS(Accounts!$AE:$AE,Accounts!$C:$C,"Customer",Accounts!$E:$E,"QBDT") + SUMIFS(Accounts!$AP:$AP,Accounts!$C:$C,"Customer",Accounts!$E:$E,"QBDT")</f>
        <v/>
      </c>
      <c r="BJ25" s="58">
        <f>SUMIFS(Accounts!$Z:$Z,Accounts!$C:$C,"Customer",Accounts!$E:$E,"QBDT")</f>
        <v/>
      </c>
      <c r="BK25" s="58">
        <f>SUMIFS(Accounts!$AG:$AG,Accounts!$C:$C,"Customer",Accounts!$E:$E,"QBDT") + SUMIFS(Accounts!$AL:$AL,Accounts!$C:$C,"Customer",Accounts!$E:$E,"QBDT")</f>
        <v/>
      </c>
      <c r="BL25" s="58">
        <f>SUMIFS(Accounts!$AQ:$AQ,Accounts!$C:$C,"Customer",Accounts!$E:$E,"QBDT")</f>
        <v/>
      </c>
      <c r="CU25" s="53" t="inlineStr">
        <is>
          <t>QBDT</t>
        </is>
      </c>
      <c r="CV25" s="43" t="inlineStr">
        <is>
          <t>LostNew Customers</t>
        </is>
      </c>
      <c r="CW25" s="44">
        <f>SUMPRODUCT(COUNTIFS(Accounts!$AS:$AS,"Manufacturing (MWD)",Accounts!$B:$B,{"Trialer","none"},Accounts!$C:$C,"Lost",Accounts!$E:$E,"QBDT"))</f>
        <v/>
      </c>
      <c r="DV25" s="49" t="n"/>
      <c r="DW25" s="53" t="inlineStr">
        <is>
          <t>QBDT</t>
        </is>
      </c>
      <c r="DX25" s="43" t="inlineStr">
        <is>
          <t>LostNew Customers</t>
        </is>
      </c>
      <c r="DY25" s="44">
        <f>SUMPRODUCT(COUNTIFS(Accounts!$AS:$AS,"Wholesale and distribution services (MWD)",Accounts!$B:$B,{"Trialer","none"},Accounts!$C:$C,"Lost",Accounts!$E:$E,"QBDT"))</f>
        <v/>
      </c>
      <c r="EX25" s="49" t="n"/>
      <c r="EY25" s="53" t="inlineStr">
        <is>
          <t>QBDT</t>
        </is>
      </c>
      <c r="EZ25" s="43" t="inlineStr">
        <is>
          <t>LostNew Customers</t>
        </is>
      </c>
      <c r="FA25" s="44">
        <f>SUMPRODUCT(COUNTIFS(Accounts!$AS:$AS,"Construction",Accounts!$B:$B,{"Trialer","none"},Accounts!$C:$C,"Lost",Accounts!$E:$E,"QBDT"))</f>
        <v/>
      </c>
      <c r="FZ25" s="49" t="n"/>
      <c r="GA25" s="53" t="inlineStr">
        <is>
          <t>QBDT</t>
        </is>
      </c>
      <c r="GB25" s="43" t="inlineStr">
        <is>
          <t>LostNew Customers</t>
        </is>
      </c>
      <c r="GC25" s="44">
        <f>SUMPRODUCT(COUNTIFS(Accounts!$AS:$AS,"Field Services",Accounts!$B:$B,{"Trialer","none"},Accounts!$C:$C,"Lost",Accounts!$E:$E,"QBDT"))</f>
        <v/>
      </c>
      <c r="HB25" s="49" t="n"/>
      <c r="HC25" s="53" t="inlineStr">
        <is>
          <t>QBDT</t>
        </is>
      </c>
      <c r="HD25" s="43" t="inlineStr">
        <is>
          <t>LostNew Customers</t>
        </is>
      </c>
      <c r="HE25" s="44">
        <f>SUMPRODUCT(COUNTIFS(Accounts!$AS:$AS,"Consulting and Professional Services",Accounts!$B:$B,{"Trialer","none"},Accounts!$C:$C,"Lost",Accounts!$E:$E,"QBDT"))</f>
        <v/>
      </c>
      <c r="ID25" s="49" t="n"/>
      <c r="IE25" s="53" t="inlineStr">
        <is>
          <t>QBDT</t>
        </is>
      </c>
      <c r="IF25" s="43" t="inlineStr">
        <is>
          <t>LostNew Customers</t>
        </is>
      </c>
      <c r="IG25" s="44">
        <f>SUMPRODUCT(COUNTIFS(Accounts!$AS:$AS,"Retail",Accounts!$B:$B,{"Trialer","none"},Accounts!$C:$C,"Lost",Accounts!$E:$E,"QBDT"))</f>
        <v/>
      </c>
      <c r="JF25" s="49" t="n"/>
      <c r="JG25" s="53" t="inlineStr">
        <is>
          <t>QBDT</t>
        </is>
      </c>
      <c r="JH25" s="43" t="inlineStr">
        <is>
          <t>LostNew Customers</t>
        </is>
      </c>
      <c r="JI25" s="44">
        <f>SUMPRODUCT(COUNTIFS(Accounts!$AS:$AS,"Non-profit, govt or religious organization",Accounts!$B:$B,{"Trialer","none"},Accounts!$C:$C,"Lost",Accounts!$E:$E,"QBDT"))</f>
        <v/>
      </c>
      <c r="KH25" s="49" t="n"/>
      <c r="KI25" s="53" t="inlineStr">
        <is>
          <t>QBDT</t>
        </is>
      </c>
      <c r="KJ25" s="43" t="inlineStr">
        <is>
          <t>LostNew Customers</t>
        </is>
      </c>
      <c r="KK25" s="44">
        <f>SUMPRODUCT(COUNTIFS(Accounts!$AS:$AS,"Communications, Entertainment and Media",Accounts!$B:$B,{"Trialer","none"},Accounts!$C:$C,"Lost",Accounts!$E:$E,"QBDT"))</f>
        <v/>
      </c>
      <c r="LJ25" s="49" t="n"/>
      <c r="LK25" s="53" t="inlineStr">
        <is>
          <t>QBDT</t>
        </is>
      </c>
      <c r="LL25" s="43" t="inlineStr">
        <is>
          <t>LostNew Customers</t>
        </is>
      </c>
      <c r="LM25" s="44">
        <f>SUMPRODUCT(COUNTIFS(Accounts!$AS:$AS,"IT and computer related",Accounts!$B:$B,{"Trialer","none"},Accounts!$C:$C,"Lost",Accounts!$E:$E,"QBDT"))</f>
        <v/>
      </c>
      <c r="ML25" s="49" t="n"/>
      <c r="MM25" s="53" t="inlineStr">
        <is>
          <t>QBDT</t>
        </is>
      </c>
      <c r="MN25" s="43" t="inlineStr">
        <is>
          <t>LostNew Customers</t>
        </is>
      </c>
      <c r="MO25" s="44">
        <f>SUMPRODUCT(COUNTIFS(Accounts!$AS:$AS,{"General service based","General"},Accounts!$B:$B,{"Trialer","none"},Accounts!$C:$C,"Lost",Accounts!$E:$E,"QBDT"))</f>
        <v/>
      </c>
      <c r="NN25" s="49" t="n"/>
      <c r="NO25" s="53" t="inlineStr">
        <is>
          <t>QBDT</t>
        </is>
      </c>
      <c r="NP25" s="43" t="inlineStr">
        <is>
          <t>LostNew Customers</t>
        </is>
      </c>
      <c r="NQ25" s="44">
        <f>SUMPRODUCT(COUNTIFS(Accounts!$AS:$AS,"Other",Accounts!$B:$B,{"Trialer","none"},Accounts!$C:$C,"Lost",Accounts!$E:$E,"QBDT"))</f>
        <v/>
      </c>
      <c r="OP25" s="49" t="n"/>
      <c r="OQ25" s="53" t="inlineStr">
        <is>
          <t>QBDT</t>
        </is>
      </c>
      <c r="OR25" s="43" t="inlineStr">
        <is>
          <t>LostNew Customers</t>
        </is>
      </c>
      <c r="OS25" s="44">
        <f>SUMPRODUCT(COUNTIFS(Accounts!$AS:$AS,"Accounting and Bookkeeping",Accounts!$B:$B,{"Trialer","none"},Accounts!$C:$C,"Lost",Accounts!$E:$E,"QBDT"))</f>
        <v/>
      </c>
      <c r="PR25" s="49" t="n"/>
      <c r="PS25" s="49" t="n"/>
      <c r="PT25" s="57" t="n"/>
    </row>
    <row r="26" ht="16" customFormat="1" customHeight="1" s="31">
      <c r="B26" s="39" t="n"/>
      <c r="C26" s="33" t="n"/>
      <c r="AZ26" s="53" t="inlineStr">
        <is>
          <t>QBDT</t>
        </is>
      </c>
      <c r="BA26" s="43" t="inlineStr">
        <is>
          <t>New  Customers</t>
        </is>
      </c>
      <c r="BB26" s="40" t="n"/>
      <c r="BC26" s="44">
        <f>SUMPRODUCT(COUNTIFS(Accounts!$B:$B,{"Trialer","none"},Accounts!$C:$C,"Customer",Accounts!$E:$E,"QBDT"))</f>
        <v/>
      </c>
      <c r="BD26" s="58">
        <f>SUMPRODUCT(SUMIFS(Accounts!$AA:$AA,Accounts!$B:$B,{"Trialer","none"},Accounts!$C:$C,"Customer",Accounts!$E:$E,"QBDT")+SUMIFS(Accounts!$AH:$AH,Accounts!$B:$B,{"Trialer","none"},Accounts!$C:$C,"Customer",Accounts!$E:$E,"QBDT")+SUMIFS(Accounts!$AJ:$AJ,Accounts!$B:$B,{"Trialer","none"},Accounts!$C:$C,"Customer",Accounts!$E:$E,"QBDT")+SUMIFS(Accounts!$AI:$AI,Accounts!$B:$B,{"Trialer","none"},Accounts!$C:$C,"Customer",Accounts!$E:$E,"QBDT")+SUMIFS(Accounts!$AO:$AO,Accounts!$B:$B,{"Trialer","none"},Accounts!$C:$C,"Customer",Accounts!$E:$E,"QBDT"))</f>
        <v/>
      </c>
      <c r="BE26" s="58">
        <f>SUMPRODUCT(SUMIFS(Accounts!$AC:$AC,Accounts!$B:$B,{"Trialer","none"},Accounts!$C:$C,"Customer",Accounts!$E:$E,"QBDT")+SUMIFS(Accounts!$AF:$AF,Accounts!$B:$B,{"Trialer","none"},Accounts!$C:$C,"Customer",Accounts!$E:$E,"QBDT")+SUMIFS(Accounts!$AK:$AK,Accounts!$B:$B,{"Trialer","none"},Accounts!$C:$C,"Customer",Accounts!$E:$E,"QBDT"))</f>
        <v/>
      </c>
      <c r="BF26" s="58">
        <f>SUMPRODUCT(SUMIFS(Accounts!$AB:$AB,Accounts!$B:$B,{"Trialer","none"},Accounts!$C:$C,"Customer",Accounts!$E:$E,"QBDT"))</f>
        <v/>
      </c>
      <c r="BG26" s="58">
        <f>SUMPRODUCT(SUMIFS(Accounts!$AD:$AD,Accounts!$B:$B,{"Trialer","none"},Accounts!$C:$C,"Customer",Accounts!$E:$E,"QBDT")+SUMIFS(Accounts!$AM:$AM,Accounts!$B:$B,{"Trialer","none"},Accounts!$C:$C,"Customer",Accounts!$E:$E,"QBDT")+SUMIFS(Accounts!$AN:$AN,Accounts!$B:$B,{"Trialer","none"},Accounts!$C:$C,"Customer",Accounts!$E:$E,"QBDT"))</f>
        <v/>
      </c>
      <c r="BH26" s="58">
        <f>SUMPRODUCT(SUMIFS(Accounts!$AE:$AE,Accounts!$B:$B,{"Trialer","none"},Accounts!$C:$C,"Customer",Accounts!$E:$E,"QBDT")+SUMIFS(Accounts!$AP:$AP,Accounts!$B:$B,{"Trialer","none"},Accounts!$C:$C,"Customer",Accounts!$E:$E,"QBDT")+SUMIFS(Accounts!$Z:$Z,Accounts!$B:$B,{"Trialer","none"},Accounts!$C:$C,"Customer",Accounts!$E:$E,"QBDT")+SUMIFS(Accounts!$AG:$AG,Accounts!$B:$B,{"Trialer","none"},Accounts!$C:$C,"Customer",Accounts!$E:$E,"QBDT")+SUMIFS(Accounts!$AL:$AL,Accounts!$B:$B,{"Trialer","none"},Accounts!$C:$C,"Customer",Accounts!$E:$E,"QBDT"))</f>
        <v/>
      </c>
      <c r="BI26" s="58">
        <f>SUMPRODUCT(SUMIFS(Accounts!$AE:$AE,Accounts!$B:$B,{"Trialer","none"},Accounts!$C:$C,"Customer",Accounts!$E:$E,"QBDT")+SUMIFS(Accounts!$AP:$AP,Accounts!$B:$B,{"Trialer","none"},Accounts!$C:$C,"Customer",Accounts!$E:$E,"QBDT"))</f>
        <v/>
      </c>
      <c r="BJ26" s="58">
        <f>SUMPRODUCT(SUMIFS(Accounts!$Z:$Z,Accounts!$B:$B,{"Trialer","none"},Accounts!$C:$C,"Customer",Accounts!$E:$E,"QBDT"))</f>
        <v/>
      </c>
      <c r="BK26" s="58">
        <f>SUMPRODUCT(SUMIFS(Accounts!$AG:$AG,Accounts!$B:$B,{"Trialer","none"},Accounts!$C:$C,"Customer",Accounts!$E:$E,"QBDT")+SUMIFS(Accounts!$AL:$AL,Accounts!$B:$B,{"Trialer","none"},Accounts!$C:$C,"Customer",Accounts!$E:$E,"QBDT"))</f>
        <v/>
      </c>
      <c r="BL26" s="58">
        <f>SUMPRODUCT(SUMIFS(Accounts!$AQ:$AQ,Accounts!$B:$B,{"Trialer","none"},Accounts!$C:$C,"Customer",Accounts!$E:$E,"QBDT"))</f>
        <v/>
      </c>
    </row>
    <row r="27" ht="16" customFormat="1" customHeight="1" s="31">
      <c r="B27" s="39" t="n"/>
      <c r="C27" s="33" t="n"/>
      <c r="AZ27" s="53" t="inlineStr">
        <is>
          <t>QBDT</t>
        </is>
      </c>
      <c r="BA27" s="43" t="inlineStr">
        <is>
          <t>LostNew Customers</t>
        </is>
      </c>
      <c r="BB27" s="40" t="n"/>
      <c r="BC27" s="44">
        <f>SUMPRODUCT(COUNTIFS(Accounts!$B:$B,{"Trialer","none"},Accounts!$C:$C,"Lost",Accounts!$E:$E,"QBDT"))</f>
        <v/>
      </c>
      <c r="BD27" s="58">
        <f>SUMPRODUCT(SUMIFS(Accounts!$AA:$AA,Accounts!$B:$B,{"Trialer","none"},Accounts!$C:$C,"Lost",Accounts!$E:$E,"QBDT")+SUMIFS(Accounts!$AH:$AH,Accounts!$B:$B,{"Trialer","none"},Accounts!$C:$C,"Lost",Accounts!$E:$E,"QBDT")+SUMIFS(Accounts!$AJ:$AJ,Accounts!$B:$B,{"Trialer","none"},Accounts!$C:$C,"Lost",Accounts!$E:$E,"QBDT")+SUMIFS(Accounts!$AI:$AI,Accounts!$B:$B,{"Trialer","none"},Accounts!$C:$C,"Lost",Accounts!$E:$E,"QBDT")+SUMIFS(Accounts!$AO:$AO,Accounts!$B:$B,{"Trialer","none"},Accounts!$C:$C,"Lost",Accounts!$E:$E,"QBDT"))</f>
        <v/>
      </c>
      <c r="BE27" s="58">
        <f>SUMPRODUCT((SUMIFS(Accounts!$AC:$AC,Accounts!$B:$B,{"Trialer","none"},Accounts!$C:$C,"Lost",Accounts!$E:$E,"QBDT")+SUMIFS(Accounts!$AF:$AF,Accounts!$B:$B,{"Trialer","none"},Accounts!$C:$C,"Lost",Accounts!$E:$E,"QBDT")+SUMIFS(Accounts!$AK:$AK,Accounts!$B:$B,{"Trialer","none"},Accounts!$C:$C,"Lost",Accounts!$E:$E,"QBDT")))</f>
        <v/>
      </c>
      <c r="BF27" s="58">
        <f>SUMPRODUCT(SUMIFS(Accounts!$AB:$AB,Accounts!$B:$B,{"Trialer","none"},Accounts!$C:$C,"Lost",Accounts!$E:$E,"QBDT"))</f>
        <v/>
      </c>
      <c r="BG27" s="58">
        <f>SUMPRODUCT(SUMIFS(Accounts!$AD:$AD,Accounts!$B:$B,{"Trialer","none"},Accounts!$C:$C,"Lost",Accounts!$E:$E,"QBDT")+SUMIFS(Accounts!$AM:$AM,Accounts!$B:$B,{"Trialer","none"},Accounts!$C:$C,"Lost",Accounts!$E:$E,"QBDT")+SUMIFS(Accounts!$AN:$AN,Accounts!$B:$B,{"Trialer","none"},Accounts!$C:$C,"Lost",Accounts!$E:$E,"QBDT"))</f>
        <v/>
      </c>
      <c r="BH27" s="58">
        <f>SUMPRODUCT(SUMIFS(Accounts!$AE:$AE,Accounts!$B:$B,{"Trialer","none"},Accounts!$C:$C,"Lost",Accounts!$E:$E,"QBDT")+SUMIFS(Accounts!$AP:$AP,Accounts!$B:$B,{"Trialer","none"},Accounts!$C:$C,"Lost",Accounts!$E:$E,"QBDT")+SUMIFS(Accounts!$Z:$Z,Accounts!$B:$B,{"Trialer","none"},Accounts!$C:$C,"Lost",Accounts!$E:$E,"QBDT")+SUMIFS(Accounts!$AG:$AG,Accounts!$B:$B,{"Trialer","none"},Accounts!$C:$C,"Lost",Accounts!$E:$E,"QBDT")+SUMIFS(Accounts!$AL:$AL,Accounts!$B:$B,{"Trialer","none"},Accounts!$C:$C,"Lost",Accounts!$E:$E,"QBDT"))</f>
        <v/>
      </c>
      <c r="BI27" s="58">
        <f>SUMPRODUCT(SUMIFS(Accounts!$AE:$AE,Accounts!$B:$B,{"Trialer","none"},Accounts!$C:$C,"Lost",Accounts!$E:$E,"QBDT")+SUMIFS(Accounts!$AP:$AP,Accounts!$B:$B,{"Trialer","none"},Accounts!$C:$C,"Lost",Accounts!$E:$E,"QBDT"))</f>
        <v/>
      </c>
      <c r="BJ27" s="58">
        <f>SUMPRODUCT(SUMIFS(Accounts!$Z:$Z,Accounts!$B:$B,{"Trialer","none"},Accounts!$C:$C,"Lost",Accounts!$E:$E,"QBDT"))</f>
        <v/>
      </c>
      <c r="BK27" s="58">
        <f>SUMPRODUCT(SUMIFS(Accounts!$AG:$AG,Accounts!$B:$B,{"Trialer","none"},Accounts!$C:$C,"Lost",Accounts!$E:$E,"QBDT")+SUMIFS(Accounts!$AL:$AL,Accounts!$B:$B,{"Trialer","none"},Accounts!$C:$C,"Lost",Accounts!$E:$E,"QBDT"))</f>
        <v/>
      </c>
      <c r="BL27" s="58">
        <f>SUMPRODUCT(SUMIFS(Accounts!$AQ:$AQ,Accounts!$B:$B,{"Trialer","none"},Accounts!$C:$C,"Lost",Accounts!$E:$E,"QBDT"))</f>
        <v/>
      </c>
    </row>
    <row r="28" ht="16" customFormat="1" customHeight="1" s="31">
      <c r="B28" s="39" t="n"/>
      <c r="C28" s="33" t="n"/>
    </row>
    <row r="29" ht="16" customFormat="1" customHeight="1" s="31">
      <c r="B29" s="39" t="n"/>
      <c r="C29" s="33" t="n"/>
    </row>
    <row r="30" ht="32" customHeight="1">
      <c r="B30" s="80" t="inlineStr">
        <is>
          <t>Saas Revenue from SEO</t>
        </is>
      </c>
      <c r="C30" s="80" t="inlineStr">
        <is>
          <t>Saas Revenue from SEM</t>
        </is>
      </c>
      <c r="D30" s="80" t="inlineStr">
        <is>
          <t>Saas Revenue from Intuit</t>
        </is>
      </c>
      <c r="E30" s="80" t="inlineStr">
        <is>
          <t>Saas Revenue from Partners</t>
        </is>
      </c>
      <c r="F30" s="80" t="inlineStr">
        <is>
          <t>Saas Revenue from Email</t>
        </is>
      </c>
      <c r="G30" s="80" t="inlineStr">
        <is>
          <t>Saas Revenue from Direct</t>
        </is>
      </c>
      <c r="H30" s="80" t="inlineStr">
        <is>
          <t>Saas Revenue from Social</t>
        </is>
      </c>
      <c r="I30" s="80" t="inlineStr">
        <is>
          <t>Saas Revenue from Unknown</t>
        </is>
      </c>
      <c r="J30" s="80" t="inlineStr">
        <is>
          <t>PS Revenue from SEO</t>
        </is>
      </c>
      <c r="K30" s="80" t="inlineStr">
        <is>
          <t>PS Revenue from SEM</t>
        </is>
      </c>
      <c r="L30" s="80" t="inlineStr">
        <is>
          <t>PS Revenue from Intuit</t>
        </is>
      </c>
      <c r="M30" s="80" t="inlineStr">
        <is>
          <t>PS Revenue from Partners</t>
        </is>
      </c>
      <c r="N30" s="80" t="inlineStr">
        <is>
          <t>PS Revenue from Email</t>
        </is>
      </c>
      <c r="O30" s="80" t="inlineStr">
        <is>
          <t>PS Revenue from Direct</t>
        </is>
      </c>
      <c r="P30" s="80" t="inlineStr">
        <is>
          <t>PS Revenue from Social</t>
        </is>
      </c>
      <c r="Q30" s="80" t="inlineStr">
        <is>
          <t>PS Revenue from Unknown</t>
        </is>
      </c>
      <c r="R30" s="81" t="n"/>
      <c r="S30" s="80" t="inlineStr">
        <is>
          <t>QBO Saas Revenue from SEO</t>
        </is>
      </c>
      <c r="T30" s="80" t="inlineStr">
        <is>
          <t>QBDT Saas Revenue from SEO</t>
        </is>
      </c>
      <c r="U30" s="80" t="inlineStr">
        <is>
          <t>QBO Saas Revenue from SEM</t>
        </is>
      </c>
      <c r="V30" s="80" t="inlineStr">
        <is>
          <t>QBDT Saas Revenue from SEM</t>
        </is>
      </c>
      <c r="W30" s="80" t="inlineStr">
        <is>
          <t>QBO Saas Revenue from Intuit</t>
        </is>
      </c>
      <c r="X30" s="80" t="inlineStr">
        <is>
          <t>QBDT Saas Revenue from Intuit</t>
        </is>
      </c>
      <c r="Y30" s="80" t="inlineStr">
        <is>
          <t>QBO Saas Revenue from Partners</t>
        </is>
      </c>
      <c r="Z30" s="80" t="inlineStr">
        <is>
          <t>QBDT Saas Revenue from Partners</t>
        </is>
      </c>
      <c r="AA30" s="80" t="inlineStr">
        <is>
          <t>QBO Saas Revenue from Email</t>
        </is>
      </c>
      <c r="AB30" s="80" t="inlineStr">
        <is>
          <t>QBDT Saas Revenue from Email</t>
        </is>
      </c>
      <c r="AC30" s="80" t="inlineStr">
        <is>
          <t>QBO Saas Revenue from Direct</t>
        </is>
      </c>
      <c r="AD30" s="80" t="inlineStr">
        <is>
          <t>QBDT Saas Revenue from Direct</t>
        </is>
      </c>
      <c r="AE30" s="80" t="inlineStr">
        <is>
          <t>QBO Saas Revenue from Social</t>
        </is>
      </c>
      <c r="AF30" s="80" t="inlineStr">
        <is>
          <t>QBDT Saas Revenue from Social</t>
        </is>
      </c>
      <c r="AG30" s="80" t="inlineStr">
        <is>
          <t>QBO Saas Revenue from Unknown</t>
        </is>
      </c>
      <c r="AH30" s="80" t="inlineStr">
        <is>
          <t>QBDT Saas Revenue from Unknown</t>
        </is>
      </c>
      <c r="AI30" s="80" t="inlineStr">
        <is>
          <t>QBO PS Revenue from SEO</t>
        </is>
      </c>
      <c r="AJ30" s="80" t="inlineStr">
        <is>
          <t>QBDT PS Revenue from SEO</t>
        </is>
      </c>
      <c r="AK30" s="80" t="inlineStr">
        <is>
          <t>QBO PS Revenue from SEM</t>
        </is>
      </c>
      <c r="AL30" s="80" t="inlineStr">
        <is>
          <t>QBDT PS Revenue from SEM</t>
        </is>
      </c>
      <c r="AM30" s="80" t="inlineStr">
        <is>
          <t>QBO PS Revenue from Intuit</t>
        </is>
      </c>
      <c r="AN30" s="80" t="inlineStr">
        <is>
          <t>QBDT PS Revenue from Intuit</t>
        </is>
      </c>
      <c r="AO30" s="80" t="inlineStr">
        <is>
          <t>QBO PS Revenue from Partners</t>
        </is>
      </c>
      <c r="AP30" s="80" t="inlineStr">
        <is>
          <t>QBDT PS Revenue from Partners</t>
        </is>
      </c>
      <c r="AQ30" s="80" t="inlineStr">
        <is>
          <t>QBO PS Revenue from Email</t>
        </is>
      </c>
      <c r="AR30" s="80" t="inlineStr">
        <is>
          <t>QBDT PS Revenue from Email</t>
        </is>
      </c>
      <c r="AS30" s="80" t="inlineStr">
        <is>
          <t>QBO PS Revenue from Direct</t>
        </is>
      </c>
      <c r="AT30" s="80" t="inlineStr">
        <is>
          <t>QBDT PS Revenue from Direct</t>
        </is>
      </c>
      <c r="AU30" s="80" t="inlineStr">
        <is>
          <t>QBO PS Revenue from Social</t>
        </is>
      </c>
      <c r="AV30" s="80" t="inlineStr">
        <is>
          <t>QBDT PS Revenue from Social</t>
        </is>
      </c>
      <c r="AW30" s="80" t="inlineStr">
        <is>
          <t>QBO PS Revenue from Unknown</t>
        </is>
      </c>
      <c r="AX30" s="80" t="inlineStr">
        <is>
          <t>QBDT PS Revenue from Unknown</t>
        </is>
      </c>
    </row>
    <row r="31">
      <c r="B31" s="82">
        <f>SUMPRODUCT(Accounts!$I:$I,Accounts!$AA:$AA)+SUMPRODUCT(Accounts!$I:$I,Accounts!$AH:$AH)+SUMPRODUCT(Accounts!$I:$I,Accounts!$AJ:$AJ)+SUMPRODUCT(Accounts!$I:$I,Accounts!$AI:$AI)+SUMPRODUCT(Accounts!$I:$I,Accounts!$AO:$AO)</f>
        <v/>
      </c>
      <c r="C31" s="82">
        <f>SUMPRODUCT(Accounts!$I:$I,Accounts!$AC:$AC)+SUMPRODUCT(Accounts!$I:$I,Accounts!$AF:$AF)+SUMPRODUCT(Accounts!$I:$I,Accounts!$AK:$AK)</f>
        <v/>
      </c>
      <c r="D31" s="82">
        <f>SUMPRODUCT(Accounts!$I:$I,Accounts!$AB:$AB)</f>
        <v/>
      </c>
      <c r="E31" s="82">
        <f>SUMPRODUCT(Accounts!$I:$I,Accounts!$AD:$AD)+SUMPRODUCT(Accounts!$I:$I,Accounts!$AM:$AM)+SUMPRODUCT(Accounts!$I:$I,Accounts!$AN:$AN)</f>
        <v/>
      </c>
      <c r="F31" s="82">
        <f>SUMPRODUCT(Accounts!$I:$I,Accounts!$AE:$AE)+SUMPRODUCT(Accounts!$I:$I,Accounts!$AP:$AP)</f>
        <v/>
      </c>
      <c r="G31" s="82">
        <f>SUMPRODUCT(Accounts!$I:$I,Accounts!$Z:$Z)</f>
        <v/>
      </c>
      <c r="H31" s="82">
        <f>SUMPRODUCT(Accounts!$I:$I,Accounts!$AG:$AG)+SUMPRODUCT(Accounts!$I:$I,Accounts!$AL:$AL)</f>
        <v/>
      </c>
      <c r="I31" s="82">
        <f>SUMPRODUCT(Accounts!$I:$I,Accounts!$AQ:$AQ)</f>
        <v/>
      </c>
      <c r="J31" s="82">
        <f>SUMPRODUCT(Accounts!$N:$N,Accounts!$AA:$AA)+SUMPRODUCT(Accounts!$N:$N,Accounts!$AH:$AH)+SUMPRODUCT(Accounts!$N:$N,Accounts!$AJ:$AJ)+SUMPRODUCT(Accounts!$N:$N,Accounts!$AI:$AI)+SUMPRODUCT(Accounts!$N:$N,Accounts!$AO:$AO)</f>
        <v/>
      </c>
      <c r="K31" s="82">
        <f>SUMPRODUCT(Accounts!$N:$N,Accounts!$AC:$AC)+SUMPRODUCT(Accounts!$N:$N,Accounts!$AF:$AF)+SUMPRODUCT(Accounts!$N:$N,Accounts!$AK:$AK)</f>
        <v/>
      </c>
      <c r="L31" s="82">
        <f>SUMPRODUCT(Accounts!$N:$N,Accounts!$AB:$AB)</f>
        <v/>
      </c>
      <c r="M31" s="82">
        <f>SUMPRODUCT(Accounts!$N:$N,Accounts!$AD:$AD)+SUMPRODUCT(Accounts!$N:$N,Accounts!$AM:$AM)+SUMPRODUCT(Accounts!$N:$N,Accounts!$AN:$AN)</f>
        <v/>
      </c>
      <c r="N31" s="82">
        <f>SUMPRODUCT(Accounts!$N:$N,Accounts!$AE:$AE)+SUMPRODUCT(Accounts!$N:$N,Accounts!$AP:$AP)</f>
        <v/>
      </c>
      <c r="O31" s="82">
        <f>SUMPRODUCT(Accounts!$N:$N,Accounts!$Z:$Z)</f>
        <v/>
      </c>
      <c r="P31" s="82">
        <f>SUMPRODUCT(Accounts!$N:$N,Accounts!$AG:$AG)+SUMPRODUCT(Accounts!$N:$N,Accounts!$AL:$AL)</f>
        <v/>
      </c>
      <c r="Q31" s="82">
        <f>SUMPRODUCT(Accounts!$N:$N,Accounts!$AQ:$AQ)</f>
        <v/>
      </c>
      <c r="S31" s="82">
        <f>SUMPRODUCT(--(Accounts!$E:$E="QBO"),Accounts!$I:$I,Accounts!$AA:$AA)+SUMPRODUCT(--(Accounts!$E:$E="QBO"),Accounts!$I:$I,Accounts!$AH:$AH)+SUMPRODUCT(--(Accounts!$E:$E="QBO"),Accounts!$I:$I,Accounts!$AJ:$AJ)+SUMPRODUCT(--(Accounts!$E:$E="QBO"),Accounts!$I:$I,Accounts!$AI:$AI)+SUMPRODUCT(--(Accounts!$E:$E="QBO"),Accounts!$I:$I,Accounts!$AO:$AO)</f>
        <v/>
      </c>
      <c r="T31" s="82">
        <f>SUMPRODUCT(--(Accounts!$E:$E="QBDT"),Accounts!$I:$I,Accounts!$AA:$AA)+SUMPRODUCT(--(Accounts!$E:$E="QBDT"),Accounts!$I:$I,Accounts!$AH:$AH)+SUMPRODUCT(--(Accounts!$E:$E="QBDT"),Accounts!$I:$I,Accounts!$AJ:$AJ)+SUMPRODUCT(--(Accounts!$E:$E="QBDT"),Accounts!$I:$I,Accounts!$AI:$AI)+SUMPRODUCT(--(Accounts!$E:$E="QBDT"),Accounts!$I:$I,Accounts!$AO:$AO)</f>
        <v/>
      </c>
      <c r="U31" s="82">
        <f>SUMPRODUCT(--(Accounts!$E:$E="QBO"),Accounts!$I:$I,Accounts!$AC:$AC)+SUMPRODUCT(--(Accounts!$E:$E="QBO"),Accounts!$I:$I,Accounts!$AF:$AF)+SUMPRODUCT(--(Accounts!$E:$E="QBO"),Accounts!$I:$I,Accounts!$AK:$AK)</f>
        <v/>
      </c>
      <c r="V31" s="82">
        <f>SUMPRODUCT(--(Accounts!$E:$E="QBDT"),Accounts!$I:$I,Accounts!$AC:$AC)+SUMPRODUCT(--(Accounts!$E:$E="QBDT"),Accounts!$I:$I,Accounts!$AF:$AF)+SUMPRODUCT(--(Accounts!$E:$E="QBDT"),Accounts!$I:$I,Accounts!$AK:$AK)</f>
        <v/>
      </c>
      <c r="W31" s="82">
        <f>SUMPRODUCT(--(Accounts!$E:$E="QBO"),Accounts!$I:$I,Accounts!$AB:$AB)</f>
        <v/>
      </c>
      <c r="X31" s="82">
        <f>SUMPRODUCT(--(Accounts!$E:$E="QBDT"),Accounts!$I:$I,Accounts!$AB:$AB)</f>
        <v/>
      </c>
      <c r="Y31" s="82">
        <f>SUMPRODUCT(--(Accounts!$E:$E="QBO"),Accounts!$I:$I,Accounts!$AD:$AD)+SUMPRODUCT(--(Accounts!$E:$E="QBO"),Accounts!$I:$I,Accounts!$AM:$AM)+SUMPRODUCT(--(Accounts!$E:$E="QBO"),Accounts!$I:$I,Accounts!$AN:$AN)</f>
        <v/>
      </c>
      <c r="Z31" s="82">
        <f>SUMPRODUCT(--(Accounts!$E:$E="QBDT"),Accounts!$I:$I,Accounts!$AD:$AD)+SUMPRODUCT(--(Accounts!$E:$E="QBDT"),Accounts!$I:$I,Accounts!$AM:$AM)+SUMPRODUCT(--(Accounts!$E:$E="QBDT"),Accounts!$I:$I,Accounts!$AN:$AN)</f>
        <v/>
      </c>
      <c r="AA31" s="82">
        <f>SUMPRODUCT(--(Accounts!$E:$E="QBO"),Accounts!$I:$I,Accounts!$AE:$AE)+SUMPRODUCT(--(Accounts!$E:$E="QBO"),Accounts!$I:$I,Accounts!$AP:$AP)</f>
        <v/>
      </c>
      <c r="AB31" s="82">
        <f>SUMPRODUCT(--(Accounts!$E:$E="QBDT"),Accounts!$I:$I,Accounts!$AE:$AE)+SUMPRODUCT(--(Accounts!$E:$E="QBDT"),Accounts!$I:$I,Accounts!$AP:$AP)</f>
        <v/>
      </c>
      <c r="AC31" s="82">
        <f>SUMPRODUCT(--(Accounts!$E:$E="QBO"),Accounts!$I:$I,Accounts!$Z:$Z)</f>
        <v/>
      </c>
      <c r="AD31" s="82">
        <f>SUMPRODUCT(--(Accounts!$E:$E="QBDT"),Accounts!$I:$I,Accounts!$Z:$Z)</f>
        <v/>
      </c>
      <c r="AE31" s="82">
        <f>SUMPRODUCT(--(Accounts!$E:$E="QBO"),Accounts!$I:$I,Accounts!$AG:$AG)+SUMPRODUCT(--(Accounts!$E:$E="QBO"),Accounts!$I:$I,Accounts!$AL:$AL)</f>
        <v/>
      </c>
      <c r="AF31" s="82">
        <f>SUMPRODUCT(--(Accounts!$E:$E="QBDT"),Accounts!$I:$I,Accounts!$AG:$AG)+SUMPRODUCT(--(Accounts!$E:$E="QBDT"),Accounts!$I:$I,Accounts!$AL:$AL)</f>
        <v/>
      </c>
      <c r="AG31" s="82">
        <f>SUMPRODUCT(--(Accounts!$E:$E="QBO"),Accounts!$I:$I,Accounts!$AQ:$AQ)</f>
        <v/>
      </c>
      <c r="AH31" s="82">
        <f>SUMPRODUCT(--(Accounts!$E:$E="QBDT"),Accounts!$I:$I,Accounts!$AQ:$AQ)</f>
        <v/>
      </c>
      <c r="AI31" s="82">
        <f>SUMPRODUCT(--(Accounts!$E:$E="QBO"),Accounts!$N:$N,Accounts!$AA:$AA)+SUMPRODUCT(--(Accounts!$E:$E="QBO"),Accounts!$N:$N,Accounts!$AH:$AH)+SUMPRODUCT(--(Accounts!$E:$E="QBO"),Accounts!$N:$N,Accounts!$AJ:$AJ)+SUMPRODUCT(--(Accounts!$E:$E="QBO"),Accounts!$N:$N,Accounts!$AI:$AI)+SUMPRODUCT(--(Accounts!$E:$E="QBO"),Accounts!$N:$N,Accounts!$AO:$AO)</f>
        <v/>
      </c>
      <c r="AJ31" s="82">
        <f>SUMPRODUCT(--(Accounts!$E:$E="QBDT"),Accounts!$N:$N,Accounts!$AA:$AA)+SUMPRODUCT(--(Accounts!$E:$E="QBDT"),Accounts!$N:$N,Accounts!$AH:$AH)+SUMPRODUCT(--(Accounts!$E:$E="QBDT"),Accounts!$N:$N,Accounts!$AJ:$AJ)+SUMPRODUCT(--(Accounts!$E:$E="QBDT"),Accounts!$N:$N,Accounts!$AI:$AI)+SUMPRODUCT(--(Accounts!$E:$E="QBDT"),Accounts!$N:$N,Accounts!$AO:$AO)</f>
        <v/>
      </c>
      <c r="AK31" s="82">
        <f>SUMPRODUCT(--(Accounts!$E:$E="QBO"),Accounts!$N:$N,Accounts!$AC:$AC)+SUMPRODUCT(--(Accounts!$E:$E="QBO"),Accounts!$N:$N,Accounts!$AF:$AF)+SUMPRODUCT(--(Accounts!$E:$E="QBO"),Accounts!$N:$N,Accounts!$AK:$AK)</f>
        <v/>
      </c>
      <c r="AL31" s="82">
        <f>SUMPRODUCT(--(Accounts!$E:$E="QBDT"),Accounts!$N:$N,Accounts!$AC:$AC)+SUMPRODUCT(--(Accounts!$E:$E="QBDT"),Accounts!$N:$N,Accounts!$AF:$AF)+SUMPRODUCT(--(Accounts!$E:$E="QBDT"),Accounts!$N:$N,Accounts!$AK:$AK)</f>
        <v/>
      </c>
      <c r="AM31" s="82">
        <f>SUMPRODUCT(--(Accounts!$E:$E="QBO"),Accounts!$N:$N,Accounts!$AB:$AB)</f>
        <v/>
      </c>
      <c r="AN31" s="82">
        <f>SUMPRODUCT(--(Accounts!$E:$E="QBDT"),Accounts!$N:$N,Accounts!$AB:$AB)</f>
        <v/>
      </c>
      <c r="AO31" s="82">
        <f>SUMPRODUCT(--(Accounts!$E:$E="QBO"),Accounts!$N:$N,Accounts!$AD:$AD)+SUMPRODUCT(--(Accounts!$E:$E="QBO"),Accounts!$N:$N,Accounts!$AM:$AM)+SUMPRODUCT(--(Accounts!$E:$E="QBO"),Accounts!$N:$N,Accounts!$AN:$AN)</f>
        <v/>
      </c>
      <c r="AP31" s="82">
        <f>SUMPRODUCT(--(Accounts!$E:$E="QBDT"),Accounts!$N:$N,Accounts!$AD:$AD)+SUMPRODUCT(--(Accounts!$E:$E="QBDT"),Accounts!$N:$N,Accounts!$AM:$AM)+SUMPRODUCT(--(Accounts!$E:$E="QBDT"),Accounts!$N:$N,Accounts!$AN:$AN)</f>
        <v/>
      </c>
      <c r="AQ31" s="82">
        <f>SUMPRODUCT(--(Accounts!$E:$E="QBO"),Accounts!$N:$N,Accounts!$AE:$AE)+SUMPRODUCT(--(Accounts!$E:$E="QBO"),Accounts!$N:$N,Accounts!$AP:$AP)</f>
        <v/>
      </c>
      <c r="AR31" s="82">
        <f>SUMPRODUCT(--(Accounts!$E:$E="QBDT"),Accounts!$N:$N,Accounts!$AE:$AE)+SUMPRODUCT(--(Accounts!$E:$E="QBDT"),Accounts!$N:$N,Accounts!$AP:$AP)</f>
        <v/>
      </c>
      <c r="AS31" s="82">
        <f>SUMPRODUCT(--(Accounts!$E:$E="QBO"),Accounts!$N:$N,Accounts!$Z:$Z)</f>
        <v/>
      </c>
      <c r="AT31" s="82">
        <f>SUMPRODUCT(--(Accounts!$E:$E="QBDT"),Accounts!$N:$N,Accounts!$Z:$Z)</f>
        <v/>
      </c>
      <c r="AU31" s="82">
        <f>SUMPRODUCT(--(Accounts!$E:$E="QBO"),Accounts!$N:$N,Accounts!$AG:$AG)+SUMPRODUCT(--(Accounts!$E:$E="QBO"),Accounts!$N:$N,Accounts!$AL:$AL)</f>
        <v/>
      </c>
      <c r="AV31" s="82">
        <f>SUMPRODUCT(--(Accounts!$E:$E="QBDT"),Accounts!$N:$N,Accounts!$AG:$AG)+SUMPRODUCT(--(Accounts!$E:$E="QBDT"),Accounts!$N:$N,Accounts!$AL:$AL)</f>
        <v/>
      </c>
      <c r="AW31" s="82">
        <f>SUMPRODUCT(--(Accounts!$E:$E="QBO"),Accounts!$N:$N,Accounts!$AQ:$AQ)</f>
        <v/>
      </c>
      <c r="AX31" s="82">
        <f>SUMPRODUCT(--(Accounts!$E:$E="QBDT"),Accounts!$N:$N,Accounts!$AQ:$AQ)</f>
        <v/>
      </c>
    </row>
    <row r="32"/>
    <row r="33">
      <c r="B33" s="72" t="n"/>
      <c r="C33" s="72" t="n"/>
      <c r="D33" s="72" t="n"/>
      <c r="E33" s="72" t="n"/>
      <c r="F33" s="72" t="n"/>
      <c r="G33" s="72" t="n"/>
      <c r="H33" s="72" t="n"/>
      <c r="I33" s="72" t="n"/>
      <c r="J33" s="72" t="n"/>
      <c r="K33" s="72" t="n"/>
      <c r="L33" s="72" t="n"/>
      <c r="M33" s="72" t="n"/>
      <c r="N33" s="72" t="n"/>
      <c r="O33" s="72" t="n"/>
      <c r="P33" s="72" t="n"/>
      <c r="Q33" s="72" t="n"/>
      <c r="R33" s="72" t="n"/>
      <c r="S33" s="72" t="n"/>
    </row>
    <row r="34"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</row>
    <row r="35"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</row>
    <row r="36">
      <c r="B36" s="72" t="n"/>
      <c r="C36" s="72" t="n"/>
      <c r="D36" s="72" t="n"/>
      <c r="E36" s="72" t="n"/>
      <c r="F36" s="72" t="n"/>
      <c r="G36" s="72" t="n"/>
      <c r="H36" s="72" t="n"/>
      <c r="I36" s="72" t="n"/>
      <c r="J36" s="72" t="n"/>
      <c r="K36" s="72" t="n"/>
      <c r="L36" s="72" t="n"/>
      <c r="M36" s="72" t="n"/>
      <c r="N36" s="72" t="n"/>
      <c r="O36" s="72" t="n"/>
      <c r="P36" s="72" t="n"/>
      <c r="Q36" s="72" t="n"/>
      <c r="R36" s="72" t="n"/>
      <c r="S36" s="72" t="n"/>
    </row>
    <row r="37">
      <c r="B37" s="72" t="n"/>
      <c r="C37" s="72" t="n"/>
      <c r="D37" s="72" t="n"/>
      <c r="E37" s="72" t="n"/>
      <c r="F37" s="72" t="n"/>
      <c r="G37" s="72" t="n"/>
      <c r="H37" s="72" t="n"/>
      <c r="I37" s="72" t="n"/>
      <c r="J37" s="72" t="n"/>
      <c r="K37" s="72" t="n"/>
      <c r="L37" s="72" t="n"/>
      <c r="M37" s="72" t="n"/>
      <c r="N37" s="72" t="n"/>
      <c r="O37" s="72" t="n"/>
      <c r="P37" s="72" t="n"/>
      <c r="Q37" s="72" t="n"/>
      <c r="R37" s="72" t="n"/>
      <c r="S37" s="72" t="n"/>
    </row>
    <row r="38">
      <c r="B38" s="72" t="n"/>
      <c r="C38" s="72" t="n"/>
      <c r="D38" s="72" t="n"/>
      <c r="E38" s="72" t="n"/>
      <c r="F38" s="72" t="n"/>
      <c r="G38" s="72" t="n"/>
      <c r="H38" s="72" t="n"/>
      <c r="I38" s="72" t="n"/>
      <c r="J38" s="72" t="n"/>
      <c r="K38" s="72" t="n"/>
      <c r="L38" s="72" t="n"/>
      <c r="M38" s="72" t="n"/>
      <c r="N38" s="72" t="n"/>
      <c r="O38" s="72" t="n"/>
      <c r="P38" s="72" t="n"/>
      <c r="Q38" s="72" t="n"/>
      <c r="R38" s="72" t="n"/>
      <c r="S38" s="72" t="n"/>
    </row>
    <row r="39">
      <c r="B39" s="72" t="n"/>
      <c r="C39" s="72" t="n"/>
      <c r="D39" s="72" t="n"/>
      <c r="E39" s="72" t="n"/>
      <c r="F39" s="72" t="n"/>
      <c r="G39" s="72" t="n"/>
      <c r="H39" s="72" t="n"/>
      <c r="I39" s="72" t="n"/>
      <c r="J39" s="72" t="n"/>
      <c r="K39" s="72" t="n"/>
      <c r="L39" s="72" t="n"/>
      <c r="M39" s="72" t="n"/>
      <c r="N39" s="72" t="n"/>
      <c r="O39" s="72" t="n"/>
      <c r="P39" s="72" t="n"/>
      <c r="Q39" s="72" t="n"/>
      <c r="R39" s="72" t="n"/>
      <c r="S39" s="72" t="n"/>
    </row>
    <row r="40">
      <c r="B40" s="72" t="n"/>
      <c r="C40" s="72" t="n"/>
      <c r="D40" s="72" t="n"/>
      <c r="E40" s="72" t="n"/>
      <c r="F40" s="72" t="n"/>
      <c r="G40" s="72" t="n"/>
      <c r="H40" s="72" t="n"/>
      <c r="I40" s="72" t="n"/>
      <c r="J40" s="72" t="n"/>
      <c r="K40" s="72" t="n"/>
      <c r="L40" s="72" t="n"/>
      <c r="M40" s="72" t="n"/>
      <c r="N40" s="72" t="n"/>
      <c r="O40" s="72" t="n"/>
      <c r="P40" s="72" t="n"/>
      <c r="Q40" s="72" t="n"/>
      <c r="R40" s="72" t="n"/>
      <c r="S40" s="72" t="n"/>
    </row>
    <row r="41"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</row>
    <row r="42"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</row>
    <row r="43">
      <c r="B43" s="72" t="n"/>
      <c r="C43" s="72" t="n"/>
      <c r="D43" s="72" t="n"/>
      <c r="E43" s="72" t="n"/>
      <c r="F43" s="72" t="n"/>
      <c r="G43" s="72" t="n"/>
      <c r="H43" s="72" t="n"/>
      <c r="I43" s="72" t="n"/>
      <c r="J43" s="72" t="n"/>
      <c r="K43" s="72" t="n"/>
      <c r="L43" s="72" t="n"/>
      <c r="M43" s="72" t="n"/>
      <c r="N43" s="72" t="n"/>
      <c r="O43" s="72" t="n"/>
      <c r="P43" s="72" t="n"/>
      <c r="Q43" s="72" t="n"/>
      <c r="R43" s="72" t="n"/>
      <c r="S43" s="72" t="n"/>
    </row>
    <row r="44">
      <c r="B44" s="72" t="n"/>
      <c r="C44" s="72" t="n"/>
      <c r="D44" s="72" t="n"/>
      <c r="E44" s="72" t="n"/>
      <c r="F44" s="72" t="n"/>
      <c r="G44" s="72" t="n"/>
      <c r="H44" s="72" t="n"/>
      <c r="I44" s="72" t="n"/>
      <c r="J44" s="72" t="n"/>
      <c r="K44" s="72" t="n"/>
      <c r="L44" s="72" t="n"/>
      <c r="M44" s="72" t="n"/>
      <c r="N44" s="72" t="n"/>
      <c r="O44" s="72" t="n"/>
      <c r="P44" s="72" t="n"/>
      <c r="Q44" s="72" t="n"/>
      <c r="R44" s="72" t="n"/>
      <c r="S44" s="72" t="n"/>
    </row>
    <row r="45">
      <c r="B45" s="72" t="n"/>
      <c r="C45" s="72" t="n"/>
      <c r="D45" s="72" t="n"/>
      <c r="E45" s="72" t="n"/>
      <c r="F45" s="72" t="n"/>
      <c r="G45" s="72" t="n"/>
      <c r="H45" s="72" t="n"/>
      <c r="I45" s="72" t="n"/>
      <c r="J45" s="72" t="n"/>
      <c r="K45" s="72" t="n"/>
      <c r="L45" s="72" t="n"/>
      <c r="M45" s="72" t="n"/>
      <c r="N45" s="72" t="n"/>
      <c r="O45" s="72" t="n"/>
      <c r="P45" s="72" t="n"/>
      <c r="Q45" s="72" t="n"/>
      <c r="R45" s="72" t="n"/>
      <c r="S45" s="72" t="n"/>
    </row>
    <row r="46">
      <c r="B46" s="72" t="n"/>
      <c r="C46" s="72" t="n"/>
      <c r="D46" s="72" t="n"/>
      <c r="E46" s="72" t="n"/>
      <c r="F46" s="72" t="n"/>
      <c r="G46" s="72" t="n"/>
      <c r="H46" s="72" t="n"/>
      <c r="I46" s="72" t="n"/>
      <c r="J46" s="72" t="n"/>
      <c r="K46" s="72" t="n"/>
      <c r="L46" s="72" t="n"/>
      <c r="M46" s="72" t="n"/>
      <c r="N46" s="72" t="n"/>
      <c r="O46" s="72" t="n"/>
      <c r="P46" s="72" t="n"/>
      <c r="Q46" s="72" t="n"/>
      <c r="R46" s="72" t="n"/>
      <c r="S46" s="72" t="n"/>
    </row>
    <row r="47">
      <c r="B47" s="72" t="n"/>
      <c r="C47" s="72" t="n"/>
      <c r="D47" s="72" t="n"/>
      <c r="E47" s="72" t="n"/>
      <c r="F47" s="72" t="n"/>
      <c r="G47" s="72" t="n"/>
      <c r="H47" s="72" t="n"/>
      <c r="I47" s="72" t="n"/>
      <c r="J47" s="72" t="n"/>
      <c r="K47" s="72" t="n"/>
      <c r="L47" s="72" t="n"/>
      <c r="M47" s="72" t="n"/>
      <c r="N47" s="72" t="n"/>
      <c r="O47" s="72" t="n"/>
      <c r="P47" s="72" t="n"/>
      <c r="Q47" s="72" t="n"/>
      <c r="R47" s="72" t="n"/>
      <c r="S47" s="72" t="n"/>
    </row>
    <row r="48"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</row>
    <row r="49"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</row>
    <row r="50">
      <c r="B50" s="72" t="n"/>
      <c r="C50" s="72" t="n"/>
      <c r="D50" s="72" t="n"/>
      <c r="E50" s="72" t="n"/>
      <c r="F50" s="72" t="n"/>
      <c r="G50" s="72" t="n"/>
      <c r="H50" s="72" t="n"/>
      <c r="I50" s="72" t="n"/>
      <c r="J50" s="72" t="n"/>
      <c r="K50" s="72" t="n"/>
      <c r="L50" s="72" t="n"/>
      <c r="M50" s="72" t="n"/>
      <c r="N50" s="72" t="n"/>
      <c r="O50" s="72" t="n"/>
      <c r="P50" s="72" t="n"/>
      <c r="Q50" s="72" t="n"/>
      <c r="R50" s="72" t="n"/>
      <c r="S50" s="72" t="n"/>
    </row>
    <row r="51">
      <c r="B51" s="72" t="n"/>
      <c r="C51" s="72" t="n"/>
      <c r="D51" s="72" t="n"/>
      <c r="E51" s="72" t="n"/>
      <c r="F51" s="72" t="n"/>
      <c r="G51" s="72" t="n"/>
      <c r="H51" s="72" t="n"/>
      <c r="I51" s="72" t="n"/>
      <c r="J51" s="72" t="n"/>
      <c r="K51" s="72" t="n"/>
      <c r="L51" s="72" t="n"/>
      <c r="M51" s="72" t="n"/>
      <c r="N51" s="72" t="n"/>
      <c r="O51" s="72" t="n"/>
      <c r="P51" s="72" t="n"/>
      <c r="Q51" s="72" t="n"/>
      <c r="R51" s="72" t="n"/>
      <c r="S51" s="72" t="n"/>
    </row>
    <row r="52">
      <c r="B52" s="72" t="n"/>
      <c r="C52" s="72" t="n"/>
      <c r="D52" s="72" t="n"/>
      <c r="E52" s="72" t="n"/>
      <c r="F52" s="72" t="n"/>
      <c r="G52" s="72" t="n"/>
      <c r="H52" s="72" t="n"/>
      <c r="I52" s="72" t="n"/>
      <c r="J52" s="72" t="n"/>
      <c r="K52" s="72" t="n"/>
      <c r="L52" s="72" t="n"/>
      <c r="M52" s="72" t="n"/>
      <c r="N52" s="72" t="n"/>
      <c r="O52" s="72" t="n"/>
      <c r="P52" s="72" t="n"/>
      <c r="Q52" s="72" t="n"/>
      <c r="R52" s="72" t="n"/>
      <c r="S52" s="72" t="n"/>
    </row>
    <row r="53">
      <c r="B53" s="72" t="n"/>
      <c r="C53" s="72" t="n"/>
      <c r="D53" s="72" t="n"/>
      <c r="E53" s="72" t="n"/>
      <c r="F53" s="72" t="n"/>
      <c r="G53" s="72" t="n"/>
      <c r="H53" s="72" t="n"/>
      <c r="I53" s="72" t="n"/>
      <c r="J53" s="72" t="n"/>
      <c r="K53" s="72" t="n"/>
      <c r="L53" s="72" t="n"/>
      <c r="M53" s="72" t="n"/>
      <c r="N53" s="72" t="n"/>
      <c r="O53" s="72" t="n"/>
      <c r="P53" s="72" t="n"/>
      <c r="Q53" s="72" t="n"/>
      <c r="R53" s="72" t="n"/>
      <c r="S53" s="72" t="n"/>
    </row>
    <row r="54">
      <c r="B54" s="72" t="n"/>
      <c r="C54" s="72" t="n"/>
      <c r="D54" s="72" t="n"/>
      <c r="E54" s="72" t="n"/>
      <c r="F54" s="72" t="n"/>
      <c r="G54" s="72" t="n"/>
      <c r="H54" s="72" t="n"/>
      <c r="I54" s="72" t="n"/>
      <c r="J54" s="72" t="n"/>
      <c r="K54" s="72" t="n"/>
      <c r="L54" s="72" t="n"/>
      <c r="M54" s="72" t="n"/>
      <c r="N54" s="72" t="n"/>
      <c r="O54" s="72" t="n"/>
      <c r="P54" s="72" t="n"/>
      <c r="Q54" s="72" t="n"/>
      <c r="R54" s="72" t="n"/>
      <c r="S54" s="72" t="n"/>
    </row>
    <row r="55"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72" t="n"/>
      <c r="L55" s="72" t="n"/>
      <c r="M55" s="72" t="n"/>
      <c r="N55" s="72" t="n"/>
      <c r="O55" s="72" t="n"/>
      <c r="P55" s="72" t="n"/>
      <c r="Q55" s="72" t="n"/>
      <c r="R55" s="72" t="n"/>
      <c r="S55" s="72" t="n"/>
    </row>
    <row r="56"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</row>
    <row r="57">
      <c r="B57" s="72" t="n"/>
      <c r="C57" s="72" t="n"/>
      <c r="D57" s="72" t="n"/>
      <c r="E57" s="72" t="n"/>
      <c r="F57" s="72" t="n"/>
      <c r="G57" s="72" t="n"/>
      <c r="H57" s="72" t="n"/>
      <c r="I57" s="72" t="n"/>
      <c r="J57" s="72" t="n"/>
      <c r="K57" s="72" t="n"/>
      <c r="L57" s="72" t="n"/>
      <c r="M57" s="72" t="n"/>
      <c r="N57" s="72" t="n"/>
      <c r="O57" s="72" t="n"/>
      <c r="P57" s="72" t="n"/>
      <c r="Q57" s="72" t="n"/>
      <c r="R57" s="72" t="n"/>
      <c r="S57" s="72" t="n"/>
    </row>
    <row r="58">
      <c r="B58" s="72" t="n"/>
      <c r="C58" s="72" t="n"/>
      <c r="D58" s="72" t="n"/>
      <c r="E58" s="72" t="n"/>
      <c r="F58" s="72" t="n"/>
      <c r="G58" s="72" t="n"/>
      <c r="H58" s="72" t="n"/>
      <c r="I58" s="72" t="n"/>
      <c r="J58" s="72" t="n"/>
      <c r="K58" s="72" t="n"/>
      <c r="L58" s="72" t="n"/>
      <c r="M58" s="72" t="n"/>
      <c r="N58" s="72" t="n"/>
      <c r="O58" s="72" t="n"/>
      <c r="P58" s="72" t="n"/>
      <c r="Q58" s="72" t="n"/>
      <c r="R58" s="72" t="n"/>
      <c r="S58" s="72" t="n"/>
    </row>
    <row r="59">
      <c r="B59" s="72" t="n"/>
      <c r="C59" s="72" t="n"/>
      <c r="D59" s="72" t="n"/>
      <c r="E59" s="72" t="n"/>
      <c r="F59" s="72" t="n"/>
      <c r="G59" s="72" t="n"/>
      <c r="H59" s="72" t="n"/>
      <c r="I59" s="72" t="n"/>
      <c r="J59" s="72" t="n"/>
      <c r="K59" s="72" t="n"/>
      <c r="L59" s="72" t="n"/>
      <c r="M59" s="72" t="n"/>
      <c r="N59" s="72" t="n"/>
      <c r="O59" s="72" t="n"/>
      <c r="P59" s="72" t="n"/>
      <c r="Q59" s="72" t="n"/>
      <c r="R59" s="72" t="n"/>
      <c r="S59" s="72" t="n"/>
    </row>
    <row r="60">
      <c r="B60" s="72" t="n"/>
      <c r="C60" s="72" t="n"/>
      <c r="D60" s="72" t="n"/>
      <c r="E60" s="72" t="n"/>
      <c r="F60" s="72" t="n"/>
      <c r="G60" s="72" t="n"/>
      <c r="H60" s="72" t="n"/>
      <c r="I60" s="72" t="n"/>
      <c r="J60" s="72" t="n"/>
      <c r="K60" s="72" t="n"/>
      <c r="L60" s="72" t="n"/>
      <c r="M60" s="72" t="n"/>
      <c r="N60" s="72" t="n"/>
      <c r="O60" s="72" t="n"/>
      <c r="P60" s="72" t="n"/>
      <c r="Q60" s="72" t="n"/>
      <c r="R60" s="72" t="n"/>
      <c r="S60" s="72" t="n"/>
    </row>
    <row r="61">
      <c r="B61" s="72" t="n"/>
      <c r="C61" s="72" t="n"/>
      <c r="D61" s="72" t="n"/>
      <c r="E61" s="72" t="n"/>
      <c r="F61" s="72" t="n"/>
      <c r="G61" s="72" t="n"/>
      <c r="H61" s="72" t="n"/>
      <c r="I61" s="72" t="n"/>
      <c r="J61" s="72" t="n"/>
      <c r="K61" s="72" t="n"/>
      <c r="L61" s="72" t="n"/>
      <c r="M61" s="72" t="n"/>
      <c r="N61" s="72" t="n"/>
      <c r="O61" s="72" t="n"/>
      <c r="P61" s="72" t="n"/>
      <c r="Q61" s="72" t="n"/>
      <c r="R61" s="72" t="n"/>
      <c r="S61" s="72" t="n"/>
    </row>
    <row r="62"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</row>
    <row r="63"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</row>
    <row r="64">
      <c r="B64" s="72" t="n"/>
      <c r="C64" s="72" t="n"/>
      <c r="D64" s="72" t="n"/>
      <c r="E64" s="72" t="n"/>
      <c r="F64" s="72" t="n"/>
      <c r="G64" s="72" t="n"/>
      <c r="H64" s="72" t="n"/>
      <c r="I64" s="72" t="n"/>
      <c r="J64" s="72" t="n"/>
      <c r="K64" s="72" t="n"/>
      <c r="L64" s="72" t="n"/>
      <c r="M64" s="72" t="n"/>
      <c r="N64" s="72" t="n"/>
      <c r="O64" s="72" t="n"/>
      <c r="P64" s="72" t="n"/>
      <c r="Q64" s="72" t="n"/>
      <c r="R64" s="72" t="n"/>
      <c r="S64" s="72" t="n"/>
    </row>
    <row r="65">
      <c r="B65" s="72" t="n"/>
      <c r="C65" s="72" t="n"/>
      <c r="D65" s="72" t="n"/>
      <c r="E65" s="72" t="n"/>
      <c r="F65" s="72" t="n"/>
      <c r="G65" s="72" t="n"/>
      <c r="H65" s="72" t="n"/>
      <c r="I65" s="72" t="n"/>
      <c r="J65" s="72" t="n"/>
      <c r="K65" s="72" t="n"/>
      <c r="L65" s="72" t="n"/>
      <c r="M65" s="72" t="n"/>
      <c r="N65" s="72" t="n"/>
      <c r="O65" s="72" t="n"/>
      <c r="P65" s="72" t="n"/>
      <c r="Q65" s="72" t="n"/>
      <c r="R65" s="72" t="n"/>
      <c r="S65" s="72" t="n"/>
    </row>
    <row r="66">
      <c r="B66" s="72" t="n"/>
      <c r="C66" s="72" t="n"/>
      <c r="D66" s="72" t="n"/>
      <c r="E66" s="72" t="n"/>
      <c r="F66" s="72" t="n"/>
      <c r="G66" s="72" t="n"/>
      <c r="H66" s="72" t="n"/>
      <c r="I66" s="72" t="n"/>
      <c r="J66" s="72" t="n"/>
      <c r="K66" s="72" t="n"/>
      <c r="L66" s="72" t="n"/>
      <c r="M66" s="72" t="n"/>
      <c r="N66" s="72" t="n"/>
      <c r="O66" s="72" t="n"/>
      <c r="P66" s="72" t="n"/>
      <c r="Q66" s="72" t="n"/>
      <c r="R66" s="72" t="n"/>
      <c r="S66" s="72" t="n"/>
    </row>
    <row r="67">
      <c r="B67" s="72" t="n"/>
      <c r="C67" s="72" t="n"/>
      <c r="D67" s="72" t="n"/>
      <c r="E67" s="72" t="n"/>
      <c r="F67" s="72" t="n"/>
      <c r="G67" s="72" t="n"/>
      <c r="H67" s="72" t="n"/>
      <c r="I67" s="72" t="n"/>
      <c r="J67" s="72" t="n"/>
      <c r="K67" s="72" t="n"/>
      <c r="L67" s="72" t="n"/>
      <c r="M67" s="72" t="n"/>
      <c r="N67" s="72" t="n"/>
      <c r="O67" s="72" t="n"/>
      <c r="P67" s="72" t="n"/>
      <c r="Q67" s="72" t="n"/>
      <c r="R67" s="72" t="n"/>
      <c r="S67" s="72" t="n"/>
    </row>
    <row r="68">
      <c r="B68" s="72" t="n"/>
      <c r="C68" s="72" t="n"/>
      <c r="D68" s="72" t="n"/>
      <c r="E68" s="72" t="n"/>
      <c r="F68" s="72" t="n"/>
      <c r="G68" s="72" t="n"/>
      <c r="H68" s="72" t="n"/>
      <c r="I68" s="72" t="n"/>
      <c r="J68" s="72" t="n"/>
      <c r="K68" s="72" t="n"/>
      <c r="L68" s="72" t="n"/>
      <c r="M68" s="72" t="n"/>
      <c r="N68" s="72" t="n"/>
      <c r="O68" s="72" t="n"/>
      <c r="P68" s="72" t="n"/>
      <c r="Q68" s="72" t="n"/>
      <c r="R68" s="72" t="n"/>
      <c r="S68" s="72" t="n"/>
    </row>
    <row r="69"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</row>
    <row r="70"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</row>
    <row r="71">
      <c r="B71" s="72" t="n"/>
      <c r="C71" s="72" t="n"/>
      <c r="D71" s="72" t="n"/>
      <c r="E71" s="72" t="n"/>
      <c r="F71" s="72" t="n"/>
      <c r="G71" s="72" t="n"/>
      <c r="H71" s="72" t="n"/>
      <c r="I71" s="72" t="n"/>
      <c r="J71" s="72" t="n"/>
      <c r="K71" s="72" t="n"/>
      <c r="L71" s="72" t="n"/>
      <c r="M71" s="72" t="n"/>
      <c r="N71" s="72" t="n"/>
      <c r="O71" s="72" t="n"/>
      <c r="P71" s="72" t="n"/>
      <c r="Q71" s="72" t="n"/>
      <c r="R71" s="72" t="n"/>
      <c r="S71" s="72" t="n"/>
    </row>
    <row r="72">
      <c r="B72" s="72" t="n"/>
      <c r="C72" s="72" t="n"/>
      <c r="D72" s="72" t="n"/>
      <c r="E72" s="72" t="n"/>
      <c r="F72" s="72" t="n"/>
      <c r="G72" s="72" t="n"/>
      <c r="H72" s="72" t="n"/>
      <c r="I72" s="72" t="n"/>
      <c r="J72" s="72" t="n"/>
      <c r="K72" s="72" t="n"/>
      <c r="L72" s="72" t="n"/>
      <c r="M72" s="72" t="n"/>
      <c r="N72" s="72" t="n"/>
      <c r="O72" s="72" t="n"/>
      <c r="P72" s="72" t="n"/>
      <c r="Q72" s="72" t="n"/>
      <c r="R72" s="72" t="n"/>
      <c r="S72" s="72" t="n"/>
    </row>
    <row r="73">
      <c r="B73" s="72" t="n"/>
      <c r="C73" s="72" t="n"/>
      <c r="D73" s="72" t="n"/>
      <c r="E73" s="72" t="n"/>
      <c r="F73" s="72" t="n"/>
      <c r="G73" s="72" t="n"/>
      <c r="H73" s="72" t="n"/>
      <c r="I73" s="72" t="n"/>
      <c r="J73" s="72" t="n"/>
      <c r="K73" s="72" t="n"/>
      <c r="L73" s="72" t="n"/>
      <c r="M73" s="72" t="n"/>
      <c r="N73" s="72" t="n"/>
      <c r="O73" s="72" t="n"/>
      <c r="P73" s="72" t="n"/>
      <c r="Q73" s="72" t="n"/>
      <c r="R73" s="72" t="n"/>
      <c r="S73" s="72" t="n"/>
    </row>
    <row r="74">
      <c r="B74" s="72" t="n"/>
      <c r="C74" s="72" t="n"/>
      <c r="D74" s="72" t="n"/>
      <c r="E74" s="72" t="n"/>
      <c r="F74" s="72" t="n"/>
      <c r="G74" s="72" t="n"/>
      <c r="H74" s="72" t="n"/>
      <c r="I74" s="72" t="n"/>
      <c r="J74" s="72" t="n"/>
      <c r="K74" s="72" t="n"/>
      <c r="L74" s="72" t="n"/>
      <c r="M74" s="72" t="n"/>
      <c r="N74" s="72" t="n"/>
      <c r="O74" s="72" t="n"/>
      <c r="P74" s="72" t="n"/>
      <c r="Q74" s="72" t="n"/>
      <c r="R74" s="72" t="n"/>
      <c r="S74" s="72" t="n"/>
    </row>
    <row r="75">
      <c r="B75" s="72" t="n"/>
      <c r="C75" s="72" t="n"/>
      <c r="D75" s="72" t="n"/>
      <c r="E75" s="72" t="n"/>
      <c r="F75" s="72" t="n"/>
      <c r="G75" s="72" t="n"/>
      <c r="H75" s="72" t="n"/>
      <c r="I75" s="72" t="n"/>
      <c r="J75" s="72" t="n"/>
      <c r="K75" s="72" t="n"/>
      <c r="L75" s="72" t="n"/>
      <c r="M75" s="72" t="n"/>
      <c r="N75" s="72" t="n"/>
      <c r="O75" s="72" t="n"/>
      <c r="P75" s="72" t="n"/>
      <c r="Q75" s="72" t="n"/>
      <c r="R75" s="72" t="n"/>
      <c r="S75" s="72" t="n"/>
    </row>
    <row r="76"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</row>
    <row r="77"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</row>
    <row r="78">
      <c r="B78" s="72" t="n"/>
      <c r="C78" s="72" t="n"/>
      <c r="D78" s="72" t="n"/>
      <c r="E78" s="72" t="n"/>
      <c r="F78" s="72" t="n"/>
      <c r="G78" s="72" t="n"/>
      <c r="H78" s="72" t="n"/>
      <c r="I78" s="72" t="n"/>
      <c r="J78" s="72" t="n"/>
      <c r="K78" s="72" t="n"/>
      <c r="L78" s="72" t="n"/>
      <c r="M78" s="72" t="n"/>
      <c r="N78" s="72" t="n"/>
      <c r="O78" s="72" t="n"/>
      <c r="P78" s="72" t="n"/>
      <c r="Q78" s="72" t="n"/>
      <c r="R78" s="72" t="n"/>
      <c r="S78" s="72" t="n"/>
    </row>
    <row r="79">
      <c r="B79" s="72" t="n"/>
      <c r="C79" s="72" t="n"/>
      <c r="D79" s="72" t="n"/>
      <c r="E79" s="72" t="n"/>
      <c r="F79" s="72" t="n"/>
      <c r="G79" s="72" t="n"/>
      <c r="H79" s="72" t="n"/>
      <c r="I79" s="72" t="n"/>
      <c r="J79" s="72" t="n"/>
      <c r="K79" s="72" t="n"/>
      <c r="L79" s="72" t="n"/>
      <c r="M79" s="72" t="n"/>
      <c r="N79" s="72" t="n"/>
      <c r="O79" s="72" t="n"/>
      <c r="P79" s="72" t="n"/>
      <c r="Q79" s="72" t="n"/>
      <c r="R79" s="72" t="n"/>
      <c r="S79" s="72" t="n"/>
    </row>
    <row r="80">
      <c r="B80" s="72" t="n"/>
      <c r="C80" s="72" t="n"/>
      <c r="D80" s="72" t="n"/>
      <c r="E80" s="72" t="n"/>
      <c r="F80" s="72" t="n"/>
      <c r="G80" s="72" t="n"/>
      <c r="H80" s="72" t="n"/>
      <c r="I80" s="72" t="n"/>
      <c r="J80" s="72" t="n"/>
      <c r="K80" s="72" t="n"/>
      <c r="L80" s="72" t="n"/>
      <c r="M80" s="72" t="n"/>
      <c r="N80" s="72" t="n"/>
      <c r="O80" s="72" t="n"/>
      <c r="P80" s="72" t="n"/>
      <c r="Q80" s="72" t="n"/>
      <c r="R80" s="72" t="n"/>
      <c r="S80" s="72" t="n"/>
    </row>
    <row r="81">
      <c r="B81" s="72" t="n"/>
      <c r="C81" s="72" t="n"/>
      <c r="D81" s="72" t="n"/>
      <c r="E81" s="72" t="n"/>
      <c r="F81" s="72" t="n"/>
      <c r="G81" s="72" t="n"/>
      <c r="H81" s="72" t="n"/>
      <c r="I81" s="72" t="n"/>
      <c r="J81" s="72" t="n"/>
      <c r="K81" s="72" t="n"/>
      <c r="L81" s="72" t="n"/>
      <c r="M81" s="72" t="n"/>
      <c r="N81" s="72" t="n"/>
      <c r="O81" s="72" t="n"/>
      <c r="P81" s="72" t="n"/>
      <c r="Q81" s="72" t="n"/>
      <c r="R81" s="72" t="n"/>
      <c r="S81" s="72" t="n"/>
    </row>
    <row r="82">
      <c r="B82" s="72" t="n"/>
      <c r="C82" s="72" t="n"/>
      <c r="D82" s="72" t="n"/>
      <c r="E82" s="72" t="n"/>
      <c r="F82" s="72" t="n"/>
      <c r="G82" s="72" t="n"/>
      <c r="H82" s="72" t="n"/>
      <c r="I82" s="72" t="n"/>
      <c r="J82" s="72" t="n"/>
      <c r="K82" s="72" t="n"/>
      <c r="L82" s="72" t="n"/>
      <c r="M82" s="72" t="n"/>
      <c r="N82" s="72" t="n"/>
      <c r="O82" s="72" t="n"/>
      <c r="P82" s="72" t="n"/>
      <c r="Q82" s="72" t="n"/>
      <c r="R82" s="72" t="n"/>
      <c r="S82" s="72" t="n"/>
    </row>
    <row r="83"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</row>
    <row r="84"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</row>
    <row r="85">
      <c r="B85" s="72" t="n"/>
      <c r="C85" s="72" t="n"/>
      <c r="D85" s="72" t="n"/>
      <c r="E85" s="72" t="n"/>
      <c r="F85" s="72" t="n"/>
      <c r="G85" s="72" t="n"/>
      <c r="H85" s="72" t="n"/>
      <c r="I85" s="72" t="n"/>
      <c r="J85" s="72" t="n"/>
      <c r="K85" s="72" t="n"/>
      <c r="L85" s="72" t="n"/>
      <c r="M85" s="72" t="n"/>
      <c r="N85" s="72" t="n"/>
      <c r="O85" s="72" t="n"/>
      <c r="P85" s="72" t="n"/>
      <c r="Q85" s="72" t="n"/>
      <c r="R85" s="72" t="n"/>
      <c r="S85" s="72" t="n"/>
    </row>
    <row r="86"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72" t="n"/>
      <c r="M86" s="72" t="n"/>
      <c r="N86" s="72" t="n"/>
      <c r="O86" s="72" t="n"/>
      <c r="P86" s="72" t="n"/>
      <c r="Q86" s="72" t="n"/>
      <c r="R86" s="72" t="n"/>
      <c r="S86" s="72" t="n"/>
    </row>
    <row r="87">
      <c r="B87" s="72" t="n"/>
      <c r="C87" s="72" t="n"/>
      <c r="D87" s="72" t="n"/>
      <c r="E87" s="72" t="n"/>
      <c r="F87" s="72" t="n"/>
      <c r="G87" s="72" t="n"/>
      <c r="H87" s="72" t="n"/>
      <c r="I87" s="72" t="n"/>
      <c r="J87" s="72" t="n"/>
      <c r="K87" s="72" t="n"/>
      <c r="L87" s="72" t="n"/>
      <c r="M87" s="72" t="n"/>
      <c r="N87" s="72" t="n"/>
      <c r="O87" s="72" t="n"/>
      <c r="P87" s="72" t="n"/>
      <c r="Q87" s="72" t="n"/>
      <c r="R87" s="72" t="n"/>
      <c r="S87" s="72" t="n"/>
    </row>
    <row r="88">
      <c r="B88" s="72" t="n"/>
      <c r="C88" s="72" t="n"/>
      <c r="D88" s="72" t="n"/>
      <c r="E88" s="72" t="n"/>
      <c r="F88" s="72" t="n"/>
      <c r="G88" s="72" t="n"/>
      <c r="H88" s="72" t="n"/>
      <c r="I88" s="72" t="n"/>
      <c r="J88" s="72" t="n"/>
      <c r="K88" s="72" t="n"/>
      <c r="L88" s="72" t="n"/>
      <c r="M88" s="72" t="n"/>
      <c r="N88" s="72" t="n"/>
      <c r="O88" s="72" t="n"/>
      <c r="P88" s="72" t="n"/>
      <c r="Q88" s="72" t="n"/>
      <c r="R88" s="72" t="n"/>
      <c r="S88" s="72" t="n"/>
    </row>
    <row r="89">
      <c r="B89" s="72" t="n"/>
      <c r="C89" s="72" t="n"/>
      <c r="D89" s="72" t="n"/>
      <c r="E89" s="72" t="n"/>
      <c r="F89" s="72" t="n"/>
      <c r="G89" s="72" t="n"/>
      <c r="H89" s="72" t="n"/>
      <c r="I89" s="72" t="n"/>
      <c r="J89" s="72" t="n"/>
      <c r="K89" s="72" t="n"/>
      <c r="L89" s="72" t="n"/>
      <c r="M89" s="72" t="n"/>
      <c r="N89" s="72" t="n"/>
      <c r="O89" s="72" t="n"/>
      <c r="P89" s="72" t="n"/>
      <c r="Q89" s="72" t="n"/>
      <c r="R89" s="72" t="n"/>
      <c r="S89" s="72" t="n"/>
    </row>
    <row r="90"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72" t="n"/>
      <c r="M90" s="72" t="n"/>
      <c r="N90" s="72" t="n"/>
      <c r="O90" s="72" t="n"/>
      <c r="P90" s="72" t="n"/>
      <c r="Q90" s="72" t="n"/>
      <c r="R90" s="72" t="n"/>
      <c r="S90" s="72" t="n"/>
    </row>
    <row r="91"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</row>
    <row r="92"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</row>
    <row r="93"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</row>
    <row r="94"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</row>
    <row r="95"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</row>
    <row r="96"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</row>
    <row r="97"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</row>
    <row r="98"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</row>
    <row r="99"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</row>
    <row r="100"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</row>
    <row r="101"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</row>
    <row r="102"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</row>
    <row r="103"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</row>
    <row r="104"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</row>
    <row r="105"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</row>
    <row r="106"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</row>
    <row r="107"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</row>
    <row r="108"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</row>
    <row r="109"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</row>
    <row r="110"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</row>
    <row r="111"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</row>
    <row r="112"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</row>
    <row r="113"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</row>
    <row r="114"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</row>
    <row r="115"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</row>
    <row r="116"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</row>
    <row r="117"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</row>
    <row r="118"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</row>
    <row r="119"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</row>
    <row r="120"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</row>
    <row r="121"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</row>
    <row r="122"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</row>
    <row r="123"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</row>
    <row r="124"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</row>
    <row r="125"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</row>
    <row r="126"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</row>
    <row r="127"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</row>
    <row r="128"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</row>
    <row r="129"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</row>
    <row r="130"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</row>
    <row r="131"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</row>
    <row r="132"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</row>
    <row r="133"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</row>
    <row r="134"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</row>
    <row r="135"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</row>
    <row r="136"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</row>
    <row r="137"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</row>
    <row r="138"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</row>
    <row r="139"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</row>
    <row r="140"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</row>
    <row r="141"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</row>
    <row r="142"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</row>
    <row r="143"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</row>
    <row r="144"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</row>
    <row r="145"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</row>
    <row r="146"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</row>
    <row r="147"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</row>
    <row r="148"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</row>
    <row r="149"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</row>
    <row r="150"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</row>
    <row r="151"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</row>
    <row r="152"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</row>
    <row r="153"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</row>
    <row r="154"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</row>
    <row r="155"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</row>
    <row r="156"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</row>
    <row r="157"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</row>
    <row r="158"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</row>
    <row r="159"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</row>
    <row r="160"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</row>
    <row r="161"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</row>
    <row r="162"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</row>
    <row r="163"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</row>
    <row r="164"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</row>
    <row r="165"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</row>
    <row r="166"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</row>
    <row r="167"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</row>
    <row r="168"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</row>
    <row r="169"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</row>
    <row r="170"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</row>
    <row r="171"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</row>
    <row r="172"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</row>
    <row r="173"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</row>
    <row r="174"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</row>
    <row r="175"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</row>
    <row r="176"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</row>
    <row r="177"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</row>
    <row r="178"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</row>
    <row r="179"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</row>
    <row r="180"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</row>
    <row r="181"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</row>
    <row r="182"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</row>
    <row r="183"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</row>
    <row r="184"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</row>
    <row r="185"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</row>
    <row r="186"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</row>
    <row r="187"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</row>
    <row r="188"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</row>
    <row r="189"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</row>
    <row r="190"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</row>
    <row r="191"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</row>
    <row r="192"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</row>
    <row r="193"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</row>
    <row r="194"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</row>
    <row r="195"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</row>
    <row r="196"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</row>
    <row r="197"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</row>
    <row r="198"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</row>
    <row r="199"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</row>
    <row r="200"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</row>
    <row r="201"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</row>
    <row r="202"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</row>
    <row r="203"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</row>
    <row r="204"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</row>
    <row r="205"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</row>
    <row r="206"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</row>
    <row r="207"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</row>
    <row r="208"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</row>
    <row r="209"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</row>
    <row r="210"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</row>
    <row r="211"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</row>
    <row r="212"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</row>
    <row r="213"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</row>
    <row r="214"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</row>
    <row r="215"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</row>
    <row r="216"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</row>
    <row r="217"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</row>
    <row r="218"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</row>
    <row r="219"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</row>
    <row r="220"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</row>
    <row r="221"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</row>
    <row r="222"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</row>
    <row r="223"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</row>
    <row r="224"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</row>
    <row r="225"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</row>
    <row r="226"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</row>
    <row r="227"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</row>
    <row r="228"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</row>
    <row r="229"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</row>
    <row r="230"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</row>
    <row r="231"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</row>
    <row r="232"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</row>
    <row r="233"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</row>
    <row r="234"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</row>
    <row r="235"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</row>
    <row r="236"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</row>
    <row r="237"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</row>
    <row r="238"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</row>
    <row r="239"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</row>
    <row r="240"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</row>
    <row r="241"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</row>
    <row r="242"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</row>
    <row r="243"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</row>
    <row r="244"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</row>
    <row r="245"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</row>
    <row r="246"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</row>
    <row r="247"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</row>
    <row r="248"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</row>
    <row r="249"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</row>
    <row r="250"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</row>
    <row r="251"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</row>
    <row r="252"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</row>
    <row r="253"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</row>
    <row r="254"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</row>
    <row r="255"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</row>
    <row r="256"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</row>
    <row r="257"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</row>
    <row r="258"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</row>
    <row r="259"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</row>
    <row r="260"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</row>
    <row r="261"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</row>
    <row r="262"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</row>
    <row r="263"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</row>
    <row r="264"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</row>
    <row r="265"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</row>
    <row r="266"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</row>
    <row r="267"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</row>
    <row r="268"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</row>
    <row r="269"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</row>
    <row r="270"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</row>
    <row r="271"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</row>
    <row r="272"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</row>
    <row r="273"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</row>
    <row r="274"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</row>
    <row r="275"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</row>
    <row r="276"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</row>
    <row r="277"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</row>
    <row r="278"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</row>
    <row r="279"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</row>
    <row r="280"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</row>
    <row r="281"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</row>
    <row r="282"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</row>
    <row r="283"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</row>
    <row r="284"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</row>
    <row r="285"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</row>
    <row r="286"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</row>
    <row r="287"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</row>
    <row r="288"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</row>
    <row r="289"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</row>
    <row r="290"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</row>
    <row r="291"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</row>
    <row r="292"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</row>
    <row r="293"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</row>
    <row r="294"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</row>
    <row r="295"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</row>
    <row r="296"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</row>
    <row r="297"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</row>
    <row r="298"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</row>
    <row r="299"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</row>
    <row r="300"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</row>
    <row r="301"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</row>
    <row r="302"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</row>
    <row r="303"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</row>
    <row r="304"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</row>
    <row r="305"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</row>
    <row r="306"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</row>
    <row r="307"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</row>
    <row r="308"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</row>
    <row r="309"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</row>
    <row r="310"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</row>
    <row r="311"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</row>
    <row r="312"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</row>
    <row r="313"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</row>
    <row r="314"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</row>
    <row r="315"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</row>
    <row r="316"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</row>
    <row r="317"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</row>
    <row r="318"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</row>
    <row r="319"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</row>
    <row r="320"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</row>
    <row r="321"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</row>
    <row r="322"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</row>
    <row r="323"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</row>
    <row r="324"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</row>
    <row r="325"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</row>
    <row r="326"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</row>
    <row r="327"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</row>
    <row r="328"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</row>
    <row r="329"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</row>
    <row r="330"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</row>
    <row r="331"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</row>
    <row r="332"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</row>
    <row r="333"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</row>
    <row r="334"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</row>
    <row r="335"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</row>
    <row r="336"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</row>
    <row r="337"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</row>
    <row r="338"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</row>
    <row r="339"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</row>
    <row r="340"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</row>
    <row r="341"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</row>
    <row r="342"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</row>
    <row r="343"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</row>
    <row r="344"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</row>
    <row r="345"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</row>
    <row r="346"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</row>
    <row r="347"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</row>
    <row r="348"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</row>
    <row r="349"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</row>
    <row r="350"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</row>
    <row r="351"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</row>
    <row r="352"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</row>
    <row r="353"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</row>
    <row r="354"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</row>
    <row r="355"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</row>
    <row r="356"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</row>
    <row r="357"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</row>
    <row r="358"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</row>
    <row r="359"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</row>
    <row r="360"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</row>
    <row r="361"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</row>
    <row r="362"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</row>
    <row r="363"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</row>
    <row r="364"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</row>
    <row r="365"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</row>
    <row r="366"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</row>
    <row r="367"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</row>
    <row r="368"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</row>
    <row r="369"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</row>
    <row r="370"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</row>
    <row r="371"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</row>
    <row r="372"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</row>
    <row r="373"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</row>
    <row r="374"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</row>
    <row r="375"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</row>
    <row r="376"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</row>
    <row r="377"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</row>
    <row r="378"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</row>
    <row r="379"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</row>
    <row r="380"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</row>
    <row r="381"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</row>
    <row r="382"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</row>
    <row r="383"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</row>
    <row r="384"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</row>
    <row r="385"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</row>
    <row r="386"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</row>
    <row r="387"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</row>
    <row r="388"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</row>
    <row r="389"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</row>
    <row r="390"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</row>
    <row r="391"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</row>
    <row r="392"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</row>
    <row r="393"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</row>
    <row r="394"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</row>
    <row r="395"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</row>
    <row r="396"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</row>
    <row r="397"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</row>
    <row r="398"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</row>
    <row r="399"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</row>
    <row r="400"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</row>
    <row r="401"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</row>
    <row r="402"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</row>
    <row r="403"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</row>
    <row r="404"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</row>
    <row r="405"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</row>
    <row r="406"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</row>
    <row r="407"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</row>
    <row r="408"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</row>
    <row r="409"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</row>
    <row r="410"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</row>
    <row r="411"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</row>
    <row r="412"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</row>
    <row r="413"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</row>
    <row r="414"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</row>
    <row r="415"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</row>
    <row r="416"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</row>
    <row r="417"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</row>
    <row r="418"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</row>
    <row r="419"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</row>
    <row r="420"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</row>
    <row r="421"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</row>
    <row r="422"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</row>
    <row r="423"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</row>
    <row r="424"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</row>
    <row r="425"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</row>
    <row r="426"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</row>
    <row r="427"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</row>
    <row r="428"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</row>
    <row r="429"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</row>
    <row r="430"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</row>
    <row r="431"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</row>
    <row r="432"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</row>
    <row r="433"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</row>
    <row r="434"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</row>
    <row r="435"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</row>
    <row r="436"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</row>
    <row r="437"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</row>
    <row r="438"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</row>
    <row r="439"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</row>
    <row r="440"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</row>
    <row r="441"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</row>
    <row r="442"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</row>
    <row r="443"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</row>
    <row r="444"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</row>
    <row r="445"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</row>
    <row r="446"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</row>
    <row r="447"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</row>
    <row r="448"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</row>
    <row r="449"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</row>
    <row r="450"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</row>
    <row r="451"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</row>
    <row r="452"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</row>
    <row r="453"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</row>
    <row r="454"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</row>
    <row r="455"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</row>
    <row r="456"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</row>
    <row r="457"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</row>
    <row r="458"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</row>
    <row r="459"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</row>
    <row r="460"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</row>
    <row r="461"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</row>
    <row r="462"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</row>
    <row r="463"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</row>
    <row r="464"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</row>
    <row r="465"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</row>
    <row r="466"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</row>
    <row r="467"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</row>
    <row r="468"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</row>
    <row r="469"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</row>
    <row r="470"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</row>
    <row r="471"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</row>
    <row r="472"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</row>
    <row r="473"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</row>
    <row r="474"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</row>
    <row r="475"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</row>
    <row r="476"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</row>
    <row r="477"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</row>
    <row r="478"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</row>
    <row r="479"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</row>
    <row r="480"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</row>
    <row r="481"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</row>
    <row r="482"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</row>
    <row r="483"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</row>
    <row r="484"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</row>
    <row r="485"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</row>
    <row r="486"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</row>
    <row r="487"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</row>
    <row r="488"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</row>
    <row r="489"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</row>
    <row r="490"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</row>
    <row r="491"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</row>
    <row r="492"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</row>
    <row r="493"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</row>
    <row r="494"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</row>
    <row r="495"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</row>
    <row r="496"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</row>
    <row r="497"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</row>
    <row r="498"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</row>
    <row r="499"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</row>
    <row r="500"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</row>
    <row r="501"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</row>
    <row r="502"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</row>
    <row r="503"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</row>
    <row r="504"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</row>
    <row r="505"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</row>
    <row r="506"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</row>
    <row r="507"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</row>
    <row r="508"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</row>
    <row r="509"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</row>
    <row r="510"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</row>
    <row r="511"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</row>
    <row r="512"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</row>
    <row r="513"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</row>
    <row r="514"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</row>
    <row r="515"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</row>
    <row r="516"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</row>
    <row r="517"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</row>
    <row r="518"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</row>
    <row r="519"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</row>
    <row r="520"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</row>
    <row r="521"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</row>
    <row r="522"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</row>
    <row r="523"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</row>
    <row r="524"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</row>
    <row r="525"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</row>
    <row r="526"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</row>
    <row r="527"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</row>
    <row r="528"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</row>
    <row r="529"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</row>
    <row r="530"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</row>
    <row r="531"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</row>
    <row r="532"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</row>
    <row r="533"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</row>
    <row r="534"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</row>
    <row r="535"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</row>
    <row r="536"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</row>
    <row r="537"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</row>
    <row r="538"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</row>
    <row r="539"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</row>
    <row r="540"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</row>
    <row r="541"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</row>
    <row r="542"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</row>
    <row r="543"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</row>
    <row r="544"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</row>
    <row r="545"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</row>
    <row r="546"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</row>
    <row r="547"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</row>
    <row r="548"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</row>
    <row r="549"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</row>
    <row r="550"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</row>
    <row r="551"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</row>
    <row r="552"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</row>
    <row r="553"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</row>
    <row r="554"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</row>
    <row r="555"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</row>
    <row r="556"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</row>
    <row r="557"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</row>
    <row r="558"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</row>
    <row r="559"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</row>
    <row r="560"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</row>
    <row r="561"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</row>
    <row r="562"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</row>
    <row r="563"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</row>
    <row r="564"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</row>
    <row r="565"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</row>
    <row r="566"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</row>
    <row r="567"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</row>
    <row r="568"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</row>
    <row r="569"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</row>
    <row r="570"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</row>
    <row r="571"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</row>
    <row r="572"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</row>
    <row r="573"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</row>
    <row r="574"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</row>
    <row r="575"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</row>
    <row r="576"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</row>
    <row r="577"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</row>
    <row r="578"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</row>
    <row r="579"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</row>
    <row r="580"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</row>
    <row r="581"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</row>
    <row r="582"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</row>
    <row r="583"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</row>
    <row r="584"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</row>
    <row r="585"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</row>
    <row r="586"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</row>
    <row r="587"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</row>
    <row r="588"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</row>
    <row r="589"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</row>
    <row r="590"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</row>
    <row r="591"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</row>
    <row r="592"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</row>
    <row r="593"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</row>
    <row r="594"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</row>
    <row r="595"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</row>
    <row r="596"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</row>
    <row r="597"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</row>
    <row r="598"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</row>
    <row r="599"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</row>
    <row r="600"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</row>
    <row r="601"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</row>
    <row r="602"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</row>
    <row r="603"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</row>
    <row r="604"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</row>
    <row r="605"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</row>
    <row r="606"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</row>
    <row r="607"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</row>
    <row r="608"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</row>
    <row r="609"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</row>
    <row r="610"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</row>
    <row r="611"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</row>
    <row r="612"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</row>
    <row r="613"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</row>
    <row r="614"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</row>
    <row r="615"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</row>
    <row r="616"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</row>
    <row r="617"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</row>
    <row r="618"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</row>
    <row r="619"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</row>
    <row r="620"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</row>
    <row r="621"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</row>
    <row r="622"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</row>
    <row r="623"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</row>
    <row r="624"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</row>
    <row r="625"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</row>
    <row r="626"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</row>
    <row r="627"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</row>
    <row r="628"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</row>
    <row r="629"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</row>
    <row r="630"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</row>
    <row r="631"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</row>
    <row r="632"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</row>
    <row r="633"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</row>
    <row r="634"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</row>
    <row r="635"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</row>
    <row r="636"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</row>
    <row r="637"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</row>
    <row r="638"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</row>
    <row r="639"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</row>
    <row r="640"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</row>
    <row r="641"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</row>
    <row r="642"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</row>
    <row r="643"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</row>
    <row r="644"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</row>
    <row r="645"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</row>
    <row r="646"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</row>
    <row r="647"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</row>
    <row r="648"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</row>
    <row r="649"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</row>
    <row r="650"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</row>
    <row r="651"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</row>
    <row r="652"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</row>
    <row r="653"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</row>
    <row r="654"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</row>
    <row r="655"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</row>
    <row r="656"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</row>
    <row r="657"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</row>
    <row r="658"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</row>
    <row r="659"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</row>
    <row r="660"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</row>
    <row r="661"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</row>
    <row r="662"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</row>
    <row r="663"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</row>
    <row r="664"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</row>
    <row r="665"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</row>
    <row r="666"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</row>
    <row r="667"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</row>
    <row r="668"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</row>
    <row r="669"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</row>
    <row r="670"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</row>
    <row r="671"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</row>
    <row r="672"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</row>
    <row r="673"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</row>
    <row r="674"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</row>
    <row r="675"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</row>
    <row r="676"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</row>
    <row r="677"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</row>
    <row r="678"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</row>
    <row r="679"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</row>
    <row r="680"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</row>
    <row r="681"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</row>
    <row r="682"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</row>
    <row r="683"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</row>
    <row r="684"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</row>
    <row r="685"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</row>
    <row r="686"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</row>
    <row r="687"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</row>
    <row r="688"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</row>
    <row r="689"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</row>
    <row r="690"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</row>
    <row r="691"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</row>
    <row r="692"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</row>
    <row r="693"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</row>
    <row r="694"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</row>
    <row r="695"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</row>
    <row r="696"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</row>
    <row r="697"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</row>
    <row r="698"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</row>
    <row r="699"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</row>
    <row r="700"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</row>
    <row r="701"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</row>
    <row r="702"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</row>
    <row r="703"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</row>
    <row r="704"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</row>
    <row r="705"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</row>
    <row r="706"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</row>
    <row r="707"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</row>
    <row r="708"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</row>
    <row r="709"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</row>
    <row r="710"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</row>
    <row r="711"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</row>
    <row r="712"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</row>
    <row r="713"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</row>
    <row r="714"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</row>
    <row r="715"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</row>
    <row r="716"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</row>
    <row r="717"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</row>
    <row r="718"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</row>
    <row r="719"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</row>
    <row r="720"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</row>
    <row r="721"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</row>
    <row r="722"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</row>
    <row r="723"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</row>
    <row r="724"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</row>
    <row r="725"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</row>
    <row r="726"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</row>
    <row r="727"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</row>
    <row r="728"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</row>
    <row r="729"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</row>
    <row r="730"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</row>
    <row r="731"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</row>
    <row r="732"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</row>
    <row r="733"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</row>
    <row r="734"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</row>
    <row r="735"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</row>
    <row r="736"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</row>
    <row r="737"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</row>
    <row r="738"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</row>
    <row r="739"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</row>
    <row r="740"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</row>
    <row r="741"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</row>
    <row r="742"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</row>
    <row r="743"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</row>
    <row r="744"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</row>
    <row r="745"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</row>
    <row r="746"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</row>
    <row r="747"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</row>
    <row r="748"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</row>
    <row r="749"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</row>
    <row r="750"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</row>
    <row r="751"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</row>
    <row r="752"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</row>
    <row r="753"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</row>
    <row r="754"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</row>
    <row r="755"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</row>
    <row r="756"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</row>
    <row r="757"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</row>
    <row r="758"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</row>
    <row r="759"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</row>
    <row r="760"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</row>
    <row r="761"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</row>
    <row r="762"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</row>
    <row r="763"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</row>
    <row r="764"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</row>
    <row r="765"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</row>
    <row r="766"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</row>
    <row r="767"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</row>
    <row r="768"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</row>
    <row r="769"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</row>
    <row r="770"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</row>
    <row r="771"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</row>
    <row r="772"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</row>
    <row r="773"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</row>
    <row r="774"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</row>
    <row r="775"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</row>
    <row r="776"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</row>
    <row r="777"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</row>
    <row r="778"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</row>
    <row r="779"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</row>
    <row r="780"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</row>
    <row r="781"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</row>
    <row r="782"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</row>
    <row r="783"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</row>
    <row r="784"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</row>
    <row r="785"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</row>
    <row r="786"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</row>
    <row r="787"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</row>
    <row r="788"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</row>
    <row r="789"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</row>
    <row r="790"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</row>
    <row r="791"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</row>
    <row r="792"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</row>
    <row r="793"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</row>
    <row r="794"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</row>
    <row r="795"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</row>
    <row r="796"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</row>
    <row r="797"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</row>
    <row r="798"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</row>
    <row r="799"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</row>
    <row r="800"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</row>
    <row r="801"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</row>
    <row r="802"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</row>
    <row r="803"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</row>
    <row r="804"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</row>
    <row r="805"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</row>
    <row r="806"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</row>
    <row r="807"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</row>
    <row r="808"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</row>
    <row r="809"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</row>
    <row r="810"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</row>
    <row r="811"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</row>
    <row r="812"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</row>
    <row r="813"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</row>
    <row r="814"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</row>
    <row r="815"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</row>
    <row r="816"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</row>
    <row r="817"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</row>
    <row r="818"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</row>
    <row r="819"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</row>
    <row r="820"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</row>
    <row r="821"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</row>
    <row r="822"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</row>
    <row r="823"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</row>
    <row r="824"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</row>
    <row r="825"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</row>
    <row r="826"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</row>
    <row r="827"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</row>
    <row r="828"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</row>
    <row r="829"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</row>
    <row r="830"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</row>
    <row r="831"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</row>
    <row r="832"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</row>
    <row r="833"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</row>
    <row r="834"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</row>
    <row r="835"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</row>
    <row r="836"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</row>
    <row r="837"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</row>
    <row r="838"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</row>
    <row r="839"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</row>
    <row r="840"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</row>
    <row r="841"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</row>
    <row r="842"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</row>
    <row r="843"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</row>
    <row r="844"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</row>
    <row r="845"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</row>
    <row r="846"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</row>
    <row r="847"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</row>
    <row r="848"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</row>
    <row r="849"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</row>
    <row r="850"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</row>
    <row r="851"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</row>
    <row r="852"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</row>
    <row r="853"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</row>
    <row r="854"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</row>
    <row r="855"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</row>
    <row r="856"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</row>
    <row r="857"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</row>
    <row r="858"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</row>
    <row r="859"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</row>
    <row r="860"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</row>
    <row r="861"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</row>
    <row r="862"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</row>
    <row r="863"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</row>
    <row r="864"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</row>
    <row r="865"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</row>
    <row r="866"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</row>
    <row r="867"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</row>
    <row r="868"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</row>
    <row r="869"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</row>
    <row r="870"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</row>
    <row r="871"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</row>
    <row r="872"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</row>
    <row r="873"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</row>
    <row r="874"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</row>
    <row r="875"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</row>
    <row r="876"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</row>
    <row r="877"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</row>
    <row r="878"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</row>
    <row r="879"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</row>
    <row r="880"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</row>
    <row r="881"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</row>
    <row r="882"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</row>
    <row r="883"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</row>
    <row r="884"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</row>
    <row r="885"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</row>
    <row r="886"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</row>
    <row r="887"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</row>
    <row r="888"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</row>
    <row r="889"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</row>
    <row r="890"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</row>
    <row r="891"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</row>
    <row r="892"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</row>
    <row r="893"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</row>
    <row r="894"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</row>
    <row r="895"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</row>
    <row r="896"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</row>
    <row r="897"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</row>
    <row r="898"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</row>
    <row r="899"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</row>
    <row r="900"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</row>
    <row r="901"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</row>
    <row r="902"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</row>
    <row r="903"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</row>
    <row r="904"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</row>
    <row r="905"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</row>
    <row r="906"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</row>
    <row r="907"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</row>
    <row r="908"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</row>
    <row r="909"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</row>
    <row r="910"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</row>
    <row r="911"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</row>
    <row r="912"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</row>
    <row r="913"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</row>
    <row r="914"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</row>
    <row r="915"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</row>
    <row r="916"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</row>
    <row r="917"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</row>
    <row r="918"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</row>
    <row r="919"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</row>
    <row r="920"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</row>
    <row r="921"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</row>
    <row r="922"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</row>
    <row r="923"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</row>
    <row r="924"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</row>
    <row r="925"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</row>
    <row r="926"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</row>
    <row r="927"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</row>
    <row r="928"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</row>
    <row r="929"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</row>
    <row r="930"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</row>
    <row r="931"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</row>
    <row r="932"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</row>
    <row r="933"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</row>
    <row r="934"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</row>
    <row r="935"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</row>
    <row r="936"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</row>
    <row r="937"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</row>
    <row r="938"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</row>
    <row r="939"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</row>
    <row r="940"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</row>
    <row r="941"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</row>
    <row r="942"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</row>
    <row r="943"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</row>
    <row r="944"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</row>
    <row r="945"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</row>
    <row r="946"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</row>
    <row r="947"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</row>
    <row r="948"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</row>
    <row r="949"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</row>
    <row r="950"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</row>
    <row r="951"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</row>
    <row r="952"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</row>
    <row r="953"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</row>
    <row r="954"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</row>
    <row r="955"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</row>
    <row r="956"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</row>
    <row r="957"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</row>
    <row r="958"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</row>
    <row r="959"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</row>
    <row r="960"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</row>
    <row r="961"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</row>
    <row r="962"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</row>
    <row r="963"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</row>
    <row r="964"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</row>
    <row r="965"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</row>
    <row r="966"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</row>
    <row r="967"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</row>
    <row r="968"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</row>
    <row r="969"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</row>
    <row r="970"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</row>
    <row r="971"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</row>
    <row r="972"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</row>
    <row r="973"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</row>
    <row r="974"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</row>
    <row r="975"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</row>
    <row r="976"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</row>
    <row r="977"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</row>
    <row r="978"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</row>
    <row r="979"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</row>
    <row r="980"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</row>
    <row r="981"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</row>
    <row r="982"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</row>
    <row r="983"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</row>
    <row r="984"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</row>
    <row r="985"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</row>
    <row r="986"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</row>
    <row r="987"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</row>
    <row r="988"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</row>
    <row r="989"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</row>
    <row r="990"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</row>
    <row r="991"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</row>
    <row r="992"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</row>
    <row r="993"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</row>
    <row r="994"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</row>
    <row r="995"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</row>
    <row r="996"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</row>
    <row r="997"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</row>
    <row r="998"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</row>
    <row r="999"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</row>
    <row r="1000"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</row>
    <row r="1001"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</row>
    <row r="1002"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</row>
    <row r="1003"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</row>
    <row r="1004"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</row>
    <row r="1005"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</row>
    <row r="1006">
      <c r="B1006" s="72" t="n"/>
      <c r="C1006" s="72" t="n"/>
      <c r="D1006" s="72" t="n"/>
      <c r="E1006" s="72" t="n"/>
      <c r="F1006" s="72" t="n"/>
      <c r="G1006" s="72" t="n"/>
      <c r="H1006" s="72" t="n"/>
      <c r="I1006" s="72" t="n"/>
      <c r="J1006" s="72" t="n"/>
      <c r="K1006" s="72" t="n"/>
      <c r="L1006" s="72" t="n"/>
      <c r="M1006" s="72" t="n"/>
      <c r="N1006" s="72" t="n"/>
      <c r="O1006" s="72" t="n"/>
      <c r="P1006" s="72" t="n"/>
      <c r="Q1006" s="72" t="n"/>
      <c r="R1006" s="72" t="n"/>
      <c r="S1006" s="72" t="n"/>
    </row>
    <row r="1007">
      <c r="B1007" s="72" t="n"/>
      <c r="C1007" s="72" t="n"/>
      <c r="D1007" s="72" t="n"/>
      <c r="E1007" s="72" t="n"/>
      <c r="F1007" s="72" t="n"/>
      <c r="G1007" s="72" t="n"/>
      <c r="H1007" s="72" t="n"/>
      <c r="I1007" s="72" t="n"/>
      <c r="J1007" s="72" t="n"/>
      <c r="K1007" s="72" t="n"/>
      <c r="L1007" s="72" t="n"/>
      <c r="M1007" s="72" t="n"/>
      <c r="N1007" s="72" t="n"/>
      <c r="O1007" s="72" t="n"/>
      <c r="P1007" s="72" t="n"/>
      <c r="Q1007" s="72" t="n"/>
      <c r="R1007" s="72" t="n"/>
      <c r="S1007" s="72" t="n"/>
    </row>
    <row r="1008">
      <c r="B1008" s="72" t="n"/>
      <c r="C1008" s="72" t="n"/>
      <c r="D1008" s="72" t="n"/>
      <c r="E1008" s="72" t="n"/>
      <c r="F1008" s="72" t="n"/>
      <c r="G1008" s="72" t="n"/>
      <c r="H1008" s="72" t="n"/>
      <c r="I1008" s="72" t="n"/>
      <c r="J1008" s="72" t="n"/>
      <c r="K1008" s="72" t="n"/>
      <c r="L1008" s="72" t="n"/>
      <c r="M1008" s="72" t="n"/>
      <c r="N1008" s="72" t="n"/>
      <c r="O1008" s="72" t="n"/>
      <c r="P1008" s="72" t="n"/>
      <c r="Q1008" s="72" t="n"/>
      <c r="R1008" s="72" t="n"/>
      <c r="S1008" s="72" t="n"/>
    </row>
    <row r="1009">
      <c r="B1009" s="72" t="n"/>
      <c r="C1009" s="72" t="n"/>
      <c r="D1009" s="72" t="n"/>
      <c r="E1009" s="72" t="n"/>
      <c r="F1009" s="72" t="n"/>
      <c r="G1009" s="72" t="n"/>
      <c r="H1009" s="72" t="n"/>
      <c r="I1009" s="72" t="n"/>
      <c r="J1009" s="72" t="n"/>
      <c r="K1009" s="72" t="n"/>
      <c r="L1009" s="72" t="n"/>
      <c r="M1009" s="72" t="n"/>
      <c r="N1009" s="72" t="n"/>
      <c r="O1009" s="72" t="n"/>
      <c r="P1009" s="72" t="n"/>
      <c r="Q1009" s="72" t="n"/>
      <c r="R1009" s="72" t="n"/>
      <c r="S1009" s="72" t="n"/>
    </row>
    <row r="1010">
      <c r="B1010" s="72" t="n"/>
      <c r="C1010" s="72" t="n"/>
      <c r="D1010" s="72" t="n"/>
      <c r="E1010" s="72" t="n"/>
      <c r="F1010" s="72" t="n"/>
      <c r="G1010" s="72" t="n"/>
      <c r="H1010" s="72" t="n"/>
      <c r="I1010" s="72" t="n"/>
      <c r="J1010" s="72" t="n"/>
      <c r="K1010" s="72" t="n"/>
      <c r="L1010" s="72" t="n"/>
      <c r="M1010" s="72" t="n"/>
      <c r="N1010" s="72" t="n"/>
      <c r="O1010" s="72" t="n"/>
      <c r="P1010" s="72" t="n"/>
      <c r="Q1010" s="72" t="n"/>
      <c r="R1010" s="72" t="n"/>
      <c r="S1010" s="72" t="n"/>
    </row>
    <row r="1011">
      <c r="B1011" s="72" t="n"/>
      <c r="C1011" s="72" t="n"/>
      <c r="D1011" s="72" t="n"/>
      <c r="E1011" s="72" t="n"/>
      <c r="F1011" s="72" t="n"/>
      <c r="G1011" s="72" t="n"/>
      <c r="H1011" s="72" t="n"/>
      <c r="I1011" s="72" t="n"/>
      <c r="J1011" s="72" t="n"/>
      <c r="K1011" s="72" t="n"/>
      <c r="L1011" s="72" t="n"/>
      <c r="M1011" s="72" t="n"/>
      <c r="N1011" s="72" t="n"/>
      <c r="O1011" s="72" t="n"/>
      <c r="P1011" s="72" t="n"/>
      <c r="Q1011" s="72" t="n"/>
      <c r="R1011" s="72" t="n"/>
      <c r="S1011" s="72" t="n"/>
    </row>
    <row r="1012">
      <c r="B1012" s="72" t="n"/>
      <c r="C1012" s="72" t="n"/>
      <c r="D1012" s="72" t="n"/>
      <c r="E1012" s="72" t="n"/>
      <c r="F1012" s="72" t="n"/>
      <c r="G1012" s="72" t="n"/>
      <c r="H1012" s="72" t="n"/>
      <c r="I1012" s="72" t="n"/>
      <c r="J1012" s="72" t="n"/>
      <c r="K1012" s="72" t="n"/>
      <c r="L1012" s="72" t="n"/>
      <c r="M1012" s="72" t="n"/>
      <c r="N1012" s="72" t="n"/>
      <c r="O1012" s="72" t="n"/>
      <c r="P1012" s="72" t="n"/>
      <c r="Q1012" s="72" t="n"/>
      <c r="R1012" s="72" t="n"/>
      <c r="S1012" s="72" t="n"/>
    </row>
    <row r="1013">
      <c r="B1013" s="72" t="n"/>
      <c r="C1013" s="72" t="n"/>
      <c r="D1013" s="72" t="n"/>
      <c r="E1013" s="72" t="n"/>
      <c r="F1013" s="72" t="n"/>
      <c r="G1013" s="72" t="n"/>
      <c r="H1013" s="72" t="n"/>
      <c r="I1013" s="72" t="n"/>
      <c r="J1013" s="72" t="n"/>
      <c r="K1013" s="72" t="n"/>
      <c r="L1013" s="72" t="n"/>
      <c r="M1013" s="72" t="n"/>
      <c r="N1013" s="72" t="n"/>
      <c r="O1013" s="72" t="n"/>
      <c r="P1013" s="72" t="n"/>
      <c r="Q1013" s="72" t="n"/>
      <c r="R1013" s="72" t="n"/>
      <c r="S1013" s="72" t="n"/>
    </row>
    <row r="1014">
      <c r="B1014" s="72" t="n"/>
      <c r="C1014" s="72" t="n"/>
      <c r="D1014" s="72" t="n"/>
      <c r="E1014" s="72" t="n"/>
      <c r="F1014" s="72" t="n"/>
      <c r="G1014" s="72" t="n"/>
      <c r="H1014" s="72" t="n"/>
      <c r="I1014" s="72" t="n"/>
      <c r="J1014" s="72" t="n"/>
      <c r="K1014" s="72" t="n"/>
      <c r="L1014" s="72" t="n"/>
      <c r="M1014" s="72" t="n"/>
      <c r="N1014" s="72" t="n"/>
      <c r="O1014" s="72" t="n"/>
      <c r="P1014" s="72" t="n"/>
      <c r="Q1014" s="72" t="n"/>
      <c r="R1014" s="72" t="n"/>
      <c r="S1014" s="72" t="n"/>
    </row>
    <row r="1015">
      <c r="B1015" s="72" t="n"/>
      <c r="C1015" s="72" t="n"/>
      <c r="D1015" s="72" t="n"/>
      <c r="E1015" s="72" t="n"/>
      <c r="F1015" s="72" t="n"/>
      <c r="G1015" s="72" t="n"/>
      <c r="H1015" s="72" t="n"/>
      <c r="I1015" s="72" t="n"/>
      <c r="J1015" s="72" t="n"/>
      <c r="K1015" s="72" t="n"/>
      <c r="L1015" s="72" t="n"/>
      <c r="M1015" s="72" t="n"/>
      <c r="N1015" s="72" t="n"/>
      <c r="O1015" s="72" t="n"/>
      <c r="P1015" s="72" t="n"/>
      <c r="Q1015" s="72" t="n"/>
      <c r="R1015" s="72" t="n"/>
      <c r="S1015" s="72" t="n"/>
    </row>
    <row r="1016">
      <c r="B1016" s="72" t="n"/>
      <c r="C1016" s="72" t="n"/>
      <c r="D1016" s="72" t="n"/>
      <c r="E1016" s="72" t="n"/>
      <c r="F1016" s="72" t="n"/>
      <c r="G1016" s="72" t="n"/>
      <c r="H1016" s="72" t="n"/>
      <c r="I1016" s="72" t="n"/>
      <c r="J1016" s="72" t="n"/>
      <c r="K1016" s="72" t="n"/>
      <c r="L1016" s="72" t="n"/>
      <c r="M1016" s="72" t="n"/>
      <c r="N1016" s="72" t="n"/>
      <c r="O1016" s="72" t="n"/>
      <c r="P1016" s="72" t="n"/>
      <c r="Q1016" s="72" t="n"/>
      <c r="R1016" s="72" t="n"/>
      <c r="S1016" s="72" t="n"/>
    </row>
    <row r="1017">
      <c r="B1017" s="72" t="n"/>
      <c r="C1017" s="72" t="n"/>
      <c r="D1017" s="72" t="n"/>
      <c r="E1017" s="72" t="n"/>
      <c r="F1017" s="72" t="n"/>
      <c r="G1017" s="72" t="n"/>
      <c r="H1017" s="72" t="n"/>
      <c r="I1017" s="72" t="n"/>
      <c r="J1017" s="72" t="n"/>
      <c r="K1017" s="72" t="n"/>
      <c r="L1017" s="72" t="n"/>
      <c r="M1017" s="72" t="n"/>
      <c r="N1017" s="72" t="n"/>
      <c r="O1017" s="72" t="n"/>
      <c r="P1017" s="72" t="n"/>
      <c r="Q1017" s="72" t="n"/>
      <c r="R1017" s="72" t="n"/>
      <c r="S1017" s="72" t="n"/>
    </row>
    <row r="1018">
      <c r="B1018" s="72" t="n"/>
      <c r="C1018" s="72" t="n"/>
      <c r="D1018" s="72" t="n"/>
      <c r="E1018" s="72" t="n"/>
      <c r="F1018" s="72" t="n"/>
      <c r="G1018" s="72" t="n"/>
      <c r="H1018" s="72" t="n"/>
      <c r="I1018" s="72" t="n"/>
      <c r="J1018" s="72" t="n"/>
      <c r="K1018" s="72" t="n"/>
      <c r="L1018" s="72" t="n"/>
      <c r="M1018" s="72" t="n"/>
      <c r="N1018" s="72" t="n"/>
      <c r="O1018" s="72" t="n"/>
      <c r="P1018" s="72" t="n"/>
      <c r="Q1018" s="72" t="n"/>
      <c r="R1018" s="72" t="n"/>
      <c r="S1018" s="72" t="n"/>
    </row>
    <row r="1019">
      <c r="B1019" s="72" t="n"/>
      <c r="C1019" s="72" t="n"/>
      <c r="D1019" s="72" t="n"/>
      <c r="E1019" s="72" t="n"/>
      <c r="F1019" s="72" t="n"/>
      <c r="G1019" s="72" t="n"/>
      <c r="H1019" s="72" t="n"/>
      <c r="I1019" s="72" t="n"/>
      <c r="J1019" s="72" t="n"/>
      <c r="K1019" s="72" t="n"/>
      <c r="L1019" s="72" t="n"/>
      <c r="M1019" s="72" t="n"/>
      <c r="N1019" s="72" t="n"/>
      <c r="O1019" s="72" t="n"/>
      <c r="P1019" s="72" t="n"/>
      <c r="Q1019" s="72" t="n"/>
      <c r="R1019" s="72" t="n"/>
      <c r="S1019" s="72" t="n"/>
    </row>
    <row r="1020">
      <c r="B1020" s="72" t="n"/>
      <c r="C1020" s="72" t="n"/>
      <c r="D1020" s="72" t="n"/>
      <c r="E1020" s="72" t="n"/>
      <c r="F1020" s="72" t="n"/>
      <c r="G1020" s="72" t="n"/>
      <c r="H1020" s="72" t="n"/>
      <c r="I1020" s="72" t="n"/>
      <c r="J1020" s="72" t="n"/>
      <c r="K1020" s="72" t="n"/>
      <c r="L1020" s="72" t="n"/>
      <c r="M1020" s="72" t="n"/>
      <c r="N1020" s="72" t="n"/>
      <c r="O1020" s="72" t="n"/>
      <c r="P1020" s="72" t="n"/>
      <c r="Q1020" s="72" t="n"/>
      <c r="R1020" s="72" t="n"/>
      <c r="S1020" s="72" t="n"/>
    </row>
    <row r="1021">
      <c r="B1021" s="72" t="n"/>
      <c r="C1021" s="72" t="n"/>
      <c r="D1021" s="72" t="n"/>
      <c r="E1021" s="72" t="n"/>
      <c r="F1021" s="72" t="n"/>
      <c r="G1021" s="72" t="n"/>
      <c r="H1021" s="72" t="n"/>
      <c r="I1021" s="72" t="n"/>
      <c r="J1021" s="72" t="n"/>
      <c r="K1021" s="72" t="n"/>
      <c r="L1021" s="72" t="n"/>
      <c r="M1021" s="72" t="n"/>
      <c r="N1021" s="72" t="n"/>
      <c r="O1021" s="72" t="n"/>
      <c r="P1021" s="72" t="n"/>
      <c r="Q1021" s="72" t="n"/>
      <c r="R1021" s="72" t="n"/>
      <c r="S1021" s="72" t="n"/>
    </row>
    <row r="1022">
      <c r="B1022" s="72" t="n"/>
      <c r="C1022" s="72" t="n"/>
      <c r="D1022" s="72" t="n"/>
      <c r="E1022" s="72" t="n"/>
      <c r="F1022" s="72" t="n"/>
      <c r="G1022" s="72" t="n"/>
      <c r="H1022" s="72" t="n"/>
      <c r="I1022" s="72" t="n"/>
      <c r="J1022" s="72" t="n"/>
      <c r="K1022" s="72" t="n"/>
      <c r="L1022" s="72" t="n"/>
      <c r="M1022" s="72" t="n"/>
      <c r="N1022" s="72" t="n"/>
      <c r="O1022" s="72" t="n"/>
      <c r="P1022" s="72" t="n"/>
      <c r="Q1022" s="72" t="n"/>
      <c r="R1022" s="72" t="n"/>
      <c r="S1022" s="72" t="n"/>
    </row>
    <row r="1023">
      <c r="B1023" s="72" t="n"/>
      <c r="C1023" s="72" t="n"/>
      <c r="D1023" s="72" t="n"/>
      <c r="E1023" s="72" t="n"/>
      <c r="F1023" s="72" t="n"/>
      <c r="G1023" s="72" t="n"/>
      <c r="H1023" s="72" t="n"/>
      <c r="I1023" s="72" t="n"/>
      <c r="J1023" s="72" t="n"/>
      <c r="K1023" s="72" t="n"/>
      <c r="L1023" s="72" t="n"/>
      <c r="M1023" s="72" t="n"/>
      <c r="N1023" s="72" t="n"/>
      <c r="O1023" s="72" t="n"/>
      <c r="P1023" s="72" t="n"/>
      <c r="Q1023" s="72" t="n"/>
      <c r="R1023" s="72" t="n"/>
      <c r="S1023" s="72" t="n"/>
    </row>
    <row r="1024">
      <c r="B1024" s="72" t="n"/>
      <c r="C1024" s="72" t="n"/>
      <c r="D1024" s="72" t="n"/>
      <c r="E1024" s="72" t="n"/>
      <c r="F1024" s="72" t="n"/>
      <c r="G1024" s="72" t="n"/>
      <c r="H1024" s="72" t="n"/>
      <c r="I1024" s="72" t="n"/>
      <c r="J1024" s="72" t="n"/>
      <c r="K1024" s="72" t="n"/>
      <c r="L1024" s="72" t="n"/>
      <c r="M1024" s="72" t="n"/>
      <c r="N1024" s="72" t="n"/>
      <c r="O1024" s="72" t="n"/>
      <c r="P1024" s="72" t="n"/>
      <c r="Q1024" s="72" t="n"/>
      <c r="R1024" s="72" t="n"/>
      <c r="S1024" s="72" t="n"/>
    </row>
    <row r="1025">
      <c r="B1025" s="72" t="n"/>
      <c r="C1025" s="72" t="n"/>
      <c r="D1025" s="72" t="n"/>
      <c r="E1025" s="72" t="n"/>
      <c r="F1025" s="72" t="n"/>
      <c r="G1025" s="72" t="n"/>
      <c r="H1025" s="72" t="n"/>
      <c r="I1025" s="72" t="n"/>
      <c r="J1025" s="72" t="n"/>
      <c r="K1025" s="72" t="n"/>
      <c r="L1025" s="72" t="n"/>
      <c r="M1025" s="72" t="n"/>
      <c r="N1025" s="72" t="n"/>
      <c r="O1025" s="72" t="n"/>
      <c r="P1025" s="72" t="n"/>
      <c r="Q1025" s="72" t="n"/>
      <c r="R1025" s="72" t="n"/>
      <c r="S1025" s="72" t="n"/>
    </row>
    <row r="1026">
      <c r="B1026" s="72" t="n"/>
      <c r="C1026" s="72" t="n"/>
      <c r="D1026" s="72" t="n"/>
      <c r="E1026" s="72" t="n"/>
      <c r="F1026" s="72" t="n"/>
      <c r="G1026" s="72" t="n"/>
      <c r="H1026" s="72" t="n"/>
      <c r="I1026" s="72" t="n"/>
      <c r="J1026" s="72" t="n"/>
      <c r="K1026" s="72" t="n"/>
      <c r="L1026" s="72" t="n"/>
      <c r="M1026" s="72" t="n"/>
      <c r="N1026" s="72" t="n"/>
      <c r="O1026" s="72" t="n"/>
      <c r="P1026" s="72" t="n"/>
      <c r="Q1026" s="72" t="n"/>
      <c r="R1026" s="72" t="n"/>
      <c r="S1026" s="72" t="n"/>
    </row>
    <row r="1027">
      <c r="B1027" s="72" t="n"/>
      <c r="C1027" s="72" t="n"/>
      <c r="D1027" s="72" t="n"/>
      <c r="E1027" s="72" t="n"/>
      <c r="F1027" s="72" t="n"/>
      <c r="G1027" s="72" t="n"/>
      <c r="H1027" s="72" t="n"/>
      <c r="I1027" s="72" t="n"/>
      <c r="J1027" s="72" t="n"/>
      <c r="K1027" s="72" t="n"/>
      <c r="L1027" s="72" t="n"/>
      <c r="M1027" s="72" t="n"/>
      <c r="N1027" s="72" t="n"/>
      <c r="O1027" s="72" t="n"/>
      <c r="P1027" s="72" t="n"/>
      <c r="Q1027" s="72" t="n"/>
      <c r="R1027" s="72" t="n"/>
      <c r="S1027" s="72" t="n"/>
    </row>
    <row r="1028">
      <c r="B1028" s="72" t="n"/>
      <c r="C1028" s="72" t="n"/>
      <c r="D1028" s="72" t="n"/>
      <c r="E1028" s="72" t="n"/>
      <c r="F1028" s="72" t="n"/>
      <c r="G1028" s="72" t="n"/>
      <c r="H1028" s="72" t="n"/>
      <c r="I1028" s="72" t="n"/>
      <c r="J1028" s="72" t="n"/>
      <c r="K1028" s="72" t="n"/>
      <c r="L1028" s="72" t="n"/>
      <c r="M1028" s="72" t="n"/>
      <c r="N1028" s="72" t="n"/>
      <c r="O1028" s="72" t="n"/>
      <c r="P1028" s="72" t="n"/>
      <c r="Q1028" s="72" t="n"/>
      <c r="R1028" s="72" t="n"/>
      <c r="S1028" s="72" t="n"/>
    </row>
    <row r="1029">
      <c r="B1029" s="72" t="n"/>
      <c r="C1029" s="72" t="n"/>
      <c r="D1029" s="72" t="n"/>
      <c r="E1029" s="72" t="n"/>
      <c r="F1029" s="72" t="n"/>
      <c r="G1029" s="72" t="n"/>
      <c r="H1029" s="72" t="n"/>
      <c r="I1029" s="72" t="n"/>
      <c r="J1029" s="72" t="n"/>
      <c r="K1029" s="72" t="n"/>
      <c r="L1029" s="72" t="n"/>
      <c r="M1029" s="72" t="n"/>
      <c r="N1029" s="72" t="n"/>
      <c r="O1029" s="72" t="n"/>
      <c r="P1029" s="72" t="n"/>
      <c r="Q1029" s="72" t="n"/>
      <c r="R1029" s="72" t="n"/>
      <c r="S1029" s="72" t="n"/>
    </row>
    <row r="1030">
      <c r="B1030" s="72" t="n"/>
      <c r="C1030" s="72" t="n"/>
      <c r="D1030" s="72" t="n"/>
      <c r="E1030" s="72" t="n"/>
      <c r="F1030" s="72" t="n"/>
      <c r="G1030" s="72" t="n"/>
      <c r="H1030" s="72" t="n"/>
      <c r="I1030" s="72" t="n"/>
      <c r="J1030" s="72" t="n"/>
      <c r="K1030" s="72" t="n"/>
      <c r="L1030" s="72" t="n"/>
      <c r="M1030" s="72" t="n"/>
      <c r="N1030" s="72" t="n"/>
      <c r="O1030" s="72" t="n"/>
      <c r="P1030" s="72" t="n"/>
      <c r="Q1030" s="72" t="n"/>
      <c r="R1030" s="72" t="n"/>
      <c r="S1030" s="72" t="n"/>
    </row>
    <row r="1031">
      <c r="B1031" s="72" t="n"/>
      <c r="C1031" s="72" t="n"/>
      <c r="D1031" s="72" t="n"/>
      <c r="E1031" s="72" t="n"/>
      <c r="F1031" s="72" t="n"/>
      <c r="G1031" s="72" t="n"/>
      <c r="H1031" s="72" t="n"/>
      <c r="I1031" s="72" t="n"/>
      <c r="J1031" s="72" t="n"/>
      <c r="K1031" s="72" t="n"/>
      <c r="L1031" s="72" t="n"/>
      <c r="M1031" s="72" t="n"/>
      <c r="N1031" s="72" t="n"/>
      <c r="O1031" s="72" t="n"/>
      <c r="P1031" s="72" t="n"/>
      <c r="Q1031" s="72" t="n"/>
      <c r="R1031" s="72" t="n"/>
      <c r="S1031" s="72" t="n"/>
    </row>
    <row r="1032">
      <c r="B1032" s="72" t="n"/>
      <c r="C1032" s="72" t="n"/>
      <c r="D1032" s="72" t="n"/>
      <c r="E1032" s="72" t="n"/>
      <c r="F1032" s="72" t="n"/>
      <c r="G1032" s="72" t="n"/>
      <c r="H1032" s="72" t="n"/>
      <c r="I1032" s="72" t="n"/>
      <c r="J1032" s="72" t="n"/>
      <c r="K1032" s="72" t="n"/>
      <c r="L1032" s="72" t="n"/>
      <c r="M1032" s="72" t="n"/>
      <c r="N1032" s="72" t="n"/>
      <c r="O1032" s="72" t="n"/>
      <c r="P1032" s="72" t="n"/>
      <c r="Q1032" s="72" t="n"/>
      <c r="R1032" s="72" t="n"/>
      <c r="S1032" s="72" t="n"/>
    </row>
    <row r="1033">
      <c r="B1033" s="72" t="n"/>
      <c r="C1033" s="72" t="n"/>
      <c r="D1033" s="72" t="n"/>
      <c r="E1033" s="72" t="n"/>
      <c r="F1033" s="72" t="n"/>
      <c r="G1033" s="72" t="n"/>
      <c r="H1033" s="72" t="n"/>
      <c r="I1033" s="72" t="n"/>
      <c r="J1033" s="72" t="n"/>
      <c r="K1033" s="72" t="n"/>
      <c r="L1033" s="72" t="n"/>
      <c r="M1033" s="72" t="n"/>
      <c r="N1033" s="72" t="n"/>
      <c r="O1033" s="72" t="n"/>
      <c r="P1033" s="72" t="n"/>
      <c r="Q1033" s="72" t="n"/>
      <c r="R1033" s="72" t="n"/>
      <c r="S1033" s="72" t="n"/>
    </row>
    <row r="1034">
      <c r="B1034" s="72" t="n"/>
      <c r="C1034" s="72" t="n"/>
      <c r="D1034" s="72" t="n"/>
      <c r="E1034" s="72" t="n"/>
      <c r="F1034" s="72" t="n"/>
      <c r="G1034" s="72" t="n"/>
      <c r="H1034" s="72" t="n"/>
      <c r="I1034" s="72" t="n"/>
      <c r="J1034" s="72" t="n"/>
      <c r="K1034" s="72" t="n"/>
      <c r="L1034" s="72" t="n"/>
      <c r="M1034" s="72" t="n"/>
      <c r="N1034" s="72" t="n"/>
      <c r="O1034" s="72" t="n"/>
      <c r="P1034" s="72" t="n"/>
      <c r="Q1034" s="72" t="n"/>
      <c r="R1034" s="72" t="n"/>
      <c r="S1034" s="72" t="n"/>
    </row>
    <row r="1035">
      <c r="B1035" s="72" t="n"/>
      <c r="C1035" s="72" t="n"/>
      <c r="D1035" s="72" t="n"/>
      <c r="E1035" s="72" t="n"/>
      <c r="F1035" s="72" t="n"/>
      <c r="G1035" s="72" t="n"/>
      <c r="H1035" s="72" t="n"/>
      <c r="I1035" s="72" t="n"/>
      <c r="J1035" s="72" t="n"/>
      <c r="K1035" s="72" t="n"/>
      <c r="L1035" s="72" t="n"/>
      <c r="M1035" s="72" t="n"/>
      <c r="N1035" s="72" t="n"/>
      <c r="O1035" s="72" t="n"/>
      <c r="P1035" s="72" t="n"/>
      <c r="Q1035" s="72" t="n"/>
      <c r="R1035" s="72" t="n"/>
      <c r="S1035" s="72" t="n"/>
    </row>
    <row r="1036">
      <c r="B1036" s="72" t="n"/>
      <c r="C1036" s="72" t="n"/>
      <c r="D1036" s="72" t="n"/>
      <c r="E1036" s="72" t="n"/>
      <c r="F1036" s="72" t="n"/>
      <c r="G1036" s="72" t="n"/>
      <c r="H1036" s="72" t="n"/>
      <c r="I1036" s="72" t="n"/>
      <c r="J1036" s="72" t="n"/>
      <c r="K1036" s="72" t="n"/>
      <c r="L1036" s="72" t="n"/>
      <c r="M1036" s="72" t="n"/>
      <c r="N1036" s="72" t="n"/>
      <c r="O1036" s="72" t="n"/>
      <c r="P1036" s="72" t="n"/>
      <c r="Q1036" s="72" t="n"/>
      <c r="R1036" s="72" t="n"/>
      <c r="S1036" s="72" t="n"/>
    </row>
    <row r="1037">
      <c r="B1037" s="72" t="n"/>
      <c r="C1037" s="72" t="n"/>
      <c r="D1037" s="72" t="n"/>
      <c r="E1037" s="72" t="n"/>
      <c r="F1037" s="72" t="n"/>
      <c r="G1037" s="72" t="n"/>
      <c r="H1037" s="72" t="n"/>
      <c r="I1037" s="72" t="n"/>
      <c r="J1037" s="72" t="n"/>
      <c r="K1037" s="72" t="n"/>
      <c r="L1037" s="72" t="n"/>
      <c r="M1037" s="72" t="n"/>
      <c r="N1037" s="72" t="n"/>
      <c r="O1037" s="72" t="n"/>
      <c r="P1037" s="72" t="n"/>
      <c r="Q1037" s="72" t="n"/>
      <c r="R1037" s="72" t="n"/>
      <c r="S1037" s="72" t="n"/>
    </row>
    <row r="1038">
      <c r="B1038" s="72" t="n"/>
      <c r="C1038" s="72" t="n"/>
      <c r="D1038" s="72" t="n"/>
      <c r="E1038" s="72" t="n"/>
      <c r="F1038" s="72" t="n"/>
      <c r="G1038" s="72" t="n"/>
      <c r="H1038" s="72" t="n"/>
      <c r="I1038" s="72" t="n"/>
      <c r="J1038" s="72" t="n"/>
      <c r="K1038" s="72" t="n"/>
      <c r="L1038" s="72" t="n"/>
      <c r="M1038" s="72" t="n"/>
      <c r="N1038" s="72" t="n"/>
      <c r="O1038" s="72" t="n"/>
      <c r="P1038" s="72" t="n"/>
      <c r="Q1038" s="72" t="n"/>
      <c r="R1038" s="72" t="n"/>
      <c r="S1038" s="72" t="n"/>
    </row>
    <row r="1039">
      <c r="B1039" s="72" t="n"/>
      <c r="C1039" s="72" t="n"/>
      <c r="D1039" s="72" t="n"/>
      <c r="E1039" s="72" t="n"/>
      <c r="F1039" s="72" t="n"/>
      <c r="G1039" s="72" t="n"/>
      <c r="H1039" s="72" t="n"/>
      <c r="I1039" s="72" t="n"/>
      <c r="J1039" s="72" t="n"/>
      <c r="K1039" s="72" t="n"/>
      <c r="L1039" s="72" t="n"/>
      <c r="M1039" s="72" t="n"/>
      <c r="N1039" s="72" t="n"/>
      <c r="O1039" s="72" t="n"/>
      <c r="P1039" s="72" t="n"/>
      <c r="Q1039" s="72" t="n"/>
      <c r="R1039" s="72" t="n"/>
      <c r="S1039" s="72" t="n"/>
    </row>
    <row r="1040">
      <c r="B1040" s="72" t="n"/>
      <c r="C1040" s="72" t="n"/>
      <c r="D1040" s="72" t="n"/>
      <c r="E1040" s="72" t="n"/>
      <c r="F1040" s="72" t="n"/>
      <c r="G1040" s="72" t="n"/>
      <c r="H1040" s="72" t="n"/>
      <c r="I1040" s="72" t="n"/>
      <c r="J1040" s="72" t="n"/>
      <c r="K1040" s="72" t="n"/>
      <c r="L1040" s="72" t="n"/>
      <c r="M1040" s="72" t="n"/>
      <c r="N1040" s="72" t="n"/>
      <c r="O1040" s="72" t="n"/>
      <c r="P1040" s="72" t="n"/>
      <c r="Q1040" s="72" t="n"/>
      <c r="R1040" s="72" t="n"/>
      <c r="S1040" s="72" t="n"/>
    </row>
    <row r="1041">
      <c r="B1041" s="72" t="n"/>
      <c r="C1041" s="72" t="n"/>
      <c r="D1041" s="72" t="n"/>
      <c r="E1041" s="72" t="n"/>
      <c r="F1041" s="72" t="n"/>
      <c r="G1041" s="72" t="n"/>
      <c r="H1041" s="72" t="n"/>
      <c r="I1041" s="72" t="n"/>
      <c r="J1041" s="72" t="n"/>
      <c r="K1041" s="72" t="n"/>
      <c r="L1041" s="72" t="n"/>
      <c r="M1041" s="72" t="n"/>
      <c r="N1041" s="72" t="n"/>
      <c r="O1041" s="72" t="n"/>
      <c r="P1041" s="72" t="n"/>
      <c r="Q1041" s="72" t="n"/>
      <c r="R1041" s="72" t="n"/>
      <c r="S1041" s="72" t="n"/>
    </row>
    <row r="1042">
      <c r="B1042" s="72" t="n"/>
      <c r="C1042" s="72" t="n"/>
      <c r="D1042" s="72" t="n"/>
      <c r="E1042" s="72" t="n"/>
      <c r="F1042" s="72" t="n"/>
      <c r="G1042" s="72" t="n"/>
      <c r="H1042" s="72" t="n"/>
      <c r="I1042" s="72" t="n"/>
      <c r="J1042" s="72" t="n"/>
      <c r="K1042" s="72" t="n"/>
      <c r="L1042" s="72" t="n"/>
      <c r="M1042" s="72" t="n"/>
      <c r="N1042" s="72" t="n"/>
      <c r="O1042" s="72" t="n"/>
      <c r="P1042" s="72" t="n"/>
      <c r="Q1042" s="72" t="n"/>
      <c r="R1042" s="72" t="n"/>
      <c r="S1042" s="72" t="n"/>
    </row>
    <row r="1043">
      <c r="B1043" s="72" t="n"/>
      <c r="C1043" s="72" t="n"/>
      <c r="D1043" s="72" t="n"/>
      <c r="E1043" s="72" t="n"/>
      <c r="F1043" s="72" t="n"/>
      <c r="G1043" s="72" t="n"/>
      <c r="H1043" s="72" t="n"/>
      <c r="I1043" s="72" t="n"/>
      <c r="J1043" s="72" t="n"/>
      <c r="K1043" s="72" t="n"/>
      <c r="L1043" s="72" t="n"/>
      <c r="M1043" s="72" t="n"/>
      <c r="N1043" s="72" t="n"/>
      <c r="O1043" s="72" t="n"/>
      <c r="P1043" s="72" t="n"/>
      <c r="Q1043" s="72" t="n"/>
      <c r="R1043" s="72" t="n"/>
      <c r="S1043" s="72" t="n"/>
    </row>
    <row r="1044">
      <c r="B1044" s="72" t="n"/>
      <c r="C1044" s="72" t="n"/>
      <c r="D1044" s="72" t="n"/>
      <c r="E1044" s="72" t="n"/>
      <c r="F1044" s="72" t="n"/>
      <c r="G1044" s="72" t="n"/>
      <c r="H1044" s="72" t="n"/>
      <c r="I1044" s="72" t="n"/>
      <c r="J1044" s="72" t="n"/>
      <c r="K1044" s="72" t="n"/>
      <c r="L1044" s="72" t="n"/>
      <c r="M1044" s="72" t="n"/>
      <c r="N1044" s="72" t="n"/>
      <c r="O1044" s="72" t="n"/>
      <c r="P1044" s="72" t="n"/>
      <c r="Q1044" s="72" t="n"/>
      <c r="R1044" s="72" t="n"/>
      <c r="S1044" s="72" t="n"/>
    </row>
    <row r="1045">
      <c r="B1045" s="72" t="n"/>
      <c r="C1045" s="72" t="n"/>
      <c r="D1045" s="72" t="n"/>
      <c r="E1045" s="72" t="n"/>
      <c r="F1045" s="72" t="n"/>
      <c r="G1045" s="72" t="n"/>
      <c r="H1045" s="72" t="n"/>
      <c r="I1045" s="72" t="n"/>
      <c r="J1045" s="72" t="n"/>
      <c r="K1045" s="72" t="n"/>
      <c r="L1045" s="72" t="n"/>
      <c r="M1045" s="72" t="n"/>
      <c r="N1045" s="72" t="n"/>
      <c r="O1045" s="72" t="n"/>
      <c r="P1045" s="72" t="n"/>
      <c r="Q1045" s="72" t="n"/>
      <c r="R1045" s="72" t="n"/>
      <c r="S1045" s="72" t="n"/>
    </row>
    <row r="1046">
      <c r="B1046" s="72" t="n"/>
      <c r="C1046" s="72" t="n"/>
      <c r="D1046" s="72" t="n"/>
      <c r="E1046" s="72" t="n"/>
      <c r="F1046" s="72" t="n"/>
      <c r="G1046" s="72" t="n"/>
      <c r="H1046" s="72" t="n"/>
      <c r="I1046" s="72" t="n"/>
      <c r="J1046" s="72" t="n"/>
      <c r="K1046" s="72" t="n"/>
      <c r="L1046" s="72" t="n"/>
      <c r="M1046" s="72" t="n"/>
      <c r="N1046" s="72" t="n"/>
      <c r="O1046" s="72" t="n"/>
      <c r="P1046" s="72" t="n"/>
      <c r="Q1046" s="72" t="n"/>
      <c r="R1046" s="72" t="n"/>
      <c r="S1046" s="72" t="n"/>
    </row>
    <row r="1047">
      <c r="B1047" s="72" t="n"/>
      <c r="C1047" s="72" t="n"/>
      <c r="D1047" s="72" t="n"/>
      <c r="E1047" s="72" t="n"/>
      <c r="F1047" s="72" t="n"/>
      <c r="G1047" s="72" t="n"/>
      <c r="H1047" s="72" t="n"/>
      <c r="I1047" s="72" t="n"/>
      <c r="J1047" s="72" t="n"/>
      <c r="K1047" s="72" t="n"/>
      <c r="L1047" s="72" t="n"/>
      <c r="M1047" s="72" t="n"/>
      <c r="N1047" s="72" t="n"/>
      <c r="O1047" s="72" t="n"/>
      <c r="P1047" s="72" t="n"/>
      <c r="Q1047" s="72" t="n"/>
      <c r="R1047" s="72" t="n"/>
      <c r="S1047" s="72" t="n"/>
    </row>
    <row r="1048">
      <c r="B1048" s="72" t="n"/>
      <c r="C1048" s="72" t="n"/>
      <c r="D1048" s="72" t="n"/>
      <c r="E1048" s="72" t="n"/>
      <c r="F1048" s="72" t="n"/>
      <c r="G1048" s="72" t="n"/>
      <c r="H1048" s="72" t="n"/>
      <c r="I1048" s="72" t="n"/>
      <c r="J1048" s="72" t="n"/>
      <c r="K1048" s="72" t="n"/>
      <c r="L1048" s="72" t="n"/>
      <c r="M1048" s="72" t="n"/>
      <c r="N1048" s="72" t="n"/>
      <c r="O1048" s="72" t="n"/>
      <c r="P1048" s="72" t="n"/>
      <c r="Q1048" s="72" t="n"/>
      <c r="R1048" s="72" t="n"/>
      <c r="S1048" s="72" t="n"/>
    </row>
    <row r="1049">
      <c r="B1049" s="72" t="n"/>
      <c r="C1049" s="72" t="n"/>
      <c r="D1049" s="72" t="n"/>
      <c r="E1049" s="72" t="n"/>
      <c r="F1049" s="72" t="n"/>
      <c r="G1049" s="72" t="n"/>
      <c r="H1049" s="72" t="n"/>
      <c r="I1049" s="72" t="n"/>
      <c r="J1049" s="72" t="n"/>
      <c r="K1049" s="72" t="n"/>
      <c r="L1049" s="72" t="n"/>
      <c r="M1049" s="72" t="n"/>
      <c r="N1049" s="72" t="n"/>
      <c r="O1049" s="72" t="n"/>
      <c r="P1049" s="72" t="n"/>
      <c r="Q1049" s="72" t="n"/>
      <c r="R1049" s="72" t="n"/>
      <c r="S1049" s="72" t="n"/>
    </row>
    <row r="1050">
      <c r="B1050" s="72" t="n"/>
      <c r="C1050" s="72" t="n"/>
      <c r="D1050" s="72" t="n"/>
      <c r="E1050" s="72" t="n"/>
      <c r="F1050" s="72" t="n"/>
      <c r="G1050" s="72" t="n"/>
      <c r="H1050" s="72" t="n"/>
      <c r="I1050" s="72" t="n"/>
      <c r="J1050" s="72" t="n"/>
      <c r="K1050" s="72" t="n"/>
      <c r="L1050" s="72" t="n"/>
      <c r="M1050" s="72" t="n"/>
      <c r="N1050" s="72" t="n"/>
      <c r="O1050" s="72" t="n"/>
      <c r="P1050" s="72" t="n"/>
      <c r="Q1050" s="72" t="n"/>
      <c r="R1050" s="72" t="n"/>
      <c r="S1050" s="72" t="n"/>
    </row>
    <row r="1051">
      <c r="B1051" s="72" t="n"/>
      <c r="C1051" s="72" t="n"/>
      <c r="D1051" s="72" t="n"/>
      <c r="E1051" s="72" t="n"/>
      <c r="F1051" s="72" t="n"/>
      <c r="G1051" s="72" t="n"/>
      <c r="H1051" s="72" t="n"/>
      <c r="I1051" s="72" t="n"/>
      <c r="J1051" s="72" t="n"/>
      <c r="K1051" s="72" t="n"/>
      <c r="L1051" s="72" t="n"/>
      <c r="M1051" s="72" t="n"/>
      <c r="N1051" s="72" t="n"/>
      <c r="O1051" s="72" t="n"/>
      <c r="P1051" s="72" t="n"/>
      <c r="Q1051" s="72" t="n"/>
      <c r="R1051" s="72" t="n"/>
      <c r="S1051" s="72" t="n"/>
    </row>
    <row r="1052">
      <c r="B1052" s="72" t="n"/>
      <c r="C1052" s="72" t="n"/>
      <c r="D1052" s="72" t="n"/>
      <c r="E1052" s="72" t="n"/>
      <c r="F1052" s="72" t="n"/>
      <c r="G1052" s="72" t="n"/>
      <c r="H1052" s="72" t="n"/>
      <c r="I1052" s="72" t="n"/>
      <c r="J1052" s="72" t="n"/>
      <c r="K1052" s="72" t="n"/>
      <c r="L1052" s="72" t="n"/>
      <c r="M1052" s="72" t="n"/>
      <c r="N1052" s="72" t="n"/>
      <c r="O1052" s="72" t="n"/>
      <c r="P1052" s="72" t="n"/>
      <c r="Q1052" s="72" t="n"/>
      <c r="R1052" s="72" t="n"/>
      <c r="S1052" s="72" t="n"/>
    </row>
    <row r="1053">
      <c r="B1053" s="72" t="n"/>
      <c r="C1053" s="72" t="n"/>
      <c r="D1053" s="72" t="n"/>
      <c r="E1053" s="72" t="n"/>
      <c r="F1053" s="72" t="n"/>
      <c r="G1053" s="72" t="n"/>
      <c r="H1053" s="72" t="n"/>
      <c r="I1053" s="72" t="n"/>
      <c r="J1053" s="72" t="n"/>
      <c r="K1053" s="72" t="n"/>
      <c r="L1053" s="72" t="n"/>
      <c r="M1053" s="72" t="n"/>
      <c r="N1053" s="72" t="n"/>
      <c r="O1053" s="72" t="n"/>
      <c r="P1053" s="72" t="n"/>
      <c r="Q1053" s="72" t="n"/>
      <c r="R1053" s="72" t="n"/>
      <c r="S1053" s="72" t="n"/>
    </row>
    <row r="1054">
      <c r="B1054" s="72" t="n"/>
      <c r="C1054" s="72" t="n"/>
      <c r="D1054" s="72" t="n"/>
      <c r="E1054" s="72" t="n"/>
      <c r="F1054" s="72" t="n"/>
      <c r="G1054" s="72" t="n"/>
      <c r="H1054" s="72" t="n"/>
      <c r="I1054" s="72" t="n"/>
      <c r="J1054" s="72" t="n"/>
      <c r="K1054" s="72" t="n"/>
      <c r="L1054" s="72" t="n"/>
      <c r="M1054" s="72" t="n"/>
      <c r="N1054" s="72" t="n"/>
      <c r="O1054" s="72" t="n"/>
      <c r="P1054" s="72" t="n"/>
      <c r="Q1054" s="72" t="n"/>
      <c r="R1054" s="72" t="n"/>
      <c r="S1054" s="72" t="n"/>
    </row>
    <row r="1055">
      <c r="B1055" s="72" t="n"/>
      <c r="C1055" s="72" t="n"/>
      <c r="D1055" s="72" t="n"/>
      <c r="E1055" s="72" t="n"/>
      <c r="F1055" s="72" t="n"/>
      <c r="G1055" s="72" t="n"/>
      <c r="H1055" s="72" t="n"/>
      <c r="I1055" s="72" t="n"/>
      <c r="J1055" s="72" t="n"/>
      <c r="K1055" s="72" t="n"/>
      <c r="L1055" s="72" t="n"/>
      <c r="M1055" s="72" t="n"/>
      <c r="N1055" s="72" t="n"/>
      <c r="O1055" s="72" t="n"/>
      <c r="P1055" s="72" t="n"/>
      <c r="Q1055" s="72" t="n"/>
      <c r="R1055" s="72" t="n"/>
      <c r="S1055" s="72" t="n"/>
    </row>
    <row r="1056">
      <c r="B1056" s="72" t="n"/>
      <c r="C1056" s="72" t="n"/>
      <c r="D1056" s="72" t="n"/>
      <c r="E1056" s="72" t="n"/>
      <c r="F1056" s="72" t="n"/>
      <c r="G1056" s="72" t="n"/>
      <c r="H1056" s="72" t="n"/>
      <c r="I1056" s="72" t="n"/>
      <c r="J1056" s="72" t="n"/>
      <c r="K1056" s="72" t="n"/>
      <c r="L1056" s="72" t="n"/>
      <c r="M1056" s="72" t="n"/>
      <c r="N1056" s="72" t="n"/>
      <c r="O1056" s="72" t="n"/>
      <c r="P1056" s="72" t="n"/>
      <c r="Q1056" s="72" t="n"/>
      <c r="R1056" s="72" t="n"/>
      <c r="S1056" s="72" t="n"/>
    </row>
    <row r="1057">
      <c r="B1057" s="72" t="n"/>
      <c r="C1057" s="72" t="n"/>
      <c r="D1057" s="72" t="n"/>
      <c r="E1057" s="72" t="n"/>
      <c r="F1057" s="72" t="n"/>
      <c r="G1057" s="72" t="n"/>
      <c r="H1057" s="72" t="n"/>
      <c r="I1057" s="72" t="n"/>
      <c r="J1057" s="72" t="n"/>
      <c r="K1057" s="72" t="n"/>
      <c r="L1057" s="72" t="n"/>
      <c r="M1057" s="72" t="n"/>
      <c r="N1057" s="72" t="n"/>
      <c r="O1057" s="72" t="n"/>
      <c r="P1057" s="72" t="n"/>
      <c r="Q1057" s="72" t="n"/>
      <c r="R1057" s="72" t="n"/>
      <c r="S1057" s="72" t="n"/>
    </row>
    <row r="1058">
      <c r="B1058" s="72" t="n"/>
      <c r="C1058" s="72" t="n"/>
      <c r="D1058" s="72" t="n"/>
      <c r="E1058" s="72" t="n"/>
      <c r="F1058" s="72" t="n"/>
      <c r="G1058" s="72" t="n"/>
      <c r="H1058" s="72" t="n"/>
      <c r="I1058" s="72" t="n"/>
      <c r="J1058" s="72" t="n"/>
      <c r="K1058" s="72" t="n"/>
      <c r="L1058" s="72" t="n"/>
      <c r="M1058" s="72" t="n"/>
      <c r="N1058" s="72" t="n"/>
      <c r="O1058" s="72" t="n"/>
      <c r="P1058" s="72" t="n"/>
      <c r="Q1058" s="72" t="n"/>
      <c r="R1058" s="72" t="n"/>
      <c r="S1058" s="72" t="n"/>
    </row>
    <row r="1059">
      <c r="B1059" s="72" t="n"/>
      <c r="C1059" s="72" t="n"/>
      <c r="D1059" s="72" t="n"/>
      <c r="E1059" s="72" t="n"/>
      <c r="F1059" s="72" t="n"/>
      <c r="G1059" s="72" t="n"/>
      <c r="H1059" s="72" t="n"/>
      <c r="I1059" s="72" t="n"/>
      <c r="J1059" s="72" t="n"/>
      <c r="K1059" s="72" t="n"/>
      <c r="L1059" s="72" t="n"/>
      <c r="M1059" s="72" t="n"/>
      <c r="N1059" s="72" t="n"/>
      <c r="O1059" s="72" t="n"/>
      <c r="P1059" s="72" t="n"/>
      <c r="Q1059" s="72" t="n"/>
      <c r="R1059" s="72" t="n"/>
      <c r="S1059" s="72" t="n"/>
    </row>
    <row r="1060">
      <c r="B1060" s="72" t="n"/>
      <c r="C1060" s="72" t="n"/>
      <c r="D1060" s="72" t="n"/>
      <c r="E1060" s="72" t="n"/>
      <c r="F1060" s="72" t="n"/>
      <c r="G1060" s="72" t="n"/>
      <c r="H1060" s="72" t="n"/>
      <c r="I1060" s="72" t="n"/>
      <c r="J1060" s="72" t="n"/>
      <c r="K1060" s="72" t="n"/>
      <c r="L1060" s="72" t="n"/>
      <c r="M1060" s="72" t="n"/>
      <c r="N1060" s="72" t="n"/>
      <c r="O1060" s="72" t="n"/>
      <c r="P1060" s="72" t="n"/>
      <c r="Q1060" s="72" t="n"/>
      <c r="R1060" s="72" t="n"/>
      <c r="S1060" s="72" t="n"/>
    </row>
    <row r="1061">
      <c r="B1061" s="72" t="n"/>
      <c r="C1061" s="72" t="n"/>
      <c r="D1061" s="72" t="n"/>
      <c r="E1061" s="72" t="n"/>
      <c r="F1061" s="72" t="n"/>
      <c r="G1061" s="72" t="n"/>
      <c r="H1061" s="72" t="n"/>
      <c r="I1061" s="72" t="n"/>
      <c r="J1061" s="72" t="n"/>
      <c r="K1061" s="72" t="n"/>
      <c r="L1061" s="72" t="n"/>
      <c r="M1061" s="72" t="n"/>
      <c r="N1061" s="72" t="n"/>
      <c r="O1061" s="72" t="n"/>
      <c r="P1061" s="72" t="n"/>
      <c r="Q1061" s="72" t="n"/>
      <c r="R1061" s="72" t="n"/>
      <c r="S1061" s="72" t="n"/>
    </row>
    <row r="1062">
      <c r="B1062" s="72" t="n"/>
      <c r="C1062" s="72" t="n"/>
      <c r="D1062" s="72" t="n"/>
      <c r="E1062" s="72" t="n"/>
      <c r="F1062" s="72" t="n"/>
      <c r="G1062" s="72" t="n"/>
      <c r="H1062" s="72" t="n"/>
      <c r="I1062" s="72" t="n"/>
      <c r="J1062" s="72" t="n"/>
      <c r="K1062" s="72" t="n"/>
      <c r="L1062" s="72" t="n"/>
      <c r="M1062" s="72" t="n"/>
      <c r="N1062" s="72" t="n"/>
      <c r="O1062" s="72" t="n"/>
      <c r="P1062" s="72" t="n"/>
      <c r="Q1062" s="72" t="n"/>
      <c r="R1062" s="72" t="n"/>
      <c r="S1062" s="72" t="n"/>
    </row>
    <row r="1063">
      <c r="B1063" s="72" t="n"/>
      <c r="C1063" s="72" t="n"/>
      <c r="D1063" s="72" t="n"/>
      <c r="E1063" s="72" t="n"/>
      <c r="F1063" s="72" t="n"/>
      <c r="G1063" s="72" t="n"/>
      <c r="H1063" s="72" t="n"/>
      <c r="I1063" s="72" t="n"/>
      <c r="J1063" s="72" t="n"/>
      <c r="K1063" s="72" t="n"/>
      <c r="L1063" s="72" t="n"/>
      <c r="M1063" s="72" t="n"/>
      <c r="N1063" s="72" t="n"/>
      <c r="O1063" s="72" t="n"/>
      <c r="P1063" s="72" t="n"/>
      <c r="Q1063" s="72" t="n"/>
      <c r="R1063" s="72" t="n"/>
      <c r="S1063" s="72" t="n"/>
    </row>
    <row r="1064">
      <c r="B1064" s="72" t="n"/>
      <c r="C1064" s="72" t="n"/>
      <c r="D1064" s="72" t="n"/>
      <c r="E1064" s="72" t="n"/>
      <c r="F1064" s="72" t="n"/>
      <c r="G1064" s="72" t="n"/>
      <c r="H1064" s="72" t="n"/>
      <c r="I1064" s="72" t="n"/>
      <c r="J1064" s="72" t="n"/>
      <c r="K1064" s="72" t="n"/>
      <c r="L1064" s="72" t="n"/>
      <c r="M1064" s="72" t="n"/>
      <c r="N1064" s="72" t="n"/>
      <c r="O1064" s="72" t="n"/>
      <c r="P1064" s="72" t="n"/>
      <c r="Q1064" s="72" t="n"/>
      <c r="R1064" s="72" t="n"/>
      <c r="S1064" s="72" t="n"/>
    </row>
    <row r="1065">
      <c r="B1065" s="72" t="n"/>
      <c r="C1065" s="72" t="n"/>
      <c r="D1065" s="72" t="n"/>
      <c r="E1065" s="72" t="n"/>
      <c r="F1065" s="72" t="n"/>
      <c r="G1065" s="72" t="n"/>
      <c r="H1065" s="72" t="n"/>
      <c r="I1065" s="72" t="n"/>
      <c r="J1065" s="72" t="n"/>
      <c r="K1065" s="72" t="n"/>
      <c r="L1065" s="72" t="n"/>
      <c r="M1065" s="72" t="n"/>
      <c r="N1065" s="72" t="n"/>
      <c r="O1065" s="72" t="n"/>
      <c r="P1065" s="72" t="n"/>
      <c r="Q1065" s="72" t="n"/>
      <c r="R1065" s="72" t="n"/>
      <c r="S1065" s="72" t="n"/>
    </row>
    <row r="1066">
      <c r="B1066" s="72" t="n"/>
      <c r="C1066" s="72" t="n"/>
      <c r="D1066" s="72" t="n"/>
      <c r="E1066" s="72" t="n"/>
      <c r="F1066" s="72" t="n"/>
      <c r="G1066" s="72" t="n"/>
      <c r="H1066" s="72" t="n"/>
      <c r="I1066" s="72" t="n"/>
      <c r="J1066" s="72" t="n"/>
      <c r="K1066" s="72" t="n"/>
      <c r="L1066" s="72" t="n"/>
      <c r="M1066" s="72" t="n"/>
      <c r="N1066" s="72" t="n"/>
      <c r="O1066" s="72" t="n"/>
      <c r="P1066" s="72" t="n"/>
      <c r="Q1066" s="72" t="n"/>
      <c r="R1066" s="72" t="n"/>
      <c r="S1066" s="72" t="n"/>
    </row>
    <row r="1067">
      <c r="B1067" s="72" t="n"/>
      <c r="C1067" s="72" t="n"/>
      <c r="D1067" s="72" t="n"/>
      <c r="E1067" s="72" t="n"/>
      <c r="F1067" s="72" t="n"/>
      <c r="G1067" s="72" t="n"/>
      <c r="H1067" s="72" t="n"/>
      <c r="I1067" s="72" t="n"/>
      <c r="J1067" s="72" t="n"/>
      <c r="K1067" s="72" t="n"/>
      <c r="L1067" s="72" t="n"/>
      <c r="M1067" s="72" t="n"/>
      <c r="N1067" s="72" t="n"/>
      <c r="O1067" s="72" t="n"/>
      <c r="P1067" s="72" t="n"/>
      <c r="Q1067" s="72" t="n"/>
      <c r="R1067" s="72" t="n"/>
      <c r="S1067" s="72" t="n"/>
    </row>
    <row r="1068">
      <c r="B1068" s="72" t="n"/>
      <c r="C1068" s="72" t="n"/>
      <c r="D1068" s="72" t="n"/>
      <c r="E1068" s="72" t="n"/>
      <c r="F1068" s="72" t="n"/>
      <c r="G1068" s="72" t="n"/>
      <c r="H1068" s="72" t="n"/>
      <c r="I1068" s="72" t="n"/>
      <c r="J1068" s="72" t="n"/>
      <c r="K1068" s="72" t="n"/>
      <c r="L1068" s="72" t="n"/>
      <c r="M1068" s="72" t="n"/>
      <c r="N1068" s="72" t="n"/>
      <c r="O1068" s="72" t="n"/>
      <c r="P1068" s="72" t="n"/>
      <c r="Q1068" s="72" t="n"/>
      <c r="R1068" s="72" t="n"/>
      <c r="S1068" s="72" t="n"/>
    </row>
    <row r="1069">
      <c r="B1069" s="72" t="n"/>
      <c r="C1069" s="72" t="n"/>
      <c r="D1069" s="72" t="n"/>
      <c r="E1069" s="72" t="n"/>
      <c r="F1069" s="72" t="n"/>
      <c r="G1069" s="72" t="n"/>
      <c r="H1069" s="72" t="n"/>
      <c r="I1069" s="72" t="n"/>
      <c r="J1069" s="72" t="n"/>
      <c r="K1069" s="72" t="n"/>
      <c r="L1069" s="72" t="n"/>
      <c r="M1069" s="72" t="n"/>
      <c r="N1069" s="72" t="n"/>
      <c r="O1069" s="72" t="n"/>
      <c r="P1069" s="72" t="n"/>
      <c r="Q1069" s="72" t="n"/>
      <c r="R1069" s="72" t="n"/>
      <c r="S1069" s="72" t="n"/>
    </row>
    <row r="1070">
      <c r="B1070" s="72" t="n"/>
      <c r="C1070" s="72" t="n"/>
      <c r="D1070" s="72" t="n"/>
      <c r="E1070" s="72" t="n"/>
      <c r="F1070" s="72" t="n"/>
      <c r="G1070" s="72" t="n"/>
      <c r="H1070" s="72" t="n"/>
      <c r="I1070" s="72" t="n"/>
      <c r="J1070" s="72" t="n"/>
      <c r="K1070" s="72" t="n"/>
      <c r="L1070" s="72" t="n"/>
      <c r="M1070" s="72" t="n"/>
      <c r="N1070" s="72" t="n"/>
      <c r="O1070" s="72" t="n"/>
      <c r="P1070" s="72" t="n"/>
      <c r="Q1070" s="72" t="n"/>
      <c r="R1070" s="72" t="n"/>
      <c r="S1070" s="72" t="n"/>
    </row>
    <row r="1071">
      <c r="B1071" s="72" t="n"/>
      <c r="C1071" s="72" t="n"/>
      <c r="D1071" s="72" t="n"/>
      <c r="E1071" s="72" t="n"/>
      <c r="F1071" s="72" t="n"/>
      <c r="G1071" s="72" t="n"/>
      <c r="H1071" s="72" t="n"/>
      <c r="I1071" s="72" t="n"/>
      <c r="J1071" s="72" t="n"/>
      <c r="K1071" s="72" t="n"/>
      <c r="L1071" s="72" t="n"/>
      <c r="M1071" s="72" t="n"/>
      <c r="N1071" s="72" t="n"/>
      <c r="O1071" s="72" t="n"/>
      <c r="P1071" s="72" t="n"/>
      <c r="Q1071" s="72" t="n"/>
      <c r="R1071" s="72" t="n"/>
      <c r="S1071" s="72" t="n"/>
    </row>
    <row r="1072">
      <c r="B1072" s="72" t="n"/>
      <c r="C1072" s="72" t="n"/>
      <c r="D1072" s="72" t="n"/>
      <c r="E1072" s="72" t="n"/>
      <c r="F1072" s="72" t="n"/>
      <c r="G1072" s="72" t="n"/>
      <c r="H1072" s="72" t="n"/>
      <c r="I1072" s="72" t="n"/>
      <c r="J1072" s="72" t="n"/>
      <c r="K1072" s="72" t="n"/>
      <c r="L1072" s="72" t="n"/>
      <c r="M1072" s="72" t="n"/>
      <c r="N1072" s="72" t="n"/>
      <c r="O1072" s="72" t="n"/>
      <c r="P1072" s="72" t="n"/>
      <c r="Q1072" s="72" t="n"/>
      <c r="R1072" s="72" t="n"/>
      <c r="S1072" s="72" t="n"/>
    </row>
    <row r="1073">
      <c r="B1073" s="72" t="n"/>
      <c r="C1073" s="72" t="n"/>
      <c r="D1073" s="72" t="n"/>
      <c r="E1073" s="72" t="n"/>
      <c r="F1073" s="72" t="n"/>
      <c r="G1073" s="72" t="n"/>
      <c r="H1073" s="72" t="n"/>
      <c r="I1073" s="72" t="n"/>
      <c r="J1073" s="72" t="n"/>
      <c r="K1073" s="72" t="n"/>
      <c r="L1073" s="72" t="n"/>
      <c r="M1073" s="72" t="n"/>
      <c r="N1073" s="72" t="n"/>
      <c r="O1073" s="72" t="n"/>
      <c r="P1073" s="72" t="n"/>
      <c r="Q1073" s="72" t="n"/>
      <c r="R1073" s="72" t="n"/>
      <c r="S1073" s="72" t="n"/>
    </row>
    <row r="1074">
      <c r="B1074" s="72" t="n"/>
      <c r="C1074" s="72" t="n"/>
      <c r="D1074" s="72" t="n"/>
      <c r="E1074" s="72" t="n"/>
      <c r="F1074" s="72" t="n"/>
      <c r="G1074" s="72" t="n"/>
      <c r="H1074" s="72" t="n"/>
      <c r="I1074" s="72" t="n"/>
      <c r="J1074" s="72" t="n"/>
      <c r="K1074" s="72" t="n"/>
      <c r="L1074" s="72" t="n"/>
      <c r="M1074" s="72" t="n"/>
      <c r="N1074" s="72" t="n"/>
      <c r="O1074" s="72" t="n"/>
      <c r="P1074" s="72" t="n"/>
      <c r="Q1074" s="72" t="n"/>
      <c r="R1074" s="72" t="n"/>
      <c r="S1074" s="72" t="n"/>
    </row>
    <row r="1075">
      <c r="B1075" s="72" t="n"/>
      <c r="C1075" s="72" t="n"/>
      <c r="D1075" s="72" t="n"/>
      <c r="E1075" s="72" t="n"/>
      <c r="F1075" s="72" t="n"/>
      <c r="G1075" s="72" t="n"/>
      <c r="H1075" s="72" t="n"/>
      <c r="I1075" s="72" t="n"/>
      <c r="J1075" s="72" t="n"/>
      <c r="K1075" s="72" t="n"/>
      <c r="L1075" s="72" t="n"/>
      <c r="M1075" s="72" t="n"/>
      <c r="N1075" s="72" t="n"/>
      <c r="O1075" s="72" t="n"/>
      <c r="P1075" s="72" t="n"/>
      <c r="Q1075" s="72" t="n"/>
      <c r="R1075" s="72" t="n"/>
      <c r="S1075" s="72" t="n"/>
    </row>
    <row r="1076">
      <c r="B1076" s="72" t="n"/>
      <c r="C1076" s="72" t="n"/>
      <c r="D1076" s="72" t="n"/>
      <c r="E1076" s="72" t="n"/>
      <c r="F1076" s="72" t="n"/>
      <c r="G1076" s="72" t="n"/>
      <c r="H1076" s="72" t="n"/>
      <c r="I1076" s="72" t="n"/>
      <c r="J1076" s="72" t="n"/>
      <c r="K1076" s="72" t="n"/>
      <c r="L1076" s="72" t="n"/>
      <c r="M1076" s="72" t="n"/>
      <c r="N1076" s="72" t="n"/>
      <c r="O1076" s="72" t="n"/>
      <c r="P1076" s="72" t="n"/>
      <c r="Q1076" s="72" t="n"/>
      <c r="R1076" s="72" t="n"/>
      <c r="S1076" s="72" t="n"/>
    </row>
    <row r="1077">
      <c r="B1077" s="72" t="n"/>
      <c r="C1077" s="72" t="n"/>
      <c r="D1077" s="72" t="n"/>
      <c r="E1077" s="72" t="n"/>
      <c r="F1077" s="72" t="n"/>
      <c r="G1077" s="72" t="n"/>
      <c r="H1077" s="72" t="n"/>
      <c r="I1077" s="72" t="n"/>
      <c r="J1077" s="72" t="n"/>
      <c r="K1077" s="72" t="n"/>
      <c r="L1077" s="72" t="n"/>
      <c r="M1077" s="72" t="n"/>
      <c r="N1077" s="72" t="n"/>
      <c r="O1077" s="72" t="n"/>
      <c r="P1077" s="72" t="n"/>
      <c r="Q1077" s="72" t="n"/>
      <c r="R1077" s="72" t="n"/>
      <c r="S1077" s="72" t="n"/>
    </row>
    <row r="1078">
      <c r="B1078" s="72" t="n"/>
      <c r="C1078" s="72" t="n"/>
      <c r="D1078" s="72" t="n"/>
      <c r="E1078" s="72" t="n"/>
      <c r="F1078" s="72" t="n"/>
      <c r="G1078" s="72" t="n"/>
      <c r="H1078" s="72" t="n"/>
      <c r="I1078" s="72" t="n"/>
      <c r="J1078" s="72" t="n"/>
      <c r="K1078" s="72" t="n"/>
      <c r="L1078" s="72" t="n"/>
      <c r="M1078" s="72" t="n"/>
      <c r="N1078" s="72" t="n"/>
      <c r="O1078" s="72" t="n"/>
      <c r="P1078" s="72" t="n"/>
      <c r="Q1078" s="72" t="n"/>
      <c r="R1078" s="72" t="n"/>
      <c r="S1078" s="72" t="n"/>
    </row>
    <row r="1079">
      <c r="B1079" s="72" t="n"/>
      <c r="C1079" s="72" t="n"/>
      <c r="D1079" s="72" t="n"/>
      <c r="E1079" s="72" t="n"/>
      <c r="F1079" s="72" t="n"/>
      <c r="G1079" s="72" t="n"/>
      <c r="H1079" s="72" t="n"/>
      <c r="I1079" s="72" t="n"/>
      <c r="J1079" s="72" t="n"/>
      <c r="K1079" s="72" t="n"/>
      <c r="L1079" s="72" t="n"/>
      <c r="M1079" s="72" t="n"/>
      <c r="N1079" s="72" t="n"/>
      <c r="O1079" s="72" t="n"/>
      <c r="P1079" s="72" t="n"/>
      <c r="Q1079" s="72" t="n"/>
      <c r="R1079" s="72" t="n"/>
      <c r="S1079" s="72" t="n"/>
    </row>
    <row r="1080">
      <c r="B1080" s="72" t="n"/>
      <c r="C1080" s="72" t="n"/>
      <c r="D1080" s="72" t="n"/>
      <c r="E1080" s="72" t="n"/>
      <c r="F1080" s="72" t="n"/>
      <c r="G1080" s="72" t="n"/>
      <c r="H1080" s="72" t="n"/>
      <c r="I1080" s="72" t="n"/>
      <c r="J1080" s="72" t="n"/>
      <c r="K1080" s="72" t="n"/>
      <c r="L1080" s="72" t="n"/>
      <c r="M1080" s="72" t="n"/>
      <c r="N1080" s="72" t="n"/>
      <c r="O1080" s="72" t="n"/>
      <c r="P1080" s="72" t="n"/>
      <c r="Q1080" s="72" t="n"/>
      <c r="R1080" s="72" t="n"/>
      <c r="S1080" s="72" t="n"/>
    </row>
    <row r="1081">
      <c r="B1081" s="72" t="n"/>
      <c r="C1081" s="72" t="n"/>
      <c r="D1081" s="72" t="n"/>
      <c r="E1081" s="72" t="n"/>
      <c r="F1081" s="72" t="n"/>
      <c r="G1081" s="72" t="n"/>
      <c r="H1081" s="72" t="n"/>
      <c r="I1081" s="72" t="n"/>
      <c r="J1081" s="72" t="n"/>
      <c r="K1081" s="72" t="n"/>
      <c r="L1081" s="72" t="n"/>
      <c r="M1081" s="72" t="n"/>
      <c r="N1081" s="72" t="n"/>
      <c r="O1081" s="72" t="n"/>
      <c r="P1081" s="72" t="n"/>
      <c r="Q1081" s="72" t="n"/>
      <c r="R1081" s="72" t="n"/>
      <c r="S1081" s="72" t="n"/>
    </row>
    <row r="1082">
      <c r="B1082" s="72" t="n"/>
      <c r="C1082" s="72" t="n"/>
      <c r="D1082" s="72" t="n"/>
      <c r="E1082" s="72" t="n"/>
      <c r="F1082" s="72" t="n"/>
      <c r="G1082" s="72" t="n"/>
      <c r="H1082" s="72" t="n"/>
      <c r="I1082" s="72" t="n"/>
      <c r="J1082" s="72" t="n"/>
      <c r="K1082" s="72" t="n"/>
      <c r="L1082" s="72" t="n"/>
      <c r="M1082" s="72" t="n"/>
      <c r="N1082" s="72" t="n"/>
      <c r="O1082" s="72" t="n"/>
      <c r="P1082" s="72" t="n"/>
      <c r="Q1082" s="72" t="n"/>
      <c r="R1082" s="72" t="n"/>
      <c r="S1082" s="72" t="n"/>
    </row>
    <row r="1083">
      <c r="B1083" s="72" t="n"/>
      <c r="C1083" s="72" t="n"/>
      <c r="D1083" s="72" t="n"/>
      <c r="E1083" s="72" t="n"/>
      <c r="F1083" s="72" t="n"/>
      <c r="G1083" s="72" t="n"/>
      <c r="H1083" s="72" t="n"/>
      <c r="I1083" s="72" t="n"/>
      <c r="J1083" s="72" t="n"/>
      <c r="K1083" s="72" t="n"/>
      <c r="L1083" s="72" t="n"/>
      <c r="M1083" s="72" t="n"/>
      <c r="N1083" s="72" t="n"/>
      <c r="O1083" s="72" t="n"/>
      <c r="P1083" s="72" t="n"/>
      <c r="Q1083" s="72" t="n"/>
      <c r="R1083" s="72" t="n"/>
      <c r="S1083" s="72" t="n"/>
    </row>
    <row r="1084">
      <c r="B1084" s="72" t="n"/>
      <c r="C1084" s="72" t="n"/>
      <c r="D1084" s="72" t="n"/>
      <c r="E1084" s="72" t="n"/>
      <c r="F1084" s="72" t="n"/>
      <c r="G1084" s="72" t="n"/>
      <c r="H1084" s="72" t="n"/>
      <c r="I1084" s="72" t="n"/>
      <c r="J1084" s="72" t="n"/>
      <c r="K1084" s="72" t="n"/>
      <c r="L1084" s="72" t="n"/>
      <c r="M1084" s="72" t="n"/>
      <c r="N1084" s="72" t="n"/>
      <c r="O1084" s="72" t="n"/>
      <c r="P1084" s="72" t="n"/>
      <c r="Q1084" s="72" t="n"/>
      <c r="R1084" s="72" t="n"/>
      <c r="S1084" s="72" t="n"/>
    </row>
    <row r="1085">
      <c r="B1085" s="72" t="n"/>
      <c r="C1085" s="72" t="n"/>
      <c r="D1085" s="72" t="n"/>
      <c r="E1085" s="72" t="n"/>
      <c r="F1085" s="72" t="n"/>
      <c r="G1085" s="72" t="n"/>
      <c r="H1085" s="72" t="n"/>
      <c r="I1085" s="72" t="n"/>
      <c r="J1085" s="72" t="n"/>
      <c r="K1085" s="72" t="n"/>
      <c r="L1085" s="72" t="n"/>
      <c r="M1085" s="72" t="n"/>
      <c r="N1085" s="72" t="n"/>
      <c r="O1085" s="72" t="n"/>
      <c r="P1085" s="72" t="n"/>
      <c r="Q1085" s="72" t="n"/>
      <c r="R1085" s="72" t="n"/>
      <c r="S1085" s="72" t="n"/>
    </row>
    <row r="1086">
      <c r="B1086" s="72" t="n"/>
      <c r="C1086" s="72" t="n"/>
      <c r="D1086" s="72" t="n"/>
      <c r="E1086" s="72" t="n"/>
      <c r="F1086" s="72" t="n"/>
      <c r="G1086" s="72" t="n"/>
      <c r="H1086" s="72" t="n"/>
      <c r="I1086" s="72" t="n"/>
      <c r="J1086" s="72" t="n"/>
      <c r="K1086" s="72" t="n"/>
      <c r="L1086" s="72" t="n"/>
      <c r="M1086" s="72" t="n"/>
      <c r="N1086" s="72" t="n"/>
      <c r="O1086" s="72" t="n"/>
      <c r="P1086" s="72" t="n"/>
      <c r="Q1086" s="72" t="n"/>
      <c r="R1086" s="72" t="n"/>
      <c r="S1086" s="72" t="n"/>
    </row>
    <row r="1087">
      <c r="B1087" s="72" t="n"/>
      <c r="C1087" s="72" t="n"/>
      <c r="D1087" s="72" t="n"/>
      <c r="E1087" s="72" t="n"/>
      <c r="F1087" s="72" t="n"/>
      <c r="G1087" s="72" t="n"/>
      <c r="H1087" s="72" t="n"/>
      <c r="I1087" s="72" t="n"/>
      <c r="J1087" s="72" t="n"/>
      <c r="K1087" s="72" t="n"/>
      <c r="L1087" s="72" t="n"/>
      <c r="M1087" s="72" t="n"/>
      <c r="N1087" s="72" t="n"/>
      <c r="O1087" s="72" t="n"/>
      <c r="P1087" s="72" t="n"/>
      <c r="Q1087" s="72" t="n"/>
      <c r="R1087" s="72" t="n"/>
      <c r="S1087" s="72" t="n"/>
    </row>
    <row r="1088">
      <c r="B1088" s="72" t="n"/>
      <c r="C1088" s="72" t="n"/>
      <c r="D1088" s="72" t="n"/>
      <c r="E1088" s="72" t="n"/>
      <c r="F1088" s="72" t="n"/>
      <c r="G1088" s="72" t="n"/>
      <c r="H1088" s="72" t="n"/>
      <c r="I1088" s="72" t="n"/>
      <c r="J1088" s="72" t="n"/>
      <c r="K1088" s="72" t="n"/>
      <c r="L1088" s="72" t="n"/>
      <c r="M1088" s="72" t="n"/>
      <c r="N1088" s="72" t="n"/>
      <c r="O1088" s="72" t="n"/>
      <c r="P1088" s="72" t="n"/>
      <c r="Q1088" s="72" t="n"/>
      <c r="R1088" s="72" t="n"/>
      <c r="S1088" s="72" t="n"/>
    </row>
    <row r="1089">
      <c r="B1089" s="72" t="n"/>
      <c r="C1089" s="72" t="n"/>
      <c r="D1089" s="72" t="n"/>
      <c r="E1089" s="72" t="n"/>
      <c r="F1089" s="72" t="n"/>
      <c r="G1089" s="72" t="n"/>
      <c r="H1089" s="72" t="n"/>
      <c r="I1089" s="72" t="n"/>
      <c r="J1089" s="72" t="n"/>
      <c r="K1089" s="72" t="n"/>
      <c r="L1089" s="72" t="n"/>
      <c r="M1089" s="72" t="n"/>
      <c r="N1089" s="72" t="n"/>
      <c r="O1089" s="72" t="n"/>
      <c r="P1089" s="72" t="n"/>
      <c r="Q1089" s="72" t="n"/>
      <c r="R1089" s="72" t="n"/>
      <c r="S1089" s="72" t="n"/>
    </row>
    <row r="1090">
      <c r="B1090" s="72" t="n"/>
      <c r="C1090" s="72" t="n"/>
      <c r="D1090" s="72" t="n"/>
      <c r="E1090" s="72" t="n"/>
      <c r="F1090" s="72" t="n"/>
      <c r="G1090" s="72" t="n"/>
      <c r="H1090" s="72" t="n"/>
      <c r="I1090" s="72" t="n"/>
      <c r="J1090" s="72" t="n"/>
      <c r="K1090" s="72" t="n"/>
      <c r="L1090" s="72" t="n"/>
      <c r="M1090" s="72" t="n"/>
      <c r="N1090" s="72" t="n"/>
      <c r="O1090" s="72" t="n"/>
      <c r="P1090" s="72" t="n"/>
      <c r="Q1090" s="72" t="n"/>
      <c r="R1090" s="72" t="n"/>
      <c r="S1090" s="72" t="n"/>
    </row>
    <row r="1091">
      <c r="B1091" s="72" t="n"/>
      <c r="C1091" s="72" t="n"/>
      <c r="D1091" s="72" t="n"/>
      <c r="E1091" s="72" t="n"/>
      <c r="F1091" s="72" t="n"/>
      <c r="G1091" s="72" t="n"/>
      <c r="H1091" s="72" t="n"/>
      <c r="I1091" s="72" t="n"/>
      <c r="J1091" s="72" t="n"/>
      <c r="K1091" s="72" t="n"/>
      <c r="L1091" s="72" t="n"/>
      <c r="M1091" s="72" t="n"/>
      <c r="N1091" s="72" t="n"/>
      <c r="O1091" s="72" t="n"/>
      <c r="P1091" s="72" t="n"/>
      <c r="Q1091" s="72" t="n"/>
      <c r="R1091" s="72" t="n"/>
      <c r="S1091" s="72" t="n"/>
    </row>
    <row r="1092">
      <c r="B1092" s="72" t="n"/>
      <c r="C1092" s="72" t="n"/>
      <c r="D1092" s="72" t="n"/>
      <c r="E1092" s="72" t="n"/>
      <c r="F1092" s="72" t="n"/>
      <c r="G1092" s="72" t="n"/>
      <c r="H1092" s="72" t="n"/>
      <c r="I1092" s="72" t="n"/>
      <c r="J1092" s="72" t="n"/>
      <c r="K1092" s="72" t="n"/>
      <c r="L1092" s="72" t="n"/>
      <c r="M1092" s="72" t="n"/>
      <c r="N1092" s="72" t="n"/>
      <c r="O1092" s="72" t="n"/>
      <c r="P1092" s="72" t="n"/>
      <c r="Q1092" s="72" t="n"/>
      <c r="R1092" s="72" t="n"/>
      <c r="S1092" s="72" t="n"/>
    </row>
    <row r="1093">
      <c r="B1093" s="72" t="n"/>
      <c r="C1093" s="72" t="n"/>
      <c r="D1093" s="72" t="n"/>
      <c r="E1093" s="72" t="n"/>
      <c r="F1093" s="72" t="n"/>
      <c r="G1093" s="72" t="n"/>
      <c r="H1093" s="72" t="n"/>
      <c r="I1093" s="72" t="n"/>
      <c r="J1093" s="72" t="n"/>
      <c r="K1093" s="72" t="n"/>
      <c r="L1093" s="72" t="n"/>
      <c r="M1093" s="72" t="n"/>
      <c r="N1093" s="72" t="n"/>
      <c r="O1093" s="72" t="n"/>
      <c r="P1093" s="72" t="n"/>
      <c r="Q1093" s="72" t="n"/>
      <c r="R1093" s="72" t="n"/>
      <c r="S1093" s="72" t="n"/>
    </row>
    <row r="1094">
      <c r="B1094" s="72" t="n"/>
      <c r="C1094" s="72" t="n"/>
      <c r="D1094" s="72" t="n"/>
      <c r="E1094" s="72" t="n"/>
      <c r="F1094" s="72" t="n"/>
      <c r="G1094" s="72" t="n"/>
      <c r="H1094" s="72" t="n"/>
      <c r="I1094" s="72" t="n"/>
      <c r="J1094" s="72" t="n"/>
      <c r="K1094" s="72" t="n"/>
      <c r="L1094" s="72" t="n"/>
      <c r="M1094" s="72" t="n"/>
      <c r="N1094" s="72" t="n"/>
      <c r="O1094" s="72" t="n"/>
      <c r="P1094" s="72" t="n"/>
      <c r="Q1094" s="72" t="n"/>
      <c r="R1094" s="72" t="n"/>
      <c r="S1094" s="72" t="n"/>
    </row>
    <row r="1095">
      <c r="B1095" s="72" t="n"/>
      <c r="C1095" s="72" t="n"/>
      <c r="D1095" s="72" t="n"/>
      <c r="E1095" s="72" t="n"/>
      <c r="F1095" s="72" t="n"/>
      <c r="G1095" s="72" t="n"/>
      <c r="H1095" s="72" t="n"/>
      <c r="I1095" s="72" t="n"/>
      <c r="J1095" s="72" t="n"/>
      <c r="K1095" s="72" t="n"/>
      <c r="L1095" s="72" t="n"/>
      <c r="M1095" s="72" t="n"/>
      <c r="N1095" s="72" t="n"/>
      <c r="O1095" s="72" t="n"/>
      <c r="P1095" s="72" t="n"/>
      <c r="Q1095" s="72" t="n"/>
      <c r="R1095" s="72" t="n"/>
      <c r="S1095" s="72" t="n"/>
    </row>
    <row r="1096">
      <c r="B1096" s="72" t="n"/>
      <c r="C1096" s="72" t="n"/>
      <c r="D1096" s="72" t="n"/>
      <c r="E1096" s="72" t="n"/>
      <c r="F1096" s="72" t="n"/>
      <c r="G1096" s="72" t="n"/>
      <c r="H1096" s="72" t="n"/>
      <c r="I1096" s="72" t="n"/>
      <c r="J1096" s="72" t="n"/>
      <c r="K1096" s="72" t="n"/>
      <c r="L1096" s="72" t="n"/>
      <c r="M1096" s="72" t="n"/>
      <c r="N1096" s="72" t="n"/>
      <c r="O1096" s="72" t="n"/>
      <c r="P1096" s="72" t="n"/>
      <c r="Q1096" s="72" t="n"/>
      <c r="R1096" s="72" t="n"/>
      <c r="S1096" s="72" t="n"/>
    </row>
    <row r="1097">
      <c r="B1097" s="72" t="n"/>
      <c r="C1097" s="72" t="n"/>
      <c r="D1097" s="72" t="n"/>
      <c r="E1097" s="72" t="n"/>
      <c r="F1097" s="72" t="n"/>
      <c r="G1097" s="72" t="n"/>
      <c r="H1097" s="72" t="n"/>
      <c r="I1097" s="72" t="n"/>
      <c r="J1097" s="72" t="n"/>
      <c r="K1097" s="72" t="n"/>
      <c r="L1097" s="72" t="n"/>
      <c r="M1097" s="72" t="n"/>
      <c r="N1097" s="72" t="n"/>
      <c r="O1097" s="72" t="n"/>
      <c r="P1097" s="72" t="n"/>
      <c r="Q1097" s="72" t="n"/>
      <c r="R1097" s="72" t="n"/>
      <c r="S1097" s="72" t="n"/>
    </row>
    <row r="1098">
      <c r="B1098" s="72" t="n"/>
      <c r="C1098" s="72" t="n"/>
      <c r="D1098" s="72" t="n"/>
      <c r="E1098" s="72" t="n"/>
      <c r="F1098" s="72" t="n"/>
      <c r="G1098" s="72" t="n"/>
      <c r="H1098" s="72" t="n"/>
      <c r="I1098" s="72" t="n"/>
      <c r="J1098" s="72" t="n"/>
      <c r="K1098" s="72" t="n"/>
      <c r="L1098" s="72" t="n"/>
      <c r="M1098" s="72" t="n"/>
      <c r="N1098" s="72" t="n"/>
      <c r="O1098" s="72" t="n"/>
      <c r="P1098" s="72" t="n"/>
      <c r="Q1098" s="72" t="n"/>
      <c r="R1098" s="72" t="n"/>
      <c r="S1098" s="72" t="n"/>
    </row>
    <row r="1099">
      <c r="B1099" s="72" t="n"/>
      <c r="C1099" s="72" t="n"/>
      <c r="D1099" s="72" t="n"/>
      <c r="E1099" s="72" t="n"/>
      <c r="F1099" s="72" t="n"/>
      <c r="G1099" s="72" t="n"/>
      <c r="H1099" s="72" t="n"/>
      <c r="I1099" s="72" t="n"/>
      <c r="J1099" s="72" t="n"/>
      <c r="K1099" s="72" t="n"/>
      <c r="L1099" s="72" t="n"/>
      <c r="M1099" s="72" t="n"/>
      <c r="N1099" s="72" t="n"/>
      <c r="O1099" s="72" t="n"/>
      <c r="P1099" s="72" t="n"/>
      <c r="Q1099" s="72" t="n"/>
      <c r="R1099" s="72" t="n"/>
      <c r="S1099" s="72" t="n"/>
    </row>
    <row r="1100">
      <c r="B1100" s="72" t="n"/>
      <c r="C1100" s="72" t="n"/>
      <c r="D1100" s="72" t="n"/>
      <c r="E1100" s="72" t="n"/>
      <c r="F1100" s="72" t="n"/>
      <c r="G1100" s="72" t="n"/>
      <c r="H1100" s="72" t="n"/>
      <c r="I1100" s="72" t="n"/>
      <c r="J1100" s="72" t="n"/>
      <c r="K1100" s="72" t="n"/>
      <c r="L1100" s="72" t="n"/>
      <c r="M1100" s="72" t="n"/>
      <c r="N1100" s="72" t="n"/>
      <c r="O1100" s="72" t="n"/>
      <c r="P1100" s="72" t="n"/>
      <c r="Q1100" s="72" t="n"/>
      <c r="R1100" s="72" t="n"/>
      <c r="S1100" s="72" t="n"/>
    </row>
    <row r="1101">
      <c r="B1101" s="72" t="n"/>
      <c r="C1101" s="72" t="n"/>
      <c r="D1101" s="72" t="n"/>
      <c r="E1101" s="72" t="n"/>
      <c r="F1101" s="72" t="n"/>
      <c r="G1101" s="72" t="n"/>
      <c r="H1101" s="72" t="n"/>
      <c r="I1101" s="72" t="n"/>
      <c r="J1101" s="72" t="n"/>
      <c r="K1101" s="72" t="n"/>
      <c r="L1101" s="72" t="n"/>
      <c r="M1101" s="72" t="n"/>
      <c r="N1101" s="72" t="n"/>
      <c r="O1101" s="72" t="n"/>
      <c r="P1101" s="72" t="n"/>
      <c r="Q1101" s="72" t="n"/>
      <c r="R1101" s="72" t="n"/>
      <c r="S1101" s="72" t="n"/>
    </row>
    <row r="1102">
      <c r="B1102" s="72" t="n"/>
      <c r="C1102" s="72" t="n"/>
      <c r="D1102" s="72" t="n"/>
      <c r="E1102" s="72" t="n"/>
      <c r="F1102" s="72" t="n"/>
      <c r="G1102" s="72" t="n"/>
      <c r="H1102" s="72" t="n"/>
      <c r="I1102" s="72" t="n"/>
      <c r="J1102" s="72" t="n"/>
      <c r="K1102" s="72" t="n"/>
      <c r="L1102" s="72" t="n"/>
      <c r="M1102" s="72" t="n"/>
      <c r="N1102" s="72" t="n"/>
      <c r="O1102" s="72" t="n"/>
      <c r="P1102" s="72" t="n"/>
      <c r="Q1102" s="72" t="n"/>
      <c r="R1102" s="72" t="n"/>
      <c r="S1102" s="72" t="n"/>
    </row>
    <row r="1103">
      <c r="B1103" s="72" t="n"/>
      <c r="C1103" s="72" t="n"/>
      <c r="D1103" s="72" t="n"/>
      <c r="E1103" s="72" t="n"/>
      <c r="F1103" s="72" t="n"/>
      <c r="G1103" s="72" t="n"/>
      <c r="H1103" s="72" t="n"/>
      <c r="I1103" s="72" t="n"/>
      <c r="J1103" s="72" t="n"/>
      <c r="K1103" s="72" t="n"/>
      <c r="L1103" s="72" t="n"/>
      <c r="M1103" s="72" t="n"/>
      <c r="N1103" s="72" t="n"/>
      <c r="O1103" s="72" t="n"/>
      <c r="P1103" s="72" t="n"/>
      <c r="Q1103" s="72" t="n"/>
      <c r="R1103" s="72" t="n"/>
      <c r="S1103" s="72" t="n"/>
    </row>
    <row r="1104">
      <c r="B1104" s="72" t="n"/>
      <c r="C1104" s="72" t="n"/>
      <c r="D1104" s="72" t="n"/>
      <c r="E1104" s="72" t="n"/>
      <c r="F1104" s="72" t="n"/>
      <c r="G1104" s="72" t="n"/>
      <c r="H1104" s="72" t="n"/>
      <c r="I1104" s="72" t="n"/>
      <c r="J1104" s="72" t="n"/>
      <c r="K1104" s="72" t="n"/>
      <c r="L1104" s="72" t="n"/>
      <c r="M1104" s="72" t="n"/>
      <c r="N1104" s="72" t="n"/>
      <c r="O1104" s="72" t="n"/>
      <c r="P1104" s="72" t="n"/>
      <c r="Q1104" s="72" t="n"/>
      <c r="R1104" s="72" t="n"/>
      <c r="S1104" s="72" t="n"/>
    </row>
    <row r="1105">
      <c r="B1105" s="72" t="n"/>
      <c r="C1105" s="72" t="n"/>
      <c r="D1105" s="72" t="n"/>
      <c r="E1105" s="72" t="n"/>
      <c r="F1105" s="72" t="n"/>
      <c r="G1105" s="72" t="n"/>
      <c r="H1105" s="72" t="n"/>
      <c r="I1105" s="72" t="n"/>
      <c r="J1105" s="72" t="n"/>
      <c r="K1105" s="72" t="n"/>
      <c r="L1105" s="72" t="n"/>
      <c r="M1105" s="72" t="n"/>
      <c r="N1105" s="72" t="n"/>
      <c r="O1105" s="72" t="n"/>
      <c r="P1105" s="72" t="n"/>
      <c r="Q1105" s="72" t="n"/>
      <c r="R1105" s="72" t="n"/>
      <c r="S1105" s="72" t="n"/>
    </row>
    <row r="1106">
      <c r="B1106" s="72" t="n"/>
      <c r="C1106" s="72" t="n"/>
      <c r="D1106" s="72" t="n"/>
      <c r="E1106" s="72" t="n"/>
      <c r="F1106" s="72" t="n"/>
      <c r="G1106" s="72" t="n"/>
      <c r="H1106" s="72" t="n"/>
      <c r="I1106" s="72" t="n"/>
      <c r="J1106" s="72" t="n"/>
      <c r="K1106" s="72" t="n"/>
      <c r="L1106" s="72" t="n"/>
      <c r="M1106" s="72" t="n"/>
      <c r="N1106" s="72" t="n"/>
      <c r="O1106" s="72" t="n"/>
      <c r="P1106" s="72" t="n"/>
      <c r="Q1106" s="72" t="n"/>
      <c r="R1106" s="72" t="n"/>
      <c r="S1106" s="72" t="n"/>
    </row>
    <row r="1107">
      <c r="B1107" s="72" t="n"/>
      <c r="C1107" s="72" t="n"/>
      <c r="D1107" s="72" t="n"/>
      <c r="E1107" s="72" t="n"/>
      <c r="F1107" s="72" t="n"/>
      <c r="G1107" s="72" t="n"/>
      <c r="H1107" s="72" t="n"/>
      <c r="I1107" s="72" t="n"/>
      <c r="J1107" s="72" t="n"/>
      <c r="K1107" s="72" t="n"/>
      <c r="L1107" s="72" t="n"/>
      <c r="M1107" s="72" t="n"/>
      <c r="N1107" s="72" t="n"/>
      <c r="O1107" s="72" t="n"/>
      <c r="P1107" s="72" t="n"/>
      <c r="Q1107" s="72" t="n"/>
      <c r="R1107" s="72" t="n"/>
      <c r="S1107" s="72" t="n"/>
    </row>
    <row r="1108">
      <c r="B1108" s="72" t="n"/>
      <c r="C1108" s="72" t="n"/>
      <c r="D1108" s="72" t="n"/>
      <c r="E1108" s="72" t="n"/>
      <c r="F1108" s="72" t="n"/>
      <c r="G1108" s="72" t="n"/>
      <c r="H1108" s="72" t="n"/>
      <c r="I1108" s="72" t="n"/>
      <c r="J1108" s="72" t="n"/>
      <c r="K1108" s="72" t="n"/>
      <c r="L1108" s="72" t="n"/>
      <c r="M1108" s="72" t="n"/>
      <c r="N1108" s="72" t="n"/>
      <c r="O1108" s="72" t="n"/>
      <c r="P1108" s="72" t="n"/>
      <c r="Q1108" s="72" t="n"/>
      <c r="R1108" s="72" t="n"/>
      <c r="S1108" s="72" t="n"/>
    </row>
    <row r="1109">
      <c r="B1109" s="72" t="n"/>
      <c r="C1109" s="72" t="n"/>
      <c r="D1109" s="72" t="n"/>
      <c r="E1109" s="72" t="n"/>
      <c r="F1109" s="72" t="n"/>
      <c r="G1109" s="72" t="n"/>
      <c r="H1109" s="72" t="n"/>
      <c r="I1109" s="72" t="n"/>
      <c r="J1109" s="72" t="n"/>
      <c r="K1109" s="72" t="n"/>
      <c r="L1109" s="72" t="n"/>
      <c r="M1109" s="72" t="n"/>
      <c r="N1109" s="72" t="n"/>
      <c r="O1109" s="72" t="n"/>
      <c r="P1109" s="72" t="n"/>
      <c r="Q1109" s="72" t="n"/>
      <c r="R1109" s="72" t="n"/>
      <c r="S1109" s="72" t="n"/>
    </row>
    <row r="1110">
      <c r="B1110" s="72" t="n"/>
      <c r="C1110" s="72" t="n"/>
      <c r="D1110" s="72" t="n"/>
      <c r="E1110" s="72" t="n"/>
      <c r="F1110" s="72" t="n"/>
      <c r="G1110" s="72" t="n"/>
      <c r="H1110" s="72" t="n"/>
      <c r="I1110" s="72" t="n"/>
      <c r="J1110" s="72" t="n"/>
      <c r="K1110" s="72" t="n"/>
      <c r="L1110" s="72" t="n"/>
      <c r="M1110" s="72" t="n"/>
      <c r="N1110" s="72" t="n"/>
      <c r="O1110" s="72" t="n"/>
      <c r="P1110" s="72" t="n"/>
      <c r="Q1110" s="72" t="n"/>
      <c r="R1110" s="72" t="n"/>
      <c r="S1110" s="72" t="n"/>
    </row>
    <row r="1111">
      <c r="B1111" s="72" t="n"/>
      <c r="C1111" s="72" t="n"/>
      <c r="D1111" s="72" t="n"/>
      <c r="E1111" s="72" t="n"/>
      <c r="F1111" s="72" t="n"/>
      <c r="G1111" s="72" t="n"/>
      <c r="H1111" s="72" t="n"/>
      <c r="I1111" s="72" t="n"/>
      <c r="J1111" s="72" t="n"/>
      <c r="K1111" s="72" t="n"/>
      <c r="L1111" s="72" t="n"/>
      <c r="M1111" s="72" t="n"/>
      <c r="N1111" s="72" t="n"/>
      <c r="O1111" s="72" t="n"/>
      <c r="P1111" s="72" t="n"/>
      <c r="Q1111" s="72" t="n"/>
      <c r="R1111" s="72" t="n"/>
      <c r="S1111" s="72" t="n"/>
    </row>
    <row r="1112">
      <c r="B1112" s="72" t="n"/>
      <c r="C1112" s="72" t="n"/>
      <c r="D1112" s="72" t="n"/>
      <c r="E1112" s="72" t="n"/>
      <c r="F1112" s="72" t="n"/>
      <c r="G1112" s="72" t="n"/>
      <c r="H1112" s="72" t="n"/>
      <c r="I1112" s="72" t="n"/>
      <c r="J1112" s="72" t="n"/>
      <c r="K1112" s="72" t="n"/>
      <c r="L1112" s="72" t="n"/>
      <c r="M1112" s="72" t="n"/>
      <c r="N1112" s="72" t="n"/>
      <c r="O1112" s="72" t="n"/>
      <c r="P1112" s="72" t="n"/>
      <c r="Q1112" s="72" t="n"/>
      <c r="R1112" s="72" t="n"/>
      <c r="S1112" s="72" t="n"/>
    </row>
    <row r="1113">
      <c r="B1113" s="72" t="n"/>
      <c r="C1113" s="72" t="n"/>
      <c r="D1113" s="72" t="n"/>
      <c r="E1113" s="72" t="n"/>
      <c r="F1113" s="72" t="n"/>
      <c r="G1113" s="72" t="n"/>
      <c r="H1113" s="72" t="n"/>
      <c r="I1113" s="72" t="n"/>
      <c r="J1113" s="72" t="n"/>
      <c r="K1113" s="72" t="n"/>
      <c r="L1113" s="72" t="n"/>
      <c r="M1113" s="72" t="n"/>
      <c r="N1113" s="72" t="n"/>
      <c r="O1113" s="72" t="n"/>
      <c r="P1113" s="72" t="n"/>
      <c r="Q1113" s="72" t="n"/>
      <c r="R1113" s="72" t="n"/>
      <c r="S1113" s="72" t="n"/>
    </row>
    <row r="1114">
      <c r="B1114" s="72" t="n"/>
      <c r="C1114" s="72" t="n"/>
      <c r="D1114" s="72" t="n"/>
      <c r="E1114" s="72" t="n"/>
      <c r="F1114" s="72" t="n"/>
      <c r="G1114" s="72" t="n"/>
      <c r="H1114" s="72" t="n"/>
      <c r="I1114" s="72" t="n"/>
      <c r="J1114" s="72" t="n"/>
      <c r="K1114" s="72" t="n"/>
      <c r="L1114" s="72" t="n"/>
      <c r="M1114" s="72" t="n"/>
      <c r="N1114" s="72" t="n"/>
      <c r="O1114" s="72" t="n"/>
      <c r="P1114" s="72" t="n"/>
      <c r="Q1114" s="72" t="n"/>
      <c r="R1114" s="72" t="n"/>
      <c r="S1114" s="72" t="n"/>
    </row>
    <row r="1115">
      <c r="B1115" s="72" t="n"/>
      <c r="C1115" s="72" t="n"/>
      <c r="D1115" s="72" t="n"/>
      <c r="E1115" s="72" t="n"/>
      <c r="F1115" s="72" t="n"/>
      <c r="G1115" s="72" t="n"/>
      <c r="H1115" s="72" t="n"/>
      <c r="I1115" s="72" t="n"/>
      <c r="J1115" s="72" t="n"/>
      <c r="K1115" s="72" t="n"/>
      <c r="L1115" s="72" t="n"/>
      <c r="M1115" s="72" t="n"/>
      <c r="N1115" s="72" t="n"/>
      <c r="O1115" s="72" t="n"/>
      <c r="P1115" s="72" t="n"/>
      <c r="Q1115" s="72" t="n"/>
      <c r="R1115" s="72" t="n"/>
      <c r="S1115" s="72" t="n"/>
    </row>
    <row r="1116">
      <c r="B1116" s="72" t="n"/>
      <c r="C1116" s="72" t="n"/>
      <c r="D1116" s="72" t="n"/>
      <c r="E1116" s="72" t="n"/>
      <c r="F1116" s="72" t="n"/>
      <c r="G1116" s="72" t="n"/>
      <c r="H1116" s="72" t="n"/>
      <c r="I1116" s="72" t="n"/>
      <c r="J1116" s="72" t="n"/>
      <c r="K1116" s="72" t="n"/>
      <c r="L1116" s="72" t="n"/>
      <c r="M1116" s="72" t="n"/>
      <c r="N1116" s="72" t="n"/>
      <c r="O1116" s="72" t="n"/>
      <c r="P1116" s="72" t="n"/>
      <c r="Q1116" s="72" t="n"/>
      <c r="R1116" s="72" t="n"/>
      <c r="S1116" s="72" t="n"/>
    </row>
    <row r="1117">
      <c r="B1117" s="72" t="n"/>
      <c r="C1117" s="72" t="n"/>
      <c r="D1117" s="72" t="n"/>
      <c r="E1117" s="72" t="n"/>
      <c r="F1117" s="72" t="n"/>
      <c r="G1117" s="72" t="n"/>
      <c r="H1117" s="72" t="n"/>
      <c r="I1117" s="72" t="n"/>
      <c r="J1117" s="72" t="n"/>
      <c r="K1117" s="72" t="n"/>
      <c r="L1117" s="72" t="n"/>
      <c r="M1117" s="72" t="n"/>
      <c r="N1117" s="72" t="n"/>
      <c r="O1117" s="72" t="n"/>
      <c r="P1117" s="72" t="n"/>
      <c r="Q1117" s="72" t="n"/>
      <c r="R1117" s="72" t="n"/>
      <c r="S1117" s="72" t="n"/>
    </row>
    <row r="1118">
      <c r="B1118" s="72" t="n"/>
      <c r="C1118" s="72" t="n"/>
      <c r="D1118" s="72" t="n"/>
      <c r="E1118" s="72" t="n"/>
      <c r="F1118" s="72" t="n"/>
      <c r="G1118" s="72" t="n"/>
      <c r="H1118" s="72" t="n"/>
      <c r="I1118" s="72" t="n"/>
      <c r="J1118" s="72" t="n"/>
      <c r="K1118" s="72" t="n"/>
      <c r="L1118" s="72" t="n"/>
      <c r="M1118" s="72" t="n"/>
      <c r="N1118" s="72" t="n"/>
      <c r="O1118" s="72" t="n"/>
      <c r="P1118" s="72" t="n"/>
      <c r="Q1118" s="72" t="n"/>
      <c r="R1118" s="72" t="n"/>
      <c r="S1118" s="72" t="n"/>
    </row>
    <row r="1119">
      <c r="B1119" s="72" t="n"/>
      <c r="C1119" s="72" t="n"/>
      <c r="D1119" s="72" t="n"/>
      <c r="E1119" s="72" t="n"/>
      <c r="F1119" s="72" t="n"/>
      <c r="G1119" s="72" t="n"/>
      <c r="H1119" s="72" t="n"/>
      <c r="I1119" s="72" t="n"/>
      <c r="J1119" s="72" t="n"/>
      <c r="K1119" s="72" t="n"/>
      <c r="L1119" s="72" t="n"/>
      <c r="M1119" s="72" t="n"/>
      <c r="N1119" s="72" t="n"/>
      <c r="O1119" s="72" t="n"/>
      <c r="P1119" s="72" t="n"/>
      <c r="Q1119" s="72" t="n"/>
      <c r="R1119" s="72" t="n"/>
      <c r="S1119" s="72" t="n"/>
    </row>
    <row r="1120">
      <c r="B1120" s="72" t="n"/>
      <c r="C1120" s="72" t="n"/>
      <c r="D1120" s="72" t="n"/>
      <c r="E1120" s="72" t="n"/>
      <c r="F1120" s="72" t="n"/>
      <c r="G1120" s="72" t="n"/>
      <c r="H1120" s="72" t="n"/>
      <c r="I1120" s="72" t="n"/>
      <c r="J1120" s="72" t="n"/>
      <c r="K1120" s="72" t="n"/>
      <c r="L1120" s="72" t="n"/>
      <c r="M1120" s="72" t="n"/>
      <c r="N1120" s="72" t="n"/>
      <c r="O1120" s="72" t="n"/>
      <c r="P1120" s="72" t="n"/>
      <c r="Q1120" s="72" t="n"/>
      <c r="R1120" s="72" t="n"/>
      <c r="S1120" s="72" t="n"/>
    </row>
    <row r="1121">
      <c r="B1121" s="72" t="n"/>
      <c r="C1121" s="72" t="n"/>
      <c r="D1121" s="72" t="n"/>
      <c r="E1121" s="72" t="n"/>
      <c r="F1121" s="72" t="n"/>
      <c r="G1121" s="72" t="n"/>
      <c r="H1121" s="72" t="n"/>
      <c r="I1121" s="72" t="n"/>
      <c r="J1121" s="72" t="n"/>
      <c r="K1121" s="72" t="n"/>
      <c r="L1121" s="72" t="n"/>
      <c r="M1121" s="72" t="n"/>
      <c r="N1121" s="72" t="n"/>
      <c r="O1121" s="72" t="n"/>
      <c r="P1121" s="72" t="n"/>
      <c r="Q1121" s="72" t="n"/>
      <c r="R1121" s="72" t="n"/>
      <c r="S1121" s="72" t="n"/>
    </row>
    <row r="1122">
      <c r="B1122" s="72" t="n"/>
      <c r="C1122" s="72" t="n"/>
      <c r="D1122" s="72" t="n"/>
      <c r="E1122" s="72" t="n"/>
      <c r="F1122" s="72" t="n"/>
      <c r="G1122" s="72" t="n"/>
      <c r="H1122" s="72" t="n"/>
      <c r="I1122" s="72" t="n"/>
      <c r="J1122" s="72" t="n"/>
      <c r="K1122" s="72" t="n"/>
      <c r="L1122" s="72" t="n"/>
      <c r="M1122" s="72" t="n"/>
      <c r="N1122" s="72" t="n"/>
      <c r="O1122" s="72" t="n"/>
      <c r="P1122" s="72" t="n"/>
      <c r="Q1122" s="72" t="n"/>
      <c r="R1122" s="72" t="n"/>
      <c r="S1122" s="72" t="n"/>
    </row>
    <row r="1123">
      <c r="B1123" s="72" t="n"/>
      <c r="C1123" s="72" t="n"/>
      <c r="D1123" s="72" t="n"/>
      <c r="E1123" s="72" t="n"/>
      <c r="F1123" s="72" t="n"/>
      <c r="G1123" s="72" t="n"/>
      <c r="H1123" s="72" t="n"/>
      <c r="I1123" s="72" t="n"/>
      <c r="J1123" s="72" t="n"/>
      <c r="K1123" s="72" t="n"/>
      <c r="L1123" s="72" t="n"/>
      <c r="M1123" s="72" t="n"/>
      <c r="N1123" s="72" t="n"/>
      <c r="O1123" s="72" t="n"/>
      <c r="P1123" s="72" t="n"/>
      <c r="Q1123" s="72" t="n"/>
      <c r="R1123" s="72" t="n"/>
      <c r="S1123" s="72" t="n"/>
    </row>
    <row r="1124">
      <c r="B1124" s="72" t="n"/>
      <c r="C1124" s="72" t="n"/>
      <c r="D1124" s="72" t="n"/>
      <c r="E1124" s="72" t="n"/>
      <c r="F1124" s="72" t="n"/>
      <c r="G1124" s="72" t="n"/>
      <c r="H1124" s="72" t="n"/>
      <c r="I1124" s="72" t="n"/>
      <c r="J1124" s="72" t="n"/>
      <c r="K1124" s="72" t="n"/>
      <c r="L1124" s="72" t="n"/>
      <c r="M1124" s="72" t="n"/>
      <c r="N1124" s="72" t="n"/>
      <c r="O1124" s="72" t="n"/>
      <c r="P1124" s="72" t="n"/>
      <c r="Q1124" s="72" t="n"/>
      <c r="R1124" s="72" t="n"/>
      <c r="S1124" s="72" t="n"/>
    </row>
    <row r="1125">
      <c r="B1125" s="72" t="n"/>
      <c r="C1125" s="72" t="n"/>
      <c r="D1125" s="72" t="n"/>
      <c r="E1125" s="72" t="n"/>
      <c r="F1125" s="72" t="n"/>
      <c r="G1125" s="72" t="n"/>
      <c r="H1125" s="72" t="n"/>
      <c r="I1125" s="72" t="n"/>
      <c r="J1125" s="72" t="n"/>
      <c r="K1125" s="72" t="n"/>
      <c r="L1125" s="72" t="n"/>
      <c r="M1125" s="72" t="n"/>
      <c r="N1125" s="72" t="n"/>
      <c r="O1125" s="72" t="n"/>
      <c r="P1125" s="72" t="n"/>
      <c r="Q1125" s="72" t="n"/>
      <c r="R1125" s="72" t="n"/>
      <c r="S1125" s="72" t="n"/>
    </row>
    <row r="1126">
      <c r="B1126" s="72" t="n"/>
      <c r="C1126" s="72" t="n"/>
      <c r="D1126" s="72" t="n"/>
      <c r="E1126" s="72" t="n"/>
      <c r="F1126" s="72" t="n"/>
      <c r="G1126" s="72" t="n"/>
      <c r="H1126" s="72" t="n"/>
      <c r="I1126" s="72" t="n"/>
      <c r="J1126" s="72" t="n"/>
      <c r="K1126" s="72" t="n"/>
      <c r="L1126" s="72" t="n"/>
      <c r="M1126" s="72" t="n"/>
      <c r="N1126" s="72" t="n"/>
      <c r="O1126" s="72" t="n"/>
      <c r="P1126" s="72" t="n"/>
      <c r="Q1126" s="72" t="n"/>
      <c r="R1126" s="72" t="n"/>
      <c r="S1126" s="72" t="n"/>
    </row>
    <row r="1127">
      <c r="B1127" s="72" t="n"/>
      <c r="C1127" s="72" t="n"/>
      <c r="D1127" s="72" t="n"/>
      <c r="E1127" s="72" t="n"/>
      <c r="F1127" s="72" t="n"/>
      <c r="G1127" s="72" t="n"/>
      <c r="H1127" s="72" t="n"/>
      <c r="I1127" s="72" t="n"/>
      <c r="J1127" s="72" t="n"/>
      <c r="K1127" s="72" t="n"/>
      <c r="L1127" s="72" t="n"/>
      <c r="M1127" s="72" t="n"/>
      <c r="N1127" s="72" t="n"/>
      <c r="O1127" s="72" t="n"/>
      <c r="P1127" s="72" t="n"/>
      <c r="Q1127" s="72" t="n"/>
      <c r="R1127" s="72" t="n"/>
      <c r="S1127" s="72" t="n"/>
    </row>
    <row r="1128">
      <c r="B1128" s="72" t="n"/>
      <c r="C1128" s="72" t="n"/>
      <c r="D1128" s="72" t="n"/>
      <c r="E1128" s="72" t="n"/>
      <c r="F1128" s="72" t="n"/>
      <c r="G1128" s="72" t="n"/>
      <c r="H1128" s="72" t="n"/>
      <c r="I1128" s="72" t="n"/>
      <c r="J1128" s="72" t="n"/>
      <c r="K1128" s="72" t="n"/>
      <c r="L1128" s="72" t="n"/>
      <c r="M1128" s="72" t="n"/>
      <c r="N1128" s="72" t="n"/>
      <c r="O1128" s="72" t="n"/>
      <c r="P1128" s="72" t="n"/>
      <c r="Q1128" s="72" t="n"/>
      <c r="R1128" s="72" t="n"/>
      <c r="S1128" s="72" t="n"/>
    </row>
    <row r="1129">
      <c r="B1129" s="72" t="n"/>
      <c r="C1129" s="72" t="n"/>
      <c r="D1129" s="72" t="n"/>
      <c r="E1129" s="72" t="n"/>
      <c r="F1129" s="72" t="n"/>
      <c r="G1129" s="72" t="n"/>
      <c r="H1129" s="72" t="n"/>
      <c r="I1129" s="72" t="n"/>
      <c r="J1129" s="72" t="n"/>
      <c r="K1129" s="72" t="n"/>
      <c r="L1129" s="72" t="n"/>
      <c r="M1129" s="72" t="n"/>
      <c r="N1129" s="72" t="n"/>
      <c r="O1129" s="72" t="n"/>
      <c r="P1129" s="72" t="n"/>
      <c r="Q1129" s="72" t="n"/>
      <c r="R1129" s="72" t="n"/>
      <c r="S1129" s="72" t="n"/>
    </row>
    <row r="1130">
      <c r="B1130" s="72" t="n"/>
      <c r="C1130" s="72" t="n"/>
      <c r="D1130" s="72" t="n"/>
      <c r="E1130" s="72" t="n"/>
      <c r="F1130" s="72" t="n"/>
      <c r="G1130" s="72" t="n"/>
      <c r="H1130" s="72" t="n"/>
      <c r="I1130" s="72" t="n"/>
      <c r="J1130" s="72" t="n"/>
      <c r="K1130" s="72" t="n"/>
      <c r="L1130" s="72" t="n"/>
      <c r="M1130" s="72" t="n"/>
      <c r="N1130" s="72" t="n"/>
      <c r="O1130" s="72" t="n"/>
      <c r="P1130" s="72" t="n"/>
      <c r="Q1130" s="72" t="n"/>
      <c r="R1130" s="72" t="n"/>
      <c r="S1130" s="72" t="n"/>
    </row>
    <row r="1131">
      <c r="B1131" s="72" t="n"/>
      <c r="C1131" s="72" t="n"/>
      <c r="D1131" s="72" t="n"/>
      <c r="E1131" s="72" t="n"/>
      <c r="F1131" s="72" t="n"/>
      <c r="G1131" s="72" t="n"/>
      <c r="H1131" s="72" t="n"/>
      <c r="I1131" s="72" t="n"/>
      <c r="J1131" s="72" t="n"/>
      <c r="K1131" s="72" t="n"/>
      <c r="L1131" s="72" t="n"/>
      <c r="M1131" s="72" t="n"/>
      <c r="N1131" s="72" t="n"/>
      <c r="O1131" s="72" t="n"/>
      <c r="P1131" s="72" t="n"/>
      <c r="Q1131" s="72" t="n"/>
      <c r="R1131" s="72" t="n"/>
      <c r="S1131" s="72" t="n"/>
    </row>
    <row r="1132">
      <c r="B1132" s="72" t="n"/>
      <c r="C1132" s="72" t="n"/>
      <c r="D1132" s="72" t="n"/>
      <c r="E1132" s="72" t="n"/>
      <c r="F1132" s="72" t="n"/>
      <c r="G1132" s="72" t="n"/>
      <c r="H1132" s="72" t="n"/>
      <c r="I1132" s="72" t="n"/>
      <c r="J1132" s="72" t="n"/>
      <c r="K1132" s="72" t="n"/>
      <c r="L1132" s="72" t="n"/>
      <c r="M1132" s="72" t="n"/>
      <c r="N1132" s="72" t="n"/>
      <c r="O1132" s="72" t="n"/>
      <c r="P1132" s="72" t="n"/>
      <c r="Q1132" s="72" t="n"/>
      <c r="R1132" s="72" t="n"/>
      <c r="S1132" s="72" t="n"/>
    </row>
    <row r="1133">
      <c r="B1133" s="72" t="n"/>
      <c r="C1133" s="72" t="n"/>
      <c r="D1133" s="72" t="n"/>
      <c r="E1133" s="72" t="n"/>
      <c r="F1133" s="72" t="n"/>
      <c r="G1133" s="72" t="n"/>
      <c r="H1133" s="72" t="n"/>
      <c r="I1133" s="72" t="n"/>
      <c r="J1133" s="72" t="n"/>
      <c r="K1133" s="72" t="n"/>
      <c r="L1133" s="72" t="n"/>
      <c r="M1133" s="72" t="n"/>
      <c r="N1133" s="72" t="n"/>
      <c r="O1133" s="72" t="n"/>
      <c r="P1133" s="72" t="n"/>
      <c r="Q1133" s="72" t="n"/>
      <c r="R1133" s="72" t="n"/>
      <c r="S1133" s="72" t="n"/>
    </row>
    <row r="1134">
      <c r="B1134" s="72" t="n"/>
      <c r="C1134" s="72" t="n"/>
      <c r="D1134" s="72" t="n"/>
      <c r="E1134" s="72" t="n"/>
      <c r="F1134" s="72" t="n"/>
      <c r="G1134" s="72" t="n"/>
      <c r="H1134" s="72" t="n"/>
      <c r="I1134" s="72" t="n"/>
      <c r="J1134" s="72" t="n"/>
      <c r="K1134" s="72" t="n"/>
      <c r="L1134" s="72" t="n"/>
      <c r="M1134" s="72" t="n"/>
      <c r="N1134" s="72" t="n"/>
      <c r="O1134" s="72" t="n"/>
      <c r="P1134" s="72" t="n"/>
      <c r="Q1134" s="72" t="n"/>
      <c r="R1134" s="72" t="n"/>
      <c r="S1134" s="72" t="n"/>
    </row>
    <row r="1135">
      <c r="B1135" s="72" t="n"/>
      <c r="C1135" s="72" t="n"/>
      <c r="D1135" s="72" t="n"/>
      <c r="E1135" s="72" t="n"/>
      <c r="F1135" s="72" t="n"/>
      <c r="G1135" s="72" t="n"/>
      <c r="H1135" s="72" t="n"/>
      <c r="I1135" s="72" t="n"/>
      <c r="J1135" s="72" t="n"/>
      <c r="K1135" s="72" t="n"/>
      <c r="L1135" s="72" t="n"/>
      <c r="M1135" s="72" t="n"/>
      <c r="N1135" s="72" t="n"/>
      <c r="O1135" s="72" t="n"/>
      <c r="P1135" s="72" t="n"/>
      <c r="Q1135" s="72" t="n"/>
      <c r="R1135" s="72" t="n"/>
      <c r="S1135" s="72" t="n"/>
    </row>
    <row r="1136">
      <c r="B1136" s="72" t="n"/>
      <c r="C1136" s="72" t="n"/>
      <c r="D1136" s="72" t="n"/>
      <c r="E1136" s="72" t="n"/>
      <c r="F1136" s="72" t="n"/>
      <c r="G1136" s="72" t="n"/>
      <c r="H1136" s="72" t="n"/>
      <c r="I1136" s="72" t="n"/>
      <c r="J1136" s="72" t="n"/>
      <c r="K1136" s="72" t="n"/>
      <c r="L1136" s="72" t="n"/>
      <c r="M1136" s="72" t="n"/>
      <c r="N1136" s="72" t="n"/>
      <c r="O1136" s="72" t="n"/>
      <c r="P1136" s="72" t="n"/>
      <c r="Q1136" s="72" t="n"/>
      <c r="R1136" s="72" t="n"/>
      <c r="S1136" s="72" t="n"/>
    </row>
    <row r="1137">
      <c r="B1137" s="72" t="n"/>
      <c r="C1137" s="72" t="n"/>
      <c r="D1137" s="72" t="n"/>
      <c r="E1137" s="72" t="n"/>
      <c r="F1137" s="72" t="n"/>
      <c r="G1137" s="72" t="n"/>
      <c r="H1137" s="72" t="n"/>
      <c r="I1137" s="72" t="n"/>
      <c r="J1137" s="72" t="n"/>
      <c r="K1137" s="72" t="n"/>
      <c r="L1137" s="72" t="n"/>
      <c r="M1137" s="72" t="n"/>
      <c r="N1137" s="72" t="n"/>
      <c r="O1137" s="72" t="n"/>
      <c r="P1137" s="72" t="n"/>
      <c r="Q1137" s="72" t="n"/>
      <c r="R1137" s="72" t="n"/>
      <c r="S1137" s="72" t="n"/>
    </row>
    <row r="1138">
      <c r="B1138" s="72" t="n"/>
      <c r="C1138" s="72" t="n"/>
      <c r="D1138" s="72" t="n"/>
      <c r="E1138" s="72" t="n"/>
      <c r="F1138" s="72" t="n"/>
      <c r="G1138" s="72" t="n"/>
      <c r="H1138" s="72" t="n"/>
      <c r="I1138" s="72" t="n"/>
      <c r="J1138" s="72" t="n"/>
      <c r="K1138" s="72" t="n"/>
      <c r="L1138" s="72" t="n"/>
      <c r="M1138" s="72" t="n"/>
      <c r="N1138" s="72" t="n"/>
      <c r="O1138" s="72" t="n"/>
      <c r="P1138" s="72" t="n"/>
      <c r="Q1138" s="72" t="n"/>
      <c r="R1138" s="72" t="n"/>
      <c r="S1138" s="72" t="n"/>
    </row>
    <row r="1139">
      <c r="B1139" s="72" t="n"/>
      <c r="C1139" s="72" t="n"/>
      <c r="D1139" s="72" t="n"/>
      <c r="E1139" s="72" t="n"/>
      <c r="F1139" s="72" t="n"/>
      <c r="G1139" s="72" t="n"/>
      <c r="H1139" s="72" t="n"/>
      <c r="I1139" s="72" t="n"/>
      <c r="J1139" s="72" t="n"/>
      <c r="K1139" s="72" t="n"/>
      <c r="L1139" s="72" t="n"/>
      <c r="M1139" s="72" t="n"/>
      <c r="N1139" s="72" t="n"/>
      <c r="O1139" s="72" t="n"/>
      <c r="P1139" s="72" t="n"/>
      <c r="Q1139" s="72" t="n"/>
      <c r="R1139" s="72" t="n"/>
      <c r="S1139" s="72" t="n"/>
    </row>
    <row r="1140">
      <c r="B1140" s="72" t="n"/>
      <c r="C1140" s="72" t="n"/>
      <c r="D1140" s="72" t="n"/>
      <c r="E1140" s="72" t="n"/>
      <c r="F1140" s="72" t="n"/>
      <c r="G1140" s="72" t="n"/>
      <c r="H1140" s="72" t="n"/>
      <c r="I1140" s="72" t="n"/>
      <c r="J1140" s="72" t="n"/>
      <c r="K1140" s="72" t="n"/>
      <c r="L1140" s="72" t="n"/>
      <c r="M1140" s="72" t="n"/>
      <c r="N1140" s="72" t="n"/>
      <c r="O1140" s="72" t="n"/>
      <c r="P1140" s="72" t="n"/>
      <c r="Q1140" s="72" t="n"/>
      <c r="R1140" s="72" t="n"/>
      <c r="S1140" s="72" t="n"/>
    </row>
    <row r="1141">
      <c r="B1141" s="72" t="n"/>
      <c r="C1141" s="72" t="n"/>
      <c r="D1141" s="72" t="n"/>
      <c r="E1141" s="72" t="n"/>
      <c r="F1141" s="72" t="n"/>
      <c r="G1141" s="72" t="n"/>
      <c r="H1141" s="72" t="n"/>
      <c r="I1141" s="72" t="n"/>
      <c r="J1141" s="72" t="n"/>
      <c r="K1141" s="72" t="n"/>
      <c r="L1141" s="72" t="n"/>
      <c r="M1141" s="72" t="n"/>
      <c r="N1141" s="72" t="n"/>
      <c r="O1141" s="72" t="n"/>
      <c r="P1141" s="72" t="n"/>
      <c r="Q1141" s="72" t="n"/>
      <c r="R1141" s="72" t="n"/>
      <c r="S1141" s="72" t="n"/>
    </row>
    <row r="1142">
      <c r="B1142" s="72" t="n"/>
      <c r="C1142" s="72" t="n"/>
      <c r="D1142" s="72" t="n"/>
      <c r="E1142" s="72" t="n"/>
      <c r="F1142" s="72" t="n"/>
      <c r="G1142" s="72" t="n"/>
      <c r="H1142" s="72" t="n"/>
      <c r="I1142" s="72" t="n"/>
      <c r="J1142" s="72" t="n"/>
      <c r="K1142" s="72" t="n"/>
      <c r="L1142" s="72" t="n"/>
      <c r="M1142" s="72" t="n"/>
      <c r="N1142" s="72" t="n"/>
      <c r="O1142" s="72" t="n"/>
      <c r="P1142" s="72" t="n"/>
      <c r="Q1142" s="72" t="n"/>
      <c r="R1142" s="72" t="n"/>
      <c r="S1142" s="72" t="n"/>
    </row>
    <row r="1143">
      <c r="B1143" s="72" t="n"/>
      <c r="C1143" s="72" t="n"/>
      <c r="D1143" s="72" t="n"/>
      <c r="E1143" s="72" t="n"/>
      <c r="F1143" s="72" t="n"/>
      <c r="G1143" s="72" t="n"/>
      <c r="H1143" s="72" t="n"/>
      <c r="I1143" s="72" t="n"/>
      <c r="J1143" s="72" t="n"/>
      <c r="K1143" s="72" t="n"/>
      <c r="L1143" s="72" t="n"/>
      <c r="M1143" s="72" t="n"/>
      <c r="N1143" s="72" t="n"/>
      <c r="O1143" s="72" t="n"/>
      <c r="P1143" s="72" t="n"/>
      <c r="Q1143" s="72" t="n"/>
      <c r="R1143" s="72" t="n"/>
      <c r="S1143" s="72" t="n"/>
    </row>
    <row r="1144">
      <c r="B1144" s="72" t="n"/>
      <c r="C1144" s="72" t="n"/>
      <c r="D1144" s="72" t="n"/>
      <c r="E1144" s="72" t="n"/>
      <c r="F1144" s="72" t="n"/>
      <c r="G1144" s="72" t="n"/>
      <c r="H1144" s="72" t="n"/>
      <c r="I1144" s="72" t="n"/>
      <c r="J1144" s="72" t="n"/>
      <c r="K1144" s="72" t="n"/>
      <c r="L1144" s="72" t="n"/>
      <c r="M1144" s="72" t="n"/>
      <c r="N1144" s="72" t="n"/>
      <c r="O1144" s="72" t="n"/>
      <c r="P1144" s="72" t="n"/>
      <c r="Q1144" s="72" t="n"/>
      <c r="R1144" s="72" t="n"/>
      <c r="S1144" s="72" t="n"/>
    </row>
    <row r="1145">
      <c r="B1145" s="72" t="n"/>
      <c r="C1145" s="72" t="n"/>
      <c r="D1145" s="72" t="n"/>
      <c r="E1145" s="72" t="n"/>
      <c r="F1145" s="72" t="n"/>
      <c r="G1145" s="72" t="n"/>
      <c r="H1145" s="72" t="n"/>
      <c r="I1145" s="72" t="n"/>
      <c r="J1145" s="72" t="n"/>
      <c r="K1145" s="72" t="n"/>
      <c r="L1145" s="72" t="n"/>
      <c r="M1145" s="72" t="n"/>
      <c r="N1145" s="72" t="n"/>
      <c r="O1145" s="72" t="n"/>
      <c r="P1145" s="72" t="n"/>
      <c r="Q1145" s="72" t="n"/>
      <c r="R1145" s="72" t="n"/>
      <c r="S1145" s="72" t="n"/>
    </row>
    <row r="1146">
      <c r="B1146" s="72" t="n"/>
      <c r="C1146" s="72" t="n"/>
      <c r="D1146" s="72" t="n"/>
      <c r="E1146" s="72" t="n"/>
      <c r="F1146" s="72" t="n"/>
      <c r="G1146" s="72" t="n"/>
      <c r="H1146" s="72" t="n"/>
      <c r="I1146" s="72" t="n"/>
      <c r="J1146" s="72" t="n"/>
      <c r="K1146" s="72" t="n"/>
      <c r="L1146" s="72" t="n"/>
      <c r="M1146" s="72" t="n"/>
      <c r="N1146" s="72" t="n"/>
      <c r="O1146" s="72" t="n"/>
      <c r="P1146" s="72" t="n"/>
      <c r="Q1146" s="72" t="n"/>
      <c r="R1146" s="72" t="n"/>
      <c r="S1146" s="72" t="n"/>
    </row>
    <row r="1147">
      <c r="B1147" s="72" t="n"/>
      <c r="C1147" s="72" t="n"/>
      <c r="D1147" s="72" t="n"/>
      <c r="E1147" s="72" t="n"/>
      <c r="F1147" s="72" t="n"/>
      <c r="G1147" s="72" t="n"/>
      <c r="H1147" s="72" t="n"/>
      <c r="I1147" s="72" t="n"/>
      <c r="J1147" s="72" t="n"/>
      <c r="K1147" s="72" t="n"/>
      <c r="L1147" s="72" t="n"/>
      <c r="M1147" s="72" t="n"/>
      <c r="N1147" s="72" t="n"/>
      <c r="O1147" s="72" t="n"/>
      <c r="P1147" s="72" t="n"/>
      <c r="Q1147" s="72" t="n"/>
      <c r="R1147" s="72" t="n"/>
      <c r="S1147" s="72" t="n"/>
    </row>
    <row r="1148">
      <c r="B1148" s="72" t="n"/>
      <c r="C1148" s="72" t="n"/>
      <c r="D1148" s="72" t="n"/>
      <c r="E1148" s="72" t="n"/>
      <c r="F1148" s="72" t="n"/>
      <c r="G1148" s="72" t="n"/>
      <c r="H1148" s="72" t="n"/>
      <c r="I1148" s="72" t="n"/>
      <c r="J1148" s="72" t="n"/>
      <c r="K1148" s="72" t="n"/>
      <c r="L1148" s="72" t="n"/>
      <c r="M1148" s="72" t="n"/>
      <c r="N1148" s="72" t="n"/>
      <c r="O1148" s="72" t="n"/>
      <c r="P1148" s="72" t="n"/>
      <c r="Q1148" s="72" t="n"/>
      <c r="R1148" s="72" t="n"/>
      <c r="S1148" s="72" t="n"/>
    </row>
    <row r="1149">
      <c r="B1149" s="72" t="n"/>
      <c r="C1149" s="72" t="n"/>
      <c r="D1149" s="72" t="n"/>
      <c r="E1149" s="72" t="n"/>
      <c r="F1149" s="72" t="n"/>
      <c r="G1149" s="72" t="n"/>
      <c r="H1149" s="72" t="n"/>
      <c r="I1149" s="72" t="n"/>
      <c r="J1149" s="72" t="n"/>
      <c r="K1149" s="72" t="n"/>
      <c r="L1149" s="72" t="n"/>
      <c r="M1149" s="72" t="n"/>
      <c r="N1149" s="72" t="n"/>
      <c r="O1149" s="72" t="n"/>
      <c r="P1149" s="72" t="n"/>
      <c r="Q1149" s="72" t="n"/>
      <c r="R1149" s="72" t="n"/>
      <c r="S1149" s="72" t="n"/>
    </row>
    <row r="1150">
      <c r="B1150" s="72" t="n"/>
      <c r="C1150" s="72" t="n"/>
      <c r="D1150" s="72" t="n"/>
      <c r="E1150" s="72" t="n"/>
      <c r="F1150" s="72" t="n"/>
      <c r="G1150" s="72" t="n"/>
      <c r="H1150" s="72" t="n"/>
      <c r="I1150" s="72" t="n"/>
      <c r="J1150" s="72" t="n"/>
      <c r="K1150" s="72" t="n"/>
      <c r="L1150" s="72" t="n"/>
      <c r="M1150" s="72" t="n"/>
      <c r="N1150" s="72" t="n"/>
      <c r="O1150" s="72" t="n"/>
      <c r="P1150" s="72" t="n"/>
      <c r="Q1150" s="72" t="n"/>
      <c r="R1150" s="72" t="n"/>
      <c r="S1150" s="72" t="n"/>
    </row>
    <row r="1151">
      <c r="B1151" s="72" t="n"/>
      <c r="C1151" s="72" t="n"/>
      <c r="D1151" s="72" t="n"/>
      <c r="E1151" s="72" t="n"/>
      <c r="F1151" s="72" t="n"/>
      <c r="G1151" s="72" t="n"/>
      <c r="H1151" s="72" t="n"/>
      <c r="I1151" s="72" t="n"/>
      <c r="J1151" s="72" t="n"/>
      <c r="K1151" s="72" t="n"/>
      <c r="L1151" s="72" t="n"/>
      <c r="M1151" s="72" t="n"/>
      <c r="N1151" s="72" t="n"/>
      <c r="O1151" s="72" t="n"/>
      <c r="P1151" s="72" t="n"/>
      <c r="Q1151" s="72" t="n"/>
      <c r="R1151" s="72" t="n"/>
      <c r="S1151" s="72" t="n"/>
    </row>
    <row r="1152">
      <c r="B1152" s="72" t="n"/>
      <c r="C1152" s="72" t="n"/>
      <c r="D1152" s="72" t="n"/>
      <c r="E1152" s="72" t="n"/>
      <c r="F1152" s="72" t="n"/>
      <c r="G1152" s="72" t="n"/>
      <c r="H1152" s="72" t="n"/>
      <c r="I1152" s="72" t="n"/>
      <c r="J1152" s="72" t="n"/>
      <c r="K1152" s="72" t="n"/>
      <c r="L1152" s="72" t="n"/>
      <c r="M1152" s="72" t="n"/>
      <c r="N1152" s="72" t="n"/>
      <c r="O1152" s="72" t="n"/>
      <c r="P1152" s="72" t="n"/>
      <c r="Q1152" s="72" t="n"/>
      <c r="R1152" s="72" t="n"/>
      <c r="S1152" s="72" t="n"/>
    </row>
    <row r="1153">
      <c r="B1153" s="72" t="n"/>
      <c r="C1153" s="72" t="n"/>
      <c r="D1153" s="72" t="n"/>
      <c r="E1153" s="72" t="n"/>
      <c r="F1153" s="72" t="n"/>
      <c r="G1153" s="72" t="n"/>
      <c r="H1153" s="72" t="n"/>
      <c r="I1153" s="72" t="n"/>
      <c r="J1153" s="72" t="n"/>
      <c r="K1153" s="72" t="n"/>
      <c r="L1153" s="72" t="n"/>
      <c r="M1153" s="72" t="n"/>
      <c r="N1153" s="72" t="n"/>
      <c r="O1153" s="72" t="n"/>
      <c r="P1153" s="72" t="n"/>
      <c r="Q1153" s="72" t="n"/>
      <c r="R1153" s="72" t="n"/>
      <c r="S1153" s="72" t="n"/>
    </row>
    <row r="1154">
      <c r="B1154" s="72" t="n"/>
      <c r="C1154" s="72" t="n"/>
      <c r="D1154" s="72" t="n"/>
      <c r="E1154" s="72" t="n"/>
      <c r="F1154" s="72" t="n"/>
      <c r="G1154" s="72" t="n"/>
      <c r="H1154" s="72" t="n"/>
      <c r="I1154" s="72" t="n"/>
      <c r="J1154" s="72" t="n"/>
      <c r="K1154" s="72" t="n"/>
      <c r="L1154" s="72" t="n"/>
      <c r="M1154" s="72" t="n"/>
      <c r="N1154" s="72" t="n"/>
      <c r="O1154" s="72" t="n"/>
      <c r="P1154" s="72" t="n"/>
      <c r="Q1154" s="72" t="n"/>
      <c r="R1154" s="72" t="n"/>
      <c r="S1154" s="72" t="n"/>
    </row>
    <row r="1155">
      <c r="B1155" s="72" t="n"/>
      <c r="C1155" s="72" t="n"/>
      <c r="D1155" s="72" t="n"/>
      <c r="E1155" s="72" t="n"/>
      <c r="F1155" s="72" t="n"/>
      <c r="G1155" s="72" t="n"/>
      <c r="H1155" s="72" t="n"/>
      <c r="I1155" s="72" t="n"/>
      <c r="J1155" s="72" t="n"/>
      <c r="K1155" s="72" t="n"/>
      <c r="L1155" s="72" t="n"/>
      <c r="M1155" s="72" t="n"/>
      <c r="N1155" s="72" t="n"/>
      <c r="O1155" s="72" t="n"/>
      <c r="P1155" s="72" t="n"/>
      <c r="Q1155" s="72" t="n"/>
      <c r="R1155" s="72" t="n"/>
      <c r="S1155" s="72" t="n"/>
    </row>
    <row r="1156">
      <c r="B1156" s="72" t="n"/>
      <c r="C1156" s="72" t="n"/>
      <c r="D1156" s="72" t="n"/>
      <c r="E1156" s="72" t="n"/>
      <c r="F1156" s="72" t="n"/>
      <c r="G1156" s="72" t="n"/>
      <c r="H1156" s="72" t="n"/>
      <c r="I1156" s="72" t="n"/>
      <c r="J1156" s="72" t="n"/>
      <c r="K1156" s="72" t="n"/>
      <c r="L1156" s="72" t="n"/>
      <c r="M1156" s="72" t="n"/>
      <c r="N1156" s="72" t="n"/>
      <c r="O1156" s="72" t="n"/>
      <c r="P1156" s="72" t="n"/>
      <c r="Q1156" s="72" t="n"/>
      <c r="R1156" s="72" t="n"/>
      <c r="S1156" s="72" t="n"/>
    </row>
    <row r="1157">
      <c r="B1157" s="72" t="n"/>
      <c r="C1157" s="72" t="n"/>
      <c r="D1157" s="72" t="n"/>
      <c r="E1157" s="72" t="n"/>
      <c r="F1157" s="72" t="n"/>
      <c r="G1157" s="72" t="n"/>
      <c r="H1157" s="72" t="n"/>
      <c r="I1157" s="72" t="n"/>
      <c r="J1157" s="72" t="n"/>
      <c r="K1157" s="72" t="n"/>
      <c r="L1157" s="72" t="n"/>
      <c r="M1157" s="72" t="n"/>
      <c r="N1157" s="72" t="n"/>
      <c r="O1157" s="72" t="n"/>
      <c r="P1157" s="72" t="n"/>
      <c r="Q1157" s="72" t="n"/>
      <c r="R1157" s="72" t="n"/>
      <c r="S1157" s="72" t="n"/>
    </row>
    <row r="1158">
      <c r="B1158" s="72" t="n"/>
      <c r="C1158" s="72" t="n"/>
      <c r="D1158" s="72" t="n"/>
      <c r="E1158" s="72" t="n"/>
      <c r="F1158" s="72" t="n"/>
      <c r="G1158" s="72" t="n"/>
      <c r="H1158" s="72" t="n"/>
      <c r="I1158" s="72" t="n"/>
      <c r="J1158" s="72" t="n"/>
      <c r="K1158" s="72" t="n"/>
      <c r="L1158" s="72" t="n"/>
      <c r="M1158" s="72" t="n"/>
      <c r="N1158" s="72" t="n"/>
      <c r="O1158" s="72" t="n"/>
      <c r="P1158" s="72" t="n"/>
      <c r="Q1158" s="72" t="n"/>
      <c r="R1158" s="72" t="n"/>
      <c r="S1158" s="72" t="n"/>
    </row>
    <row r="1159">
      <c r="B1159" s="72" t="n"/>
      <c r="C1159" s="72" t="n"/>
      <c r="D1159" s="72" t="n"/>
      <c r="E1159" s="72" t="n"/>
      <c r="F1159" s="72" t="n"/>
      <c r="G1159" s="72" t="n"/>
      <c r="H1159" s="72" t="n"/>
      <c r="I1159" s="72" t="n"/>
      <c r="J1159" s="72" t="n"/>
      <c r="K1159" s="72" t="n"/>
      <c r="L1159" s="72" t="n"/>
      <c r="M1159" s="72" t="n"/>
      <c r="N1159" s="72" t="n"/>
      <c r="O1159" s="72" t="n"/>
      <c r="P1159" s="72" t="n"/>
      <c r="Q1159" s="72" t="n"/>
      <c r="R1159" s="72" t="n"/>
      <c r="S1159" s="72" t="n"/>
    </row>
    <row r="1160">
      <c r="B1160" s="72" t="n"/>
      <c r="C1160" s="72" t="n"/>
      <c r="D1160" s="72" t="n"/>
      <c r="E1160" s="72" t="n"/>
      <c r="F1160" s="72" t="n"/>
      <c r="G1160" s="72" t="n"/>
      <c r="H1160" s="72" t="n"/>
      <c r="I1160" s="72" t="n"/>
      <c r="J1160" s="72" t="n"/>
      <c r="K1160" s="72" t="n"/>
      <c r="L1160" s="72" t="n"/>
      <c r="M1160" s="72" t="n"/>
      <c r="N1160" s="72" t="n"/>
      <c r="O1160" s="72" t="n"/>
      <c r="P1160" s="72" t="n"/>
      <c r="Q1160" s="72" t="n"/>
      <c r="R1160" s="72" t="n"/>
      <c r="S1160" s="72" t="n"/>
    </row>
    <row r="1161">
      <c r="B1161" s="72" t="n"/>
      <c r="C1161" s="72" t="n"/>
      <c r="D1161" s="72" t="n"/>
      <c r="E1161" s="72" t="n"/>
      <c r="F1161" s="72" t="n"/>
      <c r="G1161" s="72" t="n"/>
      <c r="H1161" s="72" t="n"/>
      <c r="I1161" s="72" t="n"/>
      <c r="J1161" s="72" t="n"/>
      <c r="K1161" s="72" t="n"/>
      <c r="L1161" s="72" t="n"/>
      <c r="M1161" s="72" t="n"/>
      <c r="N1161" s="72" t="n"/>
      <c r="O1161" s="72" t="n"/>
      <c r="P1161" s="72" t="n"/>
      <c r="Q1161" s="72" t="n"/>
      <c r="R1161" s="72" t="n"/>
      <c r="S1161" s="72" t="n"/>
    </row>
    <row r="1162">
      <c r="B1162" s="72" t="n"/>
      <c r="C1162" s="72" t="n"/>
      <c r="D1162" s="72" t="n"/>
      <c r="E1162" s="72" t="n"/>
      <c r="F1162" s="72" t="n"/>
      <c r="G1162" s="72" t="n"/>
      <c r="H1162" s="72" t="n"/>
      <c r="I1162" s="72" t="n"/>
      <c r="J1162" s="72" t="n"/>
      <c r="K1162" s="72" t="n"/>
      <c r="L1162" s="72" t="n"/>
      <c r="M1162" s="72" t="n"/>
      <c r="N1162" s="72" t="n"/>
      <c r="O1162" s="72" t="n"/>
      <c r="P1162" s="72" t="n"/>
      <c r="Q1162" s="72" t="n"/>
      <c r="R1162" s="72" t="n"/>
      <c r="S1162" s="72" t="n"/>
    </row>
    <row r="1163">
      <c r="B1163" s="72" t="n"/>
      <c r="C1163" s="72" t="n"/>
      <c r="D1163" s="72" t="n"/>
      <c r="E1163" s="72" t="n"/>
      <c r="F1163" s="72" t="n"/>
      <c r="G1163" s="72" t="n"/>
      <c r="H1163" s="72" t="n"/>
      <c r="I1163" s="72" t="n"/>
      <c r="J1163" s="72" t="n"/>
      <c r="K1163" s="72" t="n"/>
      <c r="L1163" s="72" t="n"/>
      <c r="M1163" s="72" t="n"/>
      <c r="N1163" s="72" t="n"/>
      <c r="O1163" s="72" t="n"/>
      <c r="P1163" s="72" t="n"/>
      <c r="Q1163" s="72" t="n"/>
      <c r="R1163" s="72" t="n"/>
      <c r="S1163" s="72" t="n"/>
    </row>
    <row r="1164">
      <c r="B1164" s="72" t="n"/>
      <c r="C1164" s="72" t="n"/>
      <c r="D1164" s="72" t="n"/>
      <c r="E1164" s="72" t="n"/>
      <c r="F1164" s="72" t="n"/>
      <c r="G1164" s="72" t="n"/>
      <c r="H1164" s="72" t="n"/>
      <c r="I1164" s="72" t="n"/>
      <c r="J1164" s="72" t="n"/>
      <c r="K1164" s="72" t="n"/>
      <c r="L1164" s="72" t="n"/>
      <c r="M1164" s="72" t="n"/>
      <c r="N1164" s="72" t="n"/>
      <c r="O1164" s="72" t="n"/>
      <c r="P1164" s="72" t="n"/>
      <c r="Q1164" s="72" t="n"/>
      <c r="R1164" s="72" t="n"/>
      <c r="S1164" s="72" t="n"/>
    </row>
    <row r="1165">
      <c r="B1165" s="72" t="n"/>
      <c r="C1165" s="72" t="n"/>
      <c r="D1165" s="72" t="n"/>
      <c r="E1165" s="72" t="n"/>
      <c r="F1165" s="72" t="n"/>
      <c r="G1165" s="72" t="n"/>
      <c r="H1165" s="72" t="n"/>
      <c r="I1165" s="72" t="n"/>
      <c r="J1165" s="72" t="n"/>
      <c r="K1165" s="72" t="n"/>
      <c r="L1165" s="72" t="n"/>
      <c r="M1165" s="72" t="n"/>
      <c r="N1165" s="72" t="n"/>
      <c r="O1165" s="72" t="n"/>
      <c r="P1165" s="72" t="n"/>
      <c r="Q1165" s="72" t="n"/>
      <c r="R1165" s="72" t="n"/>
      <c r="S1165" s="72" t="n"/>
    </row>
    <row r="1166">
      <c r="B1166" s="72" t="n"/>
      <c r="C1166" s="72" t="n"/>
      <c r="D1166" s="72" t="n"/>
      <c r="E1166" s="72" t="n"/>
      <c r="F1166" s="72" t="n"/>
      <c r="G1166" s="72" t="n"/>
      <c r="H1166" s="72" t="n"/>
      <c r="I1166" s="72" t="n"/>
      <c r="J1166" s="72" t="n"/>
      <c r="K1166" s="72" t="n"/>
      <c r="L1166" s="72" t="n"/>
      <c r="M1166" s="72" t="n"/>
      <c r="N1166" s="72" t="n"/>
      <c r="O1166" s="72" t="n"/>
      <c r="P1166" s="72" t="n"/>
      <c r="Q1166" s="72" t="n"/>
      <c r="R1166" s="72" t="n"/>
      <c r="S1166" s="72" t="n"/>
    </row>
    <row r="1167">
      <c r="B1167" s="72" t="n"/>
      <c r="C1167" s="72" t="n"/>
      <c r="D1167" s="72" t="n"/>
      <c r="E1167" s="72" t="n"/>
      <c r="F1167" s="72" t="n"/>
      <c r="G1167" s="72" t="n"/>
      <c r="H1167" s="72" t="n"/>
      <c r="I1167" s="72" t="n"/>
      <c r="J1167" s="72" t="n"/>
      <c r="K1167" s="72" t="n"/>
      <c r="L1167" s="72" t="n"/>
      <c r="M1167" s="72" t="n"/>
      <c r="N1167" s="72" t="n"/>
      <c r="O1167" s="72" t="n"/>
      <c r="P1167" s="72" t="n"/>
      <c r="Q1167" s="72" t="n"/>
      <c r="R1167" s="72" t="n"/>
      <c r="S1167" s="72" t="n"/>
    </row>
    <row r="1168">
      <c r="B1168" s="72" t="n"/>
      <c r="C1168" s="72" t="n"/>
      <c r="D1168" s="72" t="n"/>
      <c r="E1168" s="72" t="n"/>
      <c r="F1168" s="72" t="n"/>
      <c r="G1168" s="72" t="n"/>
      <c r="H1168" s="72" t="n"/>
      <c r="I1168" s="72" t="n"/>
      <c r="J1168" s="72" t="n"/>
      <c r="K1168" s="72" t="n"/>
      <c r="L1168" s="72" t="n"/>
      <c r="M1168" s="72" t="n"/>
      <c r="N1168" s="72" t="n"/>
      <c r="O1168" s="72" t="n"/>
      <c r="P1168" s="72" t="n"/>
      <c r="Q1168" s="72" t="n"/>
      <c r="R1168" s="72" t="n"/>
      <c r="S1168" s="72" t="n"/>
    </row>
    <row r="1169">
      <c r="B1169" s="72" t="n"/>
      <c r="C1169" s="72" t="n"/>
      <c r="D1169" s="72" t="n"/>
      <c r="E1169" s="72" t="n"/>
      <c r="F1169" s="72" t="n"/>
      <c r="G1169" s="72" t="n"/>
      <c r="H1169" s="72" t="n"/>
      <c r="I1169" s="72" t="n"/>
      <c r="J1169" s="72" t="n"/>
      <c r="K1169" s="72" t="n"/>
      <c r="L1169" s="72" t="n"/>
      <c r="M1169" s="72" t="n"/>
      <c r="N1169" s="72" t="n"/>
      <c r="O1169" s="72" t="n"/>
      <c r="P1169" s="72" t="n"/>
      <c r="Q1169" s="72" t="n"/>
      <c r="R1169" s="72" t="n"/>
      <c r="S1169" s="72" t="n"/>
    </row>
    <row r="1170">
      <c r="B1170" s="72" t="n"/>
      <c r="C1170" s="72" t="n"/>
      <c r="D1170" s="72" t="n"/>
      <c r="E1170" s="72" t="n"/>
      <c r="F1170" s="72" t="n"/>
      <c r="G1170" s="72" t="n"/>
      <c r="H1170" s="72" t="n"/>
      <c r="I1170" s="72" t="n"/>
      <c r="J1170" s="72" t="n"/>
      <c r="K1170" s="72" t="n"/>
      <c r="L1170" s="72" t="n"/>
      <c r="M1170" s="72" t="n"/>
      <c r="N1170" s="72" t="n"/>
      <c r="O1170" s="72" t="n"/>
      <c r="P1170" s="72" t="n"/>
      <c r="Q1170" s="72" t="n"/>
      <c r="R1170" s="72" t="n"/>
      <c r="S1170" s="72" t="n"/>
    </row>
    <row r="1171">
      <c r="B1171" s="72" t="n"/>
      <c r="C1171" s="72" t="n"/>
      <c r="D1171" s="72" t="n"/>
      <c r="E1171" s="72" t="n"/>
      <c r="F1171" s="72" t="n"/>
      <c r="G1171" s="72" t="n"/>
      <c r="H1171" s="72" t="n"/>
      <c r="I1171" s="72" t="n"/>
      <c r="J1171" s="72" t="n"/>
      <c r="K1171" s="72" t="n"/>
      <c r="L1171" s="72" t="n"/>
      <c r="M1171" s="72" t="n"/>
      <c r="N1171" s="72" t="n"/>
      <c r="O1171" s="72" t="n"/>
      <c r="P1171" s="72" t="n"/>
      <c r="Q1171" s="72" t="n"/>
      <c r="R1171" s="72" t="n"/>
      <c r="S1171" s="72" t="n"/>
    </row>
    <row r="1172">
      <c r="B1172" s="72" t="n"/>
      <c r="C1172" s="72" t="n"/>
      <c r="D1172" s="72" t="n"/>
      <c r="E1172" s="72" t="n"/>
      <c r="F1172" s="72" t="n"/>
      <c r="G1172" s="72" t="n"/>
      <c r="H1172" s="72" t="n"/>
      <c r="I1172" s="72" t="n"/>
      <c r="J1172" s="72" t="n"/>
      <c r="K1172" s="72" t="n"/>
      <c r="L1172" s="72" t="n"/>
      <c r="M1172" s="72" t="n"/>
      <c r="N1172" s="72" t="n"/>
      <c r="O1172" s="72" t="n"/>
      <c r="P1172" s="72" t="n"/>
      <c r="Q1172" s="72" t="n"/>
      <c r="R1172" s="72" t="n"/>
      <c r="S1172" s="72" t="n"/>
    </row>
    <row r="1173">
      <c r="B1173" s="72" t="n"/>
      <c r="C1173" s="72" t="n"/>
      <c r="D1173" s="72" t="n"/>
      <c r="E1173" s="72" t="n"/>
      <c r="F1173" s="72" t="n"/>
      <c r="G1173" s="72" t="n"/>
      <c r="H1173" s="72" t="n"/>
      <c r="I1173" s="72" t="n"/>
      <c r="J1173" s="72" t="n"/>
      <c r="K1173" s="72" t="n"/>
      <c r="L1173" s="72" t="n"/>
      <c r="M1173" s="72" t="n"/>
      <c r="N1173" s="72" t="n"/>
      <c r="O1173" s="72" t="n"/>
      <c r="P1173" s="72" t="n"/>
      <c r="Q1173" s="72" t="n"/>
      <c r="R1173" s="72" t="n"/>
      <c r="S1173" s="72" t="n"/>
    </row>
    <row r="1174">
      <c r="B1174" s="72" t="n"/>
      <c r="C1174" s="72" t="n"/>
      <c r="D1174" s="72" t="n"/>
      <c r="E1174" s="72" t="n"/>
      <c r="F1174" s="72" t="n"/>
      <c r="G1174" s="72" t="n"/>
      <c r="H1174" s="72" t="n"/>
      <c r="I1174" s="72" t="n"/>
      <c r="J1174" s="72" t="n"/>
      <c r="K1174" s="72" t="n"/>
      <c r="L1174" s="72" t="n"/>
      <c r="M1174" s="72" t="n"/>
      <c r="N1174" s="72" t="n"/>
      <c r="O1174" s="72" t="n"/>
      <c r="P1174" s="72" t="n"/>
      <c r="Q1174" s="72" t="n"/>
      <c r="R1174" s="72" t="n"/>
      <c r="S1174" s="72" t="n"/>
    </row>
    <row r="1175">
      <c r="B1175" s="72" t="n"/>
      <c r="C1175" s="72" t="n"/>
      <c r="D1175" s="72" t="n"/>
      <c r="E1175" s="72" t="n"/>
      <c r="F1175" s="72" t="n"/>
      <c r="G1175" s="72" t="n"/>
      <c r="H1175" s="72" t="n"/>
      <c r="I1175" s="72" t="n"/>
      <c r="J1175" s="72" t="n"/>
      <c r="K1175" s="72" t="n"/>
      <c r="L1175" s="72" t="n"/>
      <c r="M1175" s="72" t="n"/>
      <c r="N1175" s="72" t="n"/>
      <c r="O1175" s="72" t="n"/>
      <c r="P1175" s="72" t="n"/>
      <c r="Q1175" s="72" t="n"/>
      <c r="R1175" s="72" t="n"/>
      <c r="S1175" s="72" t="n"/>
    </row>
    <row r="1176">
      <c r="B1176" s="72" t="n"/>
      <c r="C1176" s="72" t="n"/>
      <c r="D1176" s="72" t="n"/>
      <c r="E1176" s="72" t="n"/>
      <c r="F1176" s="72" t="n"/>
      <c r="G1176" s="72" t="n"/>
      <c r="H1176" s="72" t="n"/>
      <c r="I1176" s="72" t="n"/>
      <c r="J1176" s="72" t="n"/>
      <c r="K1176" s="72" t="n"/>
      <c r="L1176" s="72" t="n"/>
      <c r="M1176" s="72" t="n"/>
      <c r="N1176" s="72" t="n"/>
      <c r="O1176" s="72" t="n"/>
      <c r="P1176" s="72" t="n"/>
      <c r="Q1176" s="72" t="n"/>
      <c r="R1176" s="72" t="n"/>
      <c r="S1176" s="72" t="n"/>
    </row>
    <row r="1177">
      <c r="B1177" s="72" t="n"/>
      <c r="C1177" s="72" t="n"/>
      <c r="D1177" s="72" t="n"/>
      <c r="E1177" s="72" t="n"/>
      <c r="F1177" s="72" t="n"/>
      <c r="G1177" s="72" t="n"/>
      <c r="H1177" s="72" t="n"/>
      <c r="I1177" s="72" t="n"/>
      <c r="J1177" s="72" t="n"/>
      <c r="K1177" s="72" t="n"/>
      <c r="L1177" s="72" t="n"/>
      <c r="M1177" s="72" t="n"/>
      <c r="N1177" s="72" t="n"/>
      <c r="O1177" s="72" t="n"/>
      <c r="P1177" s="72" t="n"/>
      <c r="Q1177" s="72" t="n"/>
      <c r="R1177" s="72" t="n"/>
      <c r="S1177" s="72" t="n"/>
    </row>
    <row r="1178">
      <c r="B1178" s="72" t="n"/>
      <c r="C1178" s="72" t="n"/>
      <c r="D1178" s="72" t="n"/>
      <c r="E1178" s="72" t="n"/>
      <c r="F1178" s="72" t="n"/>
      <c r="G1178" s="72" t="n"/>
      <c r="H1178" s="72" t="n"/>
      <c r="I1178" s="72" t="n"/>
      <c r="J1178" s="72" t="n"/>
      <c r="K1178" s="72" t="n"/>
      <c r="L1178" s="72" t="n"/>
      <c r="M1178" s="72" t="n"/>
      <c r="N1178" s="72" t="n"/>
      <c r="O1178" s="72" t="n"/>
      <c r="P1178" s="72" t="n"/>
      <c r="Q1178" s="72" t="n"/>
      <c r="R1178" s="72" t="n"/>
      <c r="S1178" s="72" t="n"/>
    </row>
    <row r="1179">
      <c r="B1179" s="72" t="n"/>
      <c r="C1179" s="72" t="n"/>
      <c r="D1179" s="72" t="n"/>
      <c r="E1179" s="72" t="n"/>
      <c r="F1179" s="72" t="n"/>
      <c r="G1179" s="72" t="n"/>
      <c r="H1179" s="72" t="n"/>
      <c r="I1179" s="72" t="n"/>
      <c r="J1179" s="72" t="n"/>
      <c r="K1179" s="72" t="n"/>
      <c r="L1179" s="72" t="n"/>
      <c r="M1179" s="72" t="n"/>
      <c r="N1179" s="72" t="n"/>
      <c r="O1179" s="72" t="n"/>
      <c r="P1179" s="72" t="n"/>
      <c r="Q1179" s="72" t="n"/>
      <c r="R1179" s="72" t="n"/>
      <c r="S1179" s="72" t="n"/>
    </row>
    <row r="1180">
      <c r="B1180" s="72" t="n"/>
      <c r="C1180" s="72" t="n"/>
      <c r="D1180" s="72" t="n"/>
      <c r="E1180" s="72" t="n"/>
      <c r="F1180" s="72" t="n"/>
      <c r="G1180" s="72" t="n"/>
      <c r="H1180" s="72" t="n"/>
      <c r="I1180" s="72" t="n"/>
      <c r="J1180" s="72" t="n"/>
      <c r="K1180" s="72" t="n"/>
      <c r="L1180" s="72" t="n"/>
      <c r="M1180" s="72" t="n"/>
      <c r="N1180" s="72" t="n"/>
      <c r="O1180" s="72" t="n"/>
      <c r="P1180" s="72" t="n"/>
      <c r="Q1180" s="72" t="n"/>
      <c r="R1180" s="72" t="n"/>
      <c r="S1180" s="72" t="n"/>
    </row>
    <row r="1181">
      <c r="B1181" s="72" t="n"/>
      <c r="C1181" s="72" t="n"/>
      <c r="D1181" s="72" t="n"/>
      <c r="E1181" s="72" t="n"/>
      <c r="F1181" s="72" t="n"/>
      <c r="G1181" s="72" t="n"/>
      <c r="H1181" s="72" t="n"/>
      <c r="I1181" s="72" t="n"/>
      <c r="J1181" s="72" t="n"/>
      <c r="K1181" s="72" t="n"/>
      <c r="L1181" s="72" t="n"/>
      <c r="M1181" s="72" t="n"/>
      <c r="N1181" s="72" t="n"/>
      <c r="O1181" s="72" t="n"/>
      <c r="P1181" s="72" t="n"/>
      <c r="Q1181" s="72" t="n"/>
      <c r="R1181" s="72" t="n"/>
      <c r="S1181" s="72" t="n"/>
    </row>
    <row r="1182">
      <c r="B1182" s="72" t="n"/>
      <c r="C1182" s="72" t="n"/>
      <c r="D1182" s="72" t="n"/>
      <c r="E1182" s="72" t="n"/>
      <c r="F1182" s="72" t="n"/>
      <c r="G1182" s="72" t="n"/>
      <c r="H1182" s="72" t="n"/>
      <c r="I1182" s="72" t="n"/>
      <c r="J1182" s="72" t="n"/>
      <c r="K1182" s="72" t="n"/>
      <c r="L1182" s="72" t="n"/>
      <c r="M1182" s="72" t="n"/>
      <c r="N1182" s="72" t="n"/>
      <c r="O1182" s="72" t="n"/>
      <c r="P1182" s="72" t="n"/>
      <c r="Q1182" s="72" t="n"/>
      <c r="R1182" s="72" t="n"/>
      <c r="S1182" s="72" t="n"/>
    </row>
    <row r="1183">
      <c r="B1183" s="72" t="n"/>
      <c r="C1183" s="72" t="n"/>
      <c r="D1183" s="72" t="n"/>
      <c r="E1183" s="72" t="n"/>
      <c r="F1183" s="72" t="n"/>
      <c r="G1183" s="72" t="n"/>
      <c r="H1183" s="72" t="n"/>
      <c r="I1183" s="72" t="n"/>
      <c r="J1183" s="72" t="n"/>
      <c r="K1183" s="72" t="n"/>
      <c r="L1183" s="72" t="n"/>
      <c r="M1183" s="72" t="n"/>
      <c r="N1183" s="72" t="n"/>
      <c r="O1183" s="72" t="n"/>
      <c r="P1183" s="72" t="n"/>
      <c r="Q1183" s="72" t="n"/>
      <c r="R1183" s="72" t="n"/>
      <c r="S1183" s="72" t="n"/>
    </row>
    <row r="1184">
      <c r="B1184" s="72" t="n"/>
      <c r="C1184" s="72" t="n"/>
      <c r="D1184" s="72" t="n"/>
      <c r="E1184" s="72" t="n"/>
      <c r="F1184" s="72" t="n"/>
      <c r="G1184" s="72" t="n"/>
      <c r="H1184" s="72" t="n"/>
      <c r="I1184" s="72" t="n"/>
      <c r="J1184" s="72" t="n"/>
      <c r="K1184" s="72" t="n"/>
      <c r="L1184" s="72" t="n"/>
      <c r="M1184" s="72" t="n"/>
      <c r="N1184" s="72" t="n"/>
      <c r="O1184" s="72" t="n"/>
      <c r="P1184" s="72" t="n"/>
      <c r="Q1184" s="72" t="n"/>
      <c r="R1184" s="72" t="n"/>
      <c r="S1184" s="72" t="n"/>
    </row>
    <row r="1185">
      <c r="B1185" s="72" t="n"/>
      <c r="C1185" s="72" t="n"/>
      <c r="D1185" s="72" t="n"/>
      <c r="E1185" s="72" t="n"/>
      <c r="F1185" s="72" t="n"/>
      <c r="G1185" s="72" t="n"/>
      <c r="H1185" s="72" t="n"/>
      <c r="I1185" s="72" t="n"/>
      <c r="J1185" s="72" t="n"/>
      <c r="K1185" s="72" t="n"/>
      <c r="L1185" s="72" t="n"/>
      <c r="M1185" s="72" t="n"/>
      <c r="N1185" s="72" t="n"/>
      <c r="O1185" s="72" t="n"/>
      <c r="P1185" s="72" t="n"/>
      <c r="Q1185" s="72" t="n"/>
      <c r="R1185" s="72" t="n"/>
      <c r="S1185" s="72" t="n"/>
    </row>
    <row r="1186">
      <c r="B1186" s="72" t="n"/>
      <c r="C1186" s="72" t="n"/>
      <c r="D1186" s="72" t="n"/>
      <c r="E1186" s="72" t="n"/>
      <c r="F1186" s="72" t="n"/>
      <c r="G1186" s="72" t="n"/>
      <c r="H1186" s="72" t="n"/>
      <c r="I1186" s="72" t="n"/>
      <c r="J1186" s="72" t="n"/>
      <c r="K1186" s="72" t="n"/>
      <c r="L1186" s="72" t="n"/>
      <c r="M1186" s="72" t="n"/>
      <c r="N1186" s="72" t="n"/>
      <c r="O1186" s="72" t="n"/>
      <c r="P1186" s="72" t="n"/>
      <c r="Q1186" s="72" t="n"/>
      <c r="R1186" s="72" t="n"/>
      <c r="S1186" s="72" t="n"/>
    </row>
    <row r="1187">
      <c r="B1187" s="72" t="n"/>
      <c r="C1187" s="72" t="n"/>
      <c r="D1187" s="72" t="n"/>
      <c r="E1187" s="72" t="n"/>
      <c r="F1187" s="72" t="n"/>
      <c r="G1187" s="72" t="n"/>
      <c r="H1187" s="72" t="n"/>
      <c r="I1187" s="72" t="n"/>
      <c r="J1187" s="72" t="n"/>
      <c r="K1187" s="72" t="n"/>
      <c r="L1187" s="72" t="n"/>
      <c r="M1187" s="72" t="n"/>
      <c r="N1187" s="72" t="n"/>
      <c r="O1187" s="72" t="n"/>
      <c r="P1187" s="72" t="n"/>
      <c r="Q1187" s="72" t="n"/>
      <c r="R1187" s="72" t="n"/>
      <c r="S1187" s="72" t="n"/>
    </row>
    <row r="1188">
      <c r="B1188" s="72" t="n"/>
      <c r="C1188" s="72" t="n"/>
      <c r="D1188" s="72" t="n"/>
      <c r="E1188" s="72" t="n"/>
      <c r="F1188" s="72" t="n"/>
      <c r="G1188" s="72" t="n"/>
      <c r="H1188" s="72" t="n"/>
      <c r="I1188" s="72" t="n"/>
      <c r="J1188" s="72" t="n"/>
      <c r="K1188" s="72" t="n"/>
      <c r="L1188" s="72" t="n"/>
      <c r="M1188" s="72" t="n"/>
      <c r="N1188" s="72" t="n"/>
      <c r="O1188" s="72" t="n"/>
      <c r="P1188" s="72" t="n"/>
      <c r="Q1188" s="72" t="n"/>
      <c r="R1188" s="72" t="n"/>
      <c r="S1188" s="72" t="n"/>
    </row>
    <row r="1189">
      <c r="B1189" s="72" t="n"/>
      <c r="C1189" s="72" t="n"/>
      <c r="D1189" s="72" t="n"/>
      <c r="E1189" s="72" t="n"/>
      <c r="F1189" s="72" t="n"/>
      <c r="G1189" s="72" t="n"/>
      <c r="H1189" s="72" t="n"/>
      <c r="I1189" s="72" t="n"/>
      <c r="J1189" s="72" t="n"/>
      <c r="K1189" s="72" t="n"/>
      <c r="L1189" s="72" t="n"/>
      <c r="M1189" s="72" t="n"/>
      <c r="N1189" s="72" t="n"/>
      <c r="O1189" s="72" t="n"/>
      <c r="P1189" s="72" t="n"/>
      <c r="Q1189" s="72" t="n"/>
      <c r="R1189" s="72" t="n"/>
      <c r="S1189" s="72" t="n"/>
    </row>
    <row r="1190">
      <c r="B1190" s="72" t="n"/>
      <c r="C1190" s="72" t="n"/>
      <c r="D1190" s="72" t="n"/>
      <c r="E1190" s="72" t="n"/>
      <c r="F1190" s="72" t="n"/>
      <c r="G1190" s="72" t="n"/>
      <c r="H1190" s="72" t="n"/>
      <c r="I1190" s="72" t="n"/>
      <c r="J1190" s="72" t="n"/>
      <c r="K1190" s="72" t="n"/>
      <c r="L1190" s="72" t="n"/>
      <c r="M1190" s="72" t="n"/>
      <c r="N1190" s="72" t="n"/>
      <c r="O1190" s="72" t="n"/>
      <c r="P1190" s="72" t="n"/>
      <c r="Q1190" s="72" t="n"/>
      <c r="R1190" s="72" t="n"/>
      <c r="S1190" s="72" t="n"/>
    </row>
    <row r="1191">
      <c r="B1191" s="72" t="n"/>
      <c r="C1191" s="72" t="n"/>
      <c r="D1191" s="72" t="n"/>
      <c r="E1191" s="72" t="n"/>
      <c r="F1191" s="72" t="n"/>
      <c r="G1191" s="72" t="n"/>
      <c r="H1191" s="72" t="n"/>
      <c r="I1191" s="72" t="n"/>
      <c r="J1191" s="72" t="n"/>
      <c r="K1191" s="72" t="n"/>
      <c r="L1191" s="72" t="n"/>
      <c r="M1191" s="72" t="n"/>
      <c r="N1191" s="72" t="n"/>
      <c r="O1191" s="72" t="n"/>
      <c r="P1191" s="72" t="n"/>
      <c r="Q1191" s="72" t="n"/>
      <c r="R1191" s="72" t="n"/>
      <c r="S1191" s="72" t="n"/>
    </row>
    <row r="1192">
      <c r="B1192" s="72" t="n"/>
      <c r="C1192" s="72" t="n"/>
      <c r="D1192" s="72" t="n"/>
      <c r="E1192" s="72" t="n"/>
      <c r="F1192" s="72" t="n"/>
      <c r="G1192" s="72" t="n"/>
      <c r="H1192" s="72" t="n"/>
      <c r="I1192" s="72" t="n"/>
      <c r="J1192" s="72" t="n"/>
      <c r="K1192" s="72" t="n"/>
      <c r="L1192" s="72" t="n"/>
      <c r="M1192" s="72" t="n"/>
      <c r="N1192" s="72" t="n"/>
      <c r="O1192" s="72" t="n"/>
      <c r="P1192" s="72" t="n"/>
      <c r="Q1192" s="72" t="n"/>
      <c r="R1192" s="72" t="n"/>
      <c r="S1192" s="72" t="n"/>
    </row>
    <row r="1193">
      <c r="B1193" s="72" t="n"/>
      <c r="C1193" s="72" t="n"/>
      <c r="D1193" s="72" t="n"/>
      <c r="E1193" s="72" t="n"/>
      <c r="F1193" s="72" t="n"/>
      <c r="G1193" s="72" t="n"/>
      <c r="H1193" s="72" t="n"/>
      <c r="I1193" s="72" t="n"/>
      <c r="J1193" s="72" t="n"/>
      <c r="K1193" s="72" t="n"/>
      <c r="L1193" s="72" t="n"/>
      <c r="M1193" s="72" t="n"/>
      <c r="N1193" s="72" t="n"/>
      <c r="O1193" s="72" t="n"/>
      <c r="P1193" s="72" t="n"/>
      <c r="Q1193" s="72" t="n"/>
      <c r="R1193" s="72" t="n"/>
      <c r="S1193" s="72" t="n"/>
    </row>
    <row r="1194">
      <c r="B1194" s="72" t="n"/>
      <c r="C1194" s="72" t="n"/>
      <c r="D1194" s="72" t="n"/>
      <c r="E1194" s="72" t="n"/>
      <c r="F1194" s="72" t="n"/>
      <c r="G1194" s="72" t="n"/>
      <c r="H1194" s="72" t="n"/>
      <c r="I1194" s="72" t="n"/>
      <c r="J1194" s="72" t="n"/>
      <c r="K1194" s="72" t="n"/>
      <c r="L1194" s="72" t="n"/>
      <c r="M1194" s="72" t="n"/>
      <c r="N1194" s="72" t="n"/>
      <c r="O1194" s="72" t="n"/>
      <c r="P1194" s="72" t="n"/>
      <c r="Q1194" s="72" t="n"/>
      <c r="R1194" s="72" t="n"/>
      <c r="S1194" s="72" t="n"/>
    </row>
    <row r="1195">
      <c r="B1195" s="72" t="n"/>
      <c r="C1195" s="72" t="n"/>
      <c r="D1195" s="72" t="n"/>
      <c r="E1195" s="72" t="n"/>
      <c r="F1195" s="72" t="n"/>
      <c r="G1195" s="72" t="n"/>
      <c r="H1195" s="72" t="n"/>
      <c r="I1195" s="72" t="n"/>
      <c r="J1195" s="72" t="n"/>
      <c r="K1195" s="72" t="n"/>
      <c r="L1195" s="72" t="n"/>
      <c r="M1195" s="72" t="n"/>
      <c r="N1195" s="72" t="n"/>
      <c r="O1195" s="72" t="n"/>
      <c r="P1195" s="72" t="n"/>
      <c r="Q1195" s="72" t="n"/>
      <c r="R1195" s="72" t="n"/>
      <c r="S1195" s="72" t="n"/>
    </row>
    <row r="1196">
      <c r="B1196" s="72" t="n"/>
      <c r="C1196" s="72" t="n"/>
      <c r="D1196" s="72" t="n"/>
      <c r="E1196" s="72" t="n"/>
      <c r="F1196" s="72" t="n"/>
      <c r="G1196" s="72" t="n"/>
      <c r="H1196" s="72" t="n"/>
      <c r="I1196" s="72" t="n"/>
      <c r="J1196" s="72" t="n"/>
      <c r="K1196" s="72" t="n"/>
      <c r="L1196" s="72" t="n"/>
      <c r="M1196" s="72" t="n"/>
      <c r="N1196" s="72" t="n"/>
      <c r="O1196" s="72" t="n"/>
      <c r="P1196" s="72" t="n"/>
      <c r="Q1196" s="72" t="n"/>
      <c r="R1196" s="72" t="n"/>
      <c r="S1196" s="72" t="n"/>
    </row>
    <row r="1197">
      <c r="B1197" s="72" t="n"/>
      <c r="C1197" s="72" t="n"/>
      <c r="D1197" s="72" t="n"/>
      <c r="E1197" s="72" t="n"/>
      <c r="F1197" s="72" t="n"/>
      <c r="G1197" s="72" t="n"/>
      <c r="H1197" s="72" t="n"/>
      <c r="I1197" s="72" t="n"/>
      <c r="J1197" s="72" t="n"/>
      <c r="K1197" s="72" t="n"/>
      <c r="L1197" s="72" t="n"/>
      <c r="M1197" s="72" t="n"/>
      <c r="N1197" s="72" t="n"/>
      <c r="O1197" s="72" t="n"/>
      <c r="P1197" s="72" t="n"/>
      <c r="Q1197" s="72" t="n"/>
      <c r="R1197" s="72" t="n"/>
      <c r="S1197" s="72" t="n"/>
    </row>
    <row r="1198">
      <c r="B1198" s="72" t="n"/>
      <c r="C1198" s="72" t="n"/>
      <c r="D1198" s="72" t="n"/>
      <c r="E1198" s="72" t="n"/>
      <c r="F1198" s="72" t="n"/>
      <c r="G1198" s="72" t="n"/>
      <c r="H1198" s="72" t="n"/>
      <c r="I1198" s="72" t="n"/>
      <c r="J1198" s="72" t="n"/>
      <c r="K1198" s="72" t="n"/>
      <c r="L1198" s="72" t="n"/>
      <c r="M1198" s="72" t="n"/>
      <c r="N1198" s="72" t="n"/>
      <c r="O1198" s="72" t="n"/>
      <c r="P1198" s="72" t="n"/>
      <c r="Q1198" s="72" t="n"/>
      <c r="R1198" s="72" t="n"/>
      <c r="S1198" s="72" t="n"/>
    </row>
    <row r="1199">
      <c r="B1199" s="72" t="n"/>
      <c r="C1199" s="72" t="n"/>
      <c r="D1199" s="72" t="n"/>
      <c r="E1199" s="72" t="n"/>
      <c r="F1199" s="72" t="n"/>
      <c r="G1199" s="72" t="n"/>
      <c r="H1199" s="72" t="n"/>
      <c r="I1199" s="72" t="n"/>
      <c r="J1199" s="72" t="n"/>
      <c r="K1199" s="72" t="n"/>
      <c r="L1199" s="72" t="n"/>
      <c r="M1199" s="72" t="n"/>
      <c r="N1199" s="72" t="n"/>
      <c r="O1199" s="72" t="n"/>
      <c r="P1199" s="72" t="n"/>
      <c r="Q1199" s="72" t="n"/>
      <c r="R1199" s="72" t="n"/>
      <c r="S1199" s="72" t="n"/>
    </row>
    <row r="1200">
      <c r="B1200" s="72" t="n"/>
      <c r="C1200" s="72" t="n"/>
      <c r="D1200" s="72" t="n"/>
      <c r="E1200" s="72" t="n"/>
      <c r="F1200" s="72" t="n"/>
      <c r="G1200" s="72" t="n"/>
      <c r="H1200" s="72" t="n"/>
      <c r="I1200" s="72" t="n"/>
      <c r="J1200" s="72" t="n"/>
      <c r="K1200" s="72" t="n"/>
      <c r="L1200" s="72" t="n"/>
      <c r="M1200" s="72" t="n"/>
      <c r="N1200" s="72" t="n"/>
      <c r="O1200" s="72" t="n"/>
      <c r="P1200" s="72" t="n"/>
      <c r="Q1200" s="72" t="n"/>
      <c r="R1200" s="72" t="n"/>
      <c r="S1200" s="72" t="n"/>
    </row>
    <row r="1201">
      <c r="B1201" s="72" t="n"/>
      <c r="C1201" s="72" t="n"/>
      <c r="D1201" s="72" t="n"/>
      <c r="E1201" s="72" t="n"/>
      <c r="F1201" s="72" t="n"/>
      <c r="G1201" s="72" t="n"/>
      <c r="H1201" s="72" t="n"/>
      <c r="I1201" s="72" t="n"/>
      <c r="J1201" s="72" t="n"/>
      <c r="K1201" s="72" t="n"/>
      <c r="L1201" s="72" t="n"/>
      <c r="M1201" s="72" t="n"/>
      <c r="N1201" s="72" t="n"/>
      <c r="O1201" s="72" t="n"/>
      <c r="P1201" s="72" t="n"/>
      <c r="Q1201" s="72" t="n"/>
      <c r="R1201" s="72" t="n"/>
      <c r="S1201" s="72" t="n"/>
    </row>
    <row r="1202">
      <c r="B1202" s="72" t="n"/>
      <c r="C1202" s="72" t="n"/>
      <c r="D1202" s="72" t="n"/>
      <c r="E1202" s="72" t="n"/>
      <c r="F1202" s="72" t="n"/>
      <c r="G1202" s="72" t="n"/>
      <c r="H1202" s="72" t="n"/>
      <c r="I1202" s="72" t="n"/>
      <c r="J1202" s="72" t="n"/>
      <c r="K1202" s="72" t="n"/>
      <c r="L1202" s="72" t="n"/>
      <c r="M1202" s="72" t="n"/>
      <c r="N1202" s="72" t="n"/>
      <c r="O1202" s="72" t="n"/>
      <c r="P1202" s="72" t="n"/>
      <c r="Q1202" s="72" t="n"/>
      <c r="R1202" s="72" t="n"/>
      <c r="S1202" s="72" t="n"/>
    </row>
    <row r="1203">
      <c r="B1203" s="72" t="n"/>
      <c r="C1203" s="72" t="n"/>
      <c r="D1203" s="72" t="n"/>
      <c r="E1203" s="72" t="n"/>
      <c r="F1203" s="72" t="n"/>
      <c r="G1203" s="72" t="n"/>
      <c r="H1203" s="72" t="n"/>
      <c r="I1203" s="72" t="n"/>
      <c r="J1203" s="72" t="n"/>
      <c r="K1203" s="72" t="n"/>
      <c r="L1203" s="72" t="n"/>
      <c r="M1203" s="72" t="n"/>
      <c r="N1203" s="72" t="n"/>
      <c r="O1203" s="72" t="n"/>
      <c r="P1203" s="72" t="n"/>
      <c r="Q1203" s="72" t="n"/>
      <c r="R1203" s="72" t="n"/>
      <c r="S1203" s="72" t="n"/>
    </row>
    <row r="1204">
      <c r="B1204" s="72" t="n"/>
      <c r="C1204" s="72" t="n"/>
      <c r="D1204" s="72" t="n"/>
      <c r="E1204" s="72" t="n"/>
      <c r="F1204" s="72" t="n"/>
      <c r="G1204" s="72" t="n"/>
      <c r="H1204" s="72" t="n"/>
      <c r="I1204" s="72" t="n"/>
      <c r="J1204" s="72" t="n"/>
      <c r="K1204" s="72" t="n"/>
      <c r="L1204" s="72" t="n"/>
      <c r="M1204" s="72" t="n"/>
      <c r="N1204" s="72" t="n"/>
      <c r="O1204" s="72" t="n"/>
      <c r="P1204" s="72" t="n"/>
      <c r="Q1204" s="72" t="n"/>
      <c r="R1204" s="72" t="n"/>
      <c r="S1204" s="72" t="n"/>
    </row>
    <row r="1205">
      <c r="B1205" s="72" t="n"/>
      <c r="C1205" s="72" t="n"/>
      <c r="D1205" s="72" t="n"/>
      <c r="E1205" s="72" t="n"/>
      <c r="F1205" s="72" t="n"/>
      <c r="G1205" s="72" t="n"/>
      <c r="H1205" s="72" t="n"/>
      <c r="I1205" s="72" t="n"/>
      <c r="J1205" s="72" t="n"/>
      <c r="K1205" s="72" t="n"/>
      <c r="L1205" s="72" t="n"/>
      <c r="M1205" s="72" t="n"/>
      <c r="N1205" s="72" t="n"/>
      <c r="O1205" s="72" t="n"/>
      <c r="P1205" s="72" t="n"/>
      <c r="Q1205" s="72" t="n"/>
      <c r="R1205" s="72" t="n"/>
      <c r="S1205" s="72" t="n"/>
    </row>
    <row r="1206">
      <c r="B1206" s="72" t="n"/>
      <c r="C1206" s="72" t="n"/>
      <c r="D1206" s="72" t="n"/>
      <c r="E1206" s="72" t="n"/>
      <c r="F1206" s="72" t="n"/>
      <c r="G1206" s="72" t="n"/>
      <c r="H1206" s="72" t="n"/>
      <c r="I1206" s="72" t="n"/>
      <c r="J1206" s="72" t="n"/>
      <c r="K1206" s="72" t="n"/>
      <c r="L1206" s="72" t="n"/>
      <c r="M1206" s="72" t="n"/>
      <c r="N1206" s="72" t="n"/>
      <c r="O1206" s="72" t="n"/>
      <c r="P1206" s="72" t="n"/>
      <c r="Q1206" s="72" t="n"/>
      <c r="R1206" s="72" t="n"/>
      <c r="S1206" s="72" t="n"/>
    </row>
    <row r="1207">
      <c r="B1207" s="72" t="n"/>
      <c r="C1207" s="72" t="n"/>
      <c r="D1207" s="72" t="n"/>
      <c r="E1207" s="72" t="n"/>
      <c r="F1207" s="72" t="n"/>
      <c r="G1207" s="72" t="n"/>
      <c r="H1207" s="72" t="n"/>
      <c r="I1207" s="72" t="n"/>
      <c r="J1207" s="72" t="n"/>
      <c r="K1207" s="72" t="n"/>
      <c r="L1207" s="72" t="n"/>
      <c r="M1207" s="72" t="n"/>
      <c r="N1207" s="72" t="n"/>
      <c r="O1207" s="72" t="n"/>
      <c r="P1207" s="72" t="n"/>
      <c r="Q1207" s="72" t="n"/>
      <c r="R1207" s="72" t="n"/>
      <c r="S1207" s="72" t="n"/>
    </row>
    <row r="1208">
      <c r="B1208" s="72" t="n"/>
      <c r="C1208" s="72" t="n"/>
      <c r="D1208" s="72" t="n"/>
      <c r="E1208" s="72" t="n"/>
      <c r="F1208" s="72" t="n"/>
      <c r="G1208" s="72" t="n"/>
      <c r="H1208" s="72" t="n"/>
      <c r="I1208" s="72" t="n"/>
      <c r="J1208" s="72" t="n"/>
      <c r="K1208" s="72" t="n"/>
      <c r="L1208" s="72" t="n"/>
      <c r="M1208" s="72" t="n"/>
      <c r="N1208" s="72" t="n"/>
      <c r="O1208" s="72" t="n"/>
      <c r="P1208" s="72" t="n"/>
      <c r="Q1208" s="72" t="n"/>
      <c r="R1208" s="72" t="n"/>
      <c r="S1208" s="72" t="n"/>
    </row>
    <row r="1209">
      <c r="B1209" s="72" t="n"/>
      <c r="C1209" s="72" t="n"/>
      <c r="D1209" s="72" t="n"/>
      <c r="E1209" s="72" t="n"/>
      <c r="F1209" s="72" t="n"/>
      <c r="G1209" s="72" t="n"/>
      <c r="H1209" s="72" t="n"/>
      <c r="I1209" s="72" t="n"/>
      <c r="J1209" s="72" t="n"/>
      <c r="K1209" s="72" t="n"/>
      <c r="L1209" s="72" t="n"/>
      <c r="M1209" s="72" t="n"/>
      <c r="N1209" s="72" t="n"/>
      <c r="O1209" s="72" t="n"/>
      <c r="P1209" s="72" t="n"/>
      <c r="Q1209" s="72" t="n"/>
      <c r="R1209" s="72" t="n"/>
      <c r="S1209" s="72" t="n"/>
    </row>
    <row r="1210">
      <c r="B1210" s="72" t="n"/>
      <c r="C1210" s="72" t="n"/>
      <c r="D1210" s="72" t="n"/>
      <c r="E1210" s="72" t="n"/>
      <c r="F1210" s="72" t="n"/>
      <c r="G1210" s="72" t="n"/>
      <c r="H1210" s="72" t="n"/>
      <c r="I1210" s="72" t="n"/>
      <c r="J1210" s="72" t="n"/>
      <c r="K1210" s="72" t="n"/>
      <c r="L1210" s="72" t="n"/>
      <c r="M1210" s="72" t="n"/>
      <c r="N1210" s="72" t="n"/>
      <c r="O1210" s="72" t="n"/>
      <c r="P1210" s="72" t="n"/>
      <c r="Q1210" s="72" t="n"/>
      <c r="R1210" s="72" t="n"/>
      <c r="S1210" s="72" t="n"/>
    </row>
    <row r="1211">
      <c r="B1211" s="72" t="n"/>
      <c r="C1211" s="72" t="n"/>
      <c r="D1211" s="72" t="n"/>
      <c r="E1211" s="72" t="n"/>
      <c r="F1211" s="72" t="n"/>
      <c r="G1211" s="72" t="n"/>
      <c r="H1211" s="72" t="n"/>
      <c r="I1211" s="72" t="n"/>
      <c r="J1211" s="72" t="n"/>
      <c r="K1211" s="72" t="n"/>
      <c r="L1211" s="72" t="n"/>
      <c r="M1211" s="72" t="n"/>
      <c r="N1211" s="72" t="n"/>
      <c r="O1211" s="72" t="n"/>
      <c r="P1211" s="72" t="n"/>
      <c r="Q1211" s="72" t="n"/>
      <c r="R1211" s="72" t="n"/>
      <c r="S1211" s="72" t="n"/>
    </row>
    <row r="1212">
      <c r="B1212" s="72" t="n"/>
      <c r="C1212" s="72" t="n"/>
      <c r="D1212" s="72" t="n"/>
      <c r="E1212" s="72" t="n"/>
      <c r="F1212" s="72" t="n"/>
      <c r="G1212" s="72" t="n"/>
      <c r="H1212" s="72" t="n"/>
      <c r="I1212" s="72" t="n"/>
      <c r="J1212" s="72" t="n"/>
      <c r="K1212" s="72" t="n"/>
      <c r="L1212" s="72" t="n"/>
      <c r="M1212" s="72" t="n"/>
      <c r="N1212" s="72" t="n"/>
      <c r="O1212" s="72" t="n"/>
      <c r="P1212" s="72" t="n"/>
      <c r="Q1212" s="72" t="n"/>
      <c r="R1212" s="72" t="n"/>
      <c r="S1212" s="72" t="n"/>
    </row>
    <row r="1213">
      <c r="B1213" s="72" t="n"/>
      <c r="C1213" s="72" t="n"/>
      <c r="D1213" s="72" t="n"/>
      <c r="E1213" s="72" t="n"/>
      <c r="F1213" s="72" t="n"/>
      <c r="G1213" s="72" t="n"/>
      <c r="H1213" s="72" t="n"/>
      <c r="I1213" s="72" t="n"/>
      <c r="J1213" s="72" t="n"/>
      <c r="K1213" s="72" t="n"/>
      <c r="L1213" s="72" t="n"/>
      <c r="M1213" s="72" t="n"/>
      <c r="N1213" s="72" t="n"/>
      <c r="O1213" s="72" t="n"/>
      <c r="P1213" s="72" t="n"/>
      <c r="Q1213" s="72" t="n"/>
      <c r="R1213" s="72" t="n"/>
      <c r="S1213" s="72" t="n"/>
    </row>
    <row r="1214">
      <c r="B1214" s="72" t="n"/>
      <c r="C1214" s="72" t="n"/>
      <c r="D1214" s="72" t="n"/>
      <c r="E1214" s="72" t="n"/>
      <c r="F1214" s="72" t="n"/>
      <c r="G1214" s="72" t="n"/>
      <c r="H1214" s="72" t="n"/>
      <c r="I1214" s="72" t="n"/>
      <c r="J1214" s="72" t="n"/>
      <c r="K1214" s="72" t="n"/>
      <c r="L1214" s="72" t="n"/>
      <c r="M1214" s="72" t="n"/>
      <c r="N1214" s="72" t="n"/>
      <c r="O1214" s="72" t="n"/>
      <c r="P1214" s="72" t="n"/>
      <c r="Q1214" s="72" t="n"/>
      <c r="R1214" s="72" t="n"/>
      <c r="S1214" s="72" t="n"/>
    </row>
    <row r="1215">
      <c r="B1215" s="72" t="n"/>
      <c r="C1215" s="72" t="n"/>
      <c r="D1215" s="72" t="n"/>
      <c r="E1215" s="72" t="n"/>
      <c r="F1215" s="72" t="n"/>
      <c r="G1215" s="72" t="n"/>
      <c r="H1215" s="72" t="n"/>
      <c r="I1215" s="72" t="n"/>
      <c r="J1215" s="72" t="n"/>
      <c r="K1215" s="72" t="n"/>
      <c r="L1215" s="72" t="n"/>
      <c r="M1215" s="72" t="n"/>
      <c r="N1215" s="72" t="n"/>
      <c r="O1215" s="72" t="n"/>
      <c r="P1215" s="72" t="n"/>
      <c r="Q1215" s="72" t="n"/>
      <c r="R1215" s="72" t="n"/>
      <c r="S1215" s="72" t="n"/>
    </row>
    <row r="1216">
      <c r="B1216" s="72" t="n"/>
      <c r="C1216" s="72" t="n"/>
      <c r="D1216" s="72" t="n"/>
      <c r="E1216" s="72" t="n"/>
      <c r="F1216" s="72" t="n"/>
      <c r="G1216" s="72" t="n"/>
      <c r="H1216" s="72" t="n"/>
      <c r="I1216" s="72" t="n"/>
      <c r="J1216" s="72" t="n"/>
      <c r="K1216" s="72" t="n"/>
      <c r="L1216" s="72" t="n"/>
      <c r="M1216" s="72" t="n"/>
      <c r="N1216" s="72" t="n"/>
      <c r="O1216" s="72" t="n"/>
      <c r="P1216" s="72" t="n"/>
      <c r="Q1216" s="72" t="n"/>
      <c r="R1216" s="72" t="n"/>
      <c r="S1216" s="72" t="n"/>
    </row>
    <row r="1217">
      <c r="B1217" s="72" t="n"/>
      <c r="C1217" s="72" t="n"/>
      <c r="D1217" s="72" t="n"/>
      <c r="E1217" s="72" t="n"/>
      <c r="F1217" s="72" t="n"/>
      <c r="G1217" s="72" t="n"/>
      <c r="H1217" s="72" t="n"/>
      <c r="I1217" s="72" t="n"/>
      <c r="J1217" s="72" t="n"/>
      <c r="K1217" s="72" t="n"/>
      <c r="L1217" s="72" t="n"/>
      <c r="M1217" s="72" t="n"/>
      <c r="N1217" s="72" t="n"/>
      <c r="O1217" s="72" t="n"/>
      <c r="P1217" s="72" t="n"/>
      <c r="Q1217" s="72" t="n"/>
      <c r="R1217" s="72" t="n"/>
      <c r="S1217" s="72" t="n"/>
    </row>
    <row r="1218">
      <c r="B1218" s="72" t="n"/>
      <c r="C1218" s="72" t="n"/>
      <c r="D1218" s="72" t="n"/>
      <c r="E1218" s="72" t="n"/>
      <c r="F1218" s="72" t="n"/>
      <c r="G1218" s="72" t="n"/>
      <c r="H1218" s="72" t="n"/>
      <c r="I1218" s="72" t="n"/>
      <c r="J1218" s="72" t="n"/>
      <c r="K1218" s="72" t="n"/>
      <c r="L1218" s="72" t="n"/>
      <c r="M1218" s="72" t="n"/>
      <c r="N1218" s="72" t="n"/>
      <c r="O1218" s="72" t="n"/>
      <c r="P1218" s="72" t="n"/>
      <c r="Q1218" s="72" t="n"/>
      <c r="R1218" s="72" t="n"/>
      <c r="S1218" s="72" t="n"/>
    </row>
    <row r="1219">
      <c r="B1219" s="72" t="n"/>
      <c r="C1219" s="72" t="n"/>
      <c r="D1219" s="72" t="n"/>
      <c r="E1219" s="72" t="n"/>
      <c r="F1219" s="72" t="n"/>
      <c r="G1219" s="72" t="n"/>
      <c r="H1219" s="72" t="n"/>
      <c r="I1219" s="72" t="n"/>
      <c r="J1219" s="72" t="n"/>
      <c r="K1219" s="72" t="n"/>
      <c r="L1219" s="72" t="n"/>
      <c r="M1219" s="72" t="n"/>
      <c r="N1219" s="72" t="n"/>
      <c r="O1219" s="72" t="n"/>
      <c r="P1219" s="72" t="n"/>
      <c r="Q1219" s="72" t="n"/>
      <c r="R1219" s="72" t="n"/>
      <c r="S1219" s="72" t="n"/>
    </row>
    <row r="1220">
      <c r="B1220" s="72" t="n"/>
      <c r="C1220" s="72" t="n"/>
      <c r="D1220" s="72" t="n"/>
      <c r="E1220" s="72" t="n"/>
      <c r="F1220" s="72" t="n"/>
      <c r="G1220" s="72" t="n"/>
      <c r="H1220" s="72" t="n"/>
      <c r="I1220" s="72" t="n"/>
      <c r="J1220" s="72" t="n"/>
      <c r="K1220" s="72" t="n"/>
      <c r="L1220" s="72" t="n"/>
      <c r="M1220" s="72" t="n"/>
      <c r="N1220" s="72" t="n"/>
      <c r="O1220" s="72" t="n"/>
      <c r="P1220" s="72" t="n"/>
      <c r="Q1220" s="72" t="n"/>
      <c r="R1220" s="72" t="n"/>
      <c r="S1220" s="72" t="n"/>
    </row>
    <row r="1221">
      <c r="B1221" s="72" t="n"/>
      <c r="C1221" s="72" t="n"/>
      <c r="D1221" s="72" t="n"/>
      <c r="E1221" s="72" t="n"/>
      <c r="F1221" s="72" t="n"/>
      <c r="G1221" s="72" t="n"/>
      <c r="H1221" s="72" t="n"/>
      <c r="I1221" s="72" t="n"/>
      <c r="J1221" s="72" t="n"/>
      <c r="K1221" s="72" t="n"/>
      <c r="L1221" s="72" t="n"/>
      <c r="M1221" s="72" t="n"/>
      <c r="N1221" s="72" t="n"/>
      <c r="O1221" s="72" t="n"/>
      <c r="P1221" s="72" t="n"/>
      <c r="Q1221" s="72" t="n"/>
      <c r="R1221" s="72" t="n"/>
      <c r="S1221" s="72" t="n"/>
    </row>
    <row r="1222">
      <c r="B1222" s="72" t="n"/>
      <c r="C1222" s="72" t="n"/>
      <c r="D1222" s="72" t="n"/>
      <c r="E1222" s="72" t="n"/>
      <c r="F1222" s="72" t="n"/>
      <c r="G1222" s="72" t="n"/>
      <c r="H1222" s="72" t="n"/>
      <c r="I1222" s="72" t="n"/>
      <c r="J1222" s="72" t="n"/>
      <c r="K1222" s="72" t="n"/>
      <c r="L1222" s="72" t="n"/>
      <c r="M1222" s="72" t="n"/>
      <c r="N1222" s="72" t="n"/>
      <c r="O1222" s="72" t="n"/>
      <c r="P1222" s="72" t="n"/>
      <c r="Q1222" s="72" t="n"/>
      <c r="R1222" s="72" t="n"/>
      <c r="S1222" s="72" t="n"/>
    </row>
    <row r="1223">
      <c r="B1223" s="72" t="n"/>
      <c r="C1223" s="72" t="n"/>
      <c r="D1223" s="72" t="n"/>
      <c r="E1223" s="72" t="n"/>
      <c r="F1223" s="72" t="n"/>
      <c r="G1223" s="72" t="n"/>
      <c r="H1223" s="72" t="n"/>
      <c r="I1223" s="72" t="n"/>
      <c r="J1223" s="72" t="n"/>
      <c r="K1223" s="72" t="n"/>
      <c r="L1223" s="72" t="n"/>
      <c r="M1223" s="72" t="n"/>
      <c r="N1223" s="72" t="n"/>
      <c r="O1223" s="72" t="n"/>
      <c r="P1223" s="72" t="n"/>
      <c r="Q1223" s="72" t="n"/>
      <c r="R1223" s="72" t="n"/>
      <c r="S1223" s="72" t="n"/>
    </row>
    <row r="1224">
      <c r="B1224" s="72" t="n"/>
      <c r="C1224" s="72" t="n"/>
      <c r="D1224" s="72" t="n"/>
      <c r="E1224" s="72" t="n"/>
      <c r="F1224" s="72" t="n"/>
      <c r="G1224" s="72" t="n"/>
      <c r="H1224" s="72" t="n"/>
      <c r="I1224" s="72" t="n"/>
      <c r="J1224" s="72" t="n"/>
      <c r="K1224" s="72" t="n"/>
      <c r="L1224" s="72" t="n"/>
      <c r="M1224" s="72" t="n"/>
      <c r="N1224" s="72" t="n"/>
      <c r="O1224" s="72" t="n"/>
      <c r="P1224" s="72" t="n"/>
      <c r="Q1224" s="72" t="n"/>
      <c r="R1224" s="72" t="n"/>
      <c r="S1224" s="72" t="n"/>
    </row>
    <row r="1225">
      <c r="B1225" s="72" t="n"/>
      <c r="C1225" s="72" t="n"/>
      <c r="D1225" s="72" t="n"/>
      <c r="E1225" s="72" t="n"/>
      <c r="F1225" s="72" t="n"/>
      <c r="G1225" s="72" t="n"/>
      <c r="H1225" s="72" t="n"/>
      <c r="I1225" s="72" t="n"/>
      <c r="J1225" s="72" t="n"/>
      <c r="K1225" s="72" t="n"/>
      <c r="L1225" s="72" t="n"/>
      <c r="M1225" s="72" t="n"/>
      <c r="N1225" s="72" t="n"/>
      <c r="O1225" s="72" t="n"/>
      <c r="P1225" s="72" t="n"/>
      <c r="Q1225" s="72" t="n"/>
      <c r="R1225" s="72" t="n"/>
      <c r="S1225" s="72" t="n"/>
    </row>
    <row r="1226">
      <c r="B1226" s="72" t="n"/>
      <c r="C1226" s="72" t="n"/>
      <c r="D1226" s="72" t="n"/>
      <c r="E1226" s="72" t="n"/>
      <c r="F1226" s="72" t="n"/>
      <c r="G1226" s="72" t="n"/>
      <c r="H1226" s="72" t="n"/>
      <c r="I1226" s="72" t="n"/>
      <c r="J1226" s="72" t="n"/>
      <c r="K1226" s="72" t="n"/>
      <c r="L1226" s="72" t="n"/>
      <c r="M1226" s="72" t="n"/>
      <c r="N1226" s="72" t="n"/>
      <c r="O1226" s="72" t="n"/>
      <c r="P1226" s="72" t="n"/>
      <c r="Q1226" s="72" t="n"/>
      <c r="R1226" s="72" t="n"/>
      <c r="S1226" s="72" t="n"/>
    </row>
    <row r="1227">
      <c r="B1227" s="72" t="n"/>
      <c r="C1227" s="72" t="n"/>
      <c r="D1227" s="72" t="n"/>
      <c r="E1227" s="72" t="n"/>
      <c r="F1227" s="72" t="n"/>
      <c r="G1227" s="72" t="n"/>
      <c r="H1227" s="72" t="n"/>
      <c r="I1227" s="72" t="n"/>
      <c r="J1227" s="72" t="n"/>
      <c r="K1227" s="72" t="n"/>
      <c r="L1227" s="72" t="n"/>
      <c r="M1227" s="72" t="n"/>
      <c r="N1227" s="72" t="n"/>
      <c r="O1227" s="72" t="n"/>
      <c r="P1227" s="72" t="n"/>
      <c r="Q1227" s="72" t="n"/>
      <c r="R1227" s="72" t="n"/>
      <c r="S1227" s="72" t="n"/>
    </row>
    <row r="1228">
      <c r="B1228" s="72" t="n"/>
      <c r="C1228" s="72" t="n"/>
      <c r="D1228" s="72" t="n"/>
      <c r="E1228" s="72" t="n"/>
      <c r="F1228" s="72" t="n"/>
      <c r="G1228" s="72" t="n"/>
      <c r="H1228" s="72" t="n"/>
      <c r="I1228" s="72" t="n"/>
      <c r="J1228" s="72" t="n"/>
      <c r="K1228" s="72" t="n"/>
      <c r="L1228" s="72" t="n"/>
      <c r="M1228" s="72" t="n"/>
      <c r="N1228" s="72" t="n"/>
      <c r="O1228" s="72" t="n"/>
      <c r="P1228" s="72" t="n"/>
      <c r="Q1228" s="72" t="n"/>
      <c r="R1228" s="72" t="n"/>
      <c r="S1228" s="72" t="n"/>
    </row>
    <row r="1229">
      <c r="B1229" s="72" t="n"/>
      <c r="C1229" s="72" t="n"/>
      <c r="D1229" s="72" t="n"/>
      <c r="E1229" s="72" t="n"/>
      <c r="F1229" s="72" t="n"/>
      <c r="G1229" s="72" t="n"/>
      <c r="H1229" s="72" t="n"/>
      <c r="I1229" s="72" t="n"/>
      <c r="J1229" s="72" t="n"/>
      <c r="K1229" s="72" t="n"/>
      <c r="L1229" s="72" t="n"/>
      <c r="M1229" s="72" t="n"/>
      <c r="N1229" s="72" t="n"/>
      <c r="O1229" s="72" t="n"/>
      <c r="P1229" s="72" t="n"/>
      <c r="Q1229" s="72" t="n"/>
      <c r="R1229" s="72" t="n"/>
      <c r="S1229" s="72" t="n"/>
    </row>
    <row r="1230">
      <c r="B1230" s="72" t="n"/>
      <c r="C1230" s="72" t="n"/>
      <c r="D1230" s="72" t="n"/>
      <c r="E1230" s="72" t="n"/>
      <c r="F1230" s="72" t="n"/>
      <c r="G1230" s="72" t="n"/>
      <c r="H1230" s="72" t="n"/>
      <c r="I1230" s="72" t="n"/>
      <c r="J1230" s="72" t="n"/>
      <c r="K1230" s="72" t="n"/>
      <c r="L1230" s="72" t="n"/>
      <c r="M1230" s="72" t="n"/>
      <c r="N1230" s="72" t="n"/>
      <c r="O1230" s="72" t="n"/>
      <c r="P1230" s="72" t="n"/>
      <c r="Q1230" s="72" t="n"/>
      <c r="R1230" s="72" t="n"/>
      <c r="S1230" s="72" t="n"/>
    </row>
    <row r="1231">
      <c r="B1231" s="72" t="n"/>
      <c r="C1231" s="72" t="n"/>
      <c r="D1231" s="72" t="n"/>
      <c r="E1231" s="72" t="n"/>
      <c r="F1231" s="72" t="n"/>
      <c r="G1231" s="72" t="n"/>
      <c r="H1231" s="72" t="n"/>
      <c r="I1231" s="72" t="n"/>
      <c r="J1231" s="72" t="n"/>
      <c r="K1231" s="72" t="n"/>
      <c r="L1231" s="72" t="n"/>
      <c r="M1231" s="72" t="n"/>
      <c r="N1231" s="72" t="n"/>
      <c r="O1231" s="72" t="n"/>
      <c r="P1231" s="72" t="n"/>
      <c r="Q1231" s="72" t="n"/>
      <c r="R1231" s="72" t="n"/>
      <c r="S1231" s="72" t="n"/>
    </row>
    <row r="1232">
      <c r="B1232" s="72" t="n"/>
      <c r="C1232" s="72" t="n"/>
      <c r="D1232" s="72" t="n"/>
      <c r="E1232" s="72" t="n"/>
      <c r="F1232" s="72" t="n"/>
      <c r="G1232" s="72" t="n"/>
      <c r="H1232" s="72" t="n"/>
      <c r="I1232" s="72" t="n"/>
      <c r="J1232" s="72" t="n"/>
      <c r="K1232" s="72" t="n"/>
      <c r="L1232" s="72" t="n"/>
      <c r="M1232" s="72" t="n"/>
      <c r="N1232" s="72" t="n"/>
      <c r="O1232" s="72" t="n"/>
      <c r="P1232" s="72" t="n"/>
      <c r="Q1232" s="72" t="n"/>
      <c r="R1232" s="72" t="n"/>
      <c r="S1232" s="72" t="n"/>
    </row>
    <row r="1233">
      <c r="B1233" s="72" t="n"/>
      <c r="C1233" s="72" t="n"/>
      <c r="D1233" s="72" t="n"/>
      <c r="E1233" s="72" t="n"/>
      <c r="F1233" s="72" t="n"/>
      <c r="G1233" s="72" t="n"/>
      <c r="H1233" s="72" t="n"/>
      <c r="I1233" s="72" t="n"/>
      <c r="J1233" s="72" t="n"/>
      <c r="K1233" s="72" t="n"/>
      <c r="L1233" s="72" t="n"/>
      <c r="M1233" s="72" t="n"/>
      <c r="N1233" s="72" t="n"/>
      <c r="O1233" s="72" t="n"/>
      <c r="P1233" s="72" t="n"/>
      <c r="Q1233" s="72" t="n"/>
      <c r="R1233" s="72" t="n"/>
      <c r="S1233" s="72" t="n"/>
    </row>
    <row r="1234">
      <c r="B1234" s="72" t="n"/>
      <c r="C1234" s="72" t="n"/>
      <c r="D1234" s="72" t="n"/>
      <c r="E1234" s="72" t="n"/>
      <c r="F1234" s="72" t="n"/>
      <c r="G1234" s="72" t="n"/>
      <c r="H1234" s="72" t="n"/>
      <c r="I1234" s="72" t="n"/>
      <c r="J1234" s="72" t="n"/>
      <c r="K1234" s="72" t="n"/>
      <c r="L1234" s="72" t="n"/>
      <c r="M1234" s="72" t="n"/>
      <c r="N1234" s="72" t="n"/>
      <c r="O1234" s="72" t="n"/>
      <c r="P1234" s="72" t="n"/>
      <c r="Q1234" s="72" t="n"/>
      <c r="R1234" s="72" t="n"/>
      <c r="S1234" s="72" t="n"/>
    </row>
    <row r="1235">
      <c r="B1235" s="72" t="n"/>
      <c r="C1235" s="72" t="n"/>
      <c r="D1235" s="72" t="n"/>
      <c r="E1235" s="72" t="n"/>
      <c r="F1235" s="72" t="n"/>
      <c r="G1235" s="72" t="n"/>
      <c r="H1235" s="72" t="n"/>
      <c r="I1235" s="72" t="n"/>
      <c r="J1235" s="72" t="n"/>
      <c r="K1235" s="72" t="n"/>
      <c r="L1235" s="72" t="n"/>
      <c r="M1235" s="72" t="n"/>
      <c r="N1235" s="72" t="n"/>
      <c r="O1235" s="72" t="n"/>
      <c r="P1235" s="72" t="n"/>
      <c r="Q1235" s="72" t="n"/>
      <c r="R1235" s="72" t="n"/>
      <c r="S1235" s="72" t="n"/>
    </row>
    <row r="1236">
      <c r="B1236" s="72" t="n"/>
      <c r="C1236" s="72" t="n"/>
      <c r="D1236" s="72" t="n"/>
      <c r="E1236" s="72" t="n"/>
      <c r="F1236" s="72" t="n"/>
      <c r="G1236" s="72" t="n"/>
      <c r="H1236" s="72" t="n"/>
      <c r="I1236" s="72" t="n"/>
      <c r="J1236" s="72" t="n"/>
      <c r="K1236" s="72" t="n"/>
      <c r="L1236" s="72" t="n"/>
      <c r="M1236" s="72" t="n"/>
      <c r="N1236" s="72" t="n"/>
      <c r="O1236" s="72" t="n"/>
      <c r="P1236" s="72" t="n"/>
      <c r="Q1236" s="72" t="n"/>
      <c r="R1236" s="72" t="n"/>
      <c r="S1236" s="72" t="n"/>
    </row>
    <row r="1237">
      <c r="B1237" s="72" t="n"/>
      <c r="C1237" s="72" t="n"/>
      <c r="D1237" s="72" t="n"/>
      <c r="E1237" s="72" t="n"/>
      <c r="F1237" s="72" t="n"/>
      <c r="G1237" s="72" t="n"/>
      <c r="H1237" s="72" t="n"/>
      <c r="I1237" s="72" t="n"/>
      <c r="J1237" s="72" t="n"/>
      <c r="K1237" s="72" t="n"/>
      <c r="L1237" s="72" t="n"/>
      <c r="M1237" s="72" t="n"/>
      <c r="N1237" s="72" t="n"/>
      <c r="O1237" s="72" t="n"/>
      <c r="P1237" s="72" t="n"/>
      <c r="Q1237" s="72" t="n"/>
      <c r="R1237" s="72" t="n"/>
      <c r="S1237" s="72" t="n"/>
    </row>
    <row r="1238">
      <c r="B1238" s="72" t="n"/>
      <c r="C1238" s="72" t="n"/>
      <c r="D1238" s="72" t="n"/>
      <c r="E1238" s="72" t="n"/>
      <c r="F1238" s="72" t="n"/>
      <c r="G1238" s="72" t="n"/>
      <c r="H1238" s="72" t="n"/>
      <c r="I1238" s="72" t="n"/>
      <c r="J1238" s="72" t="n"/>
      <c r="K1238" s="72" t="n"/>
      <c r="L1238" s="72" t="n"/>
      <c r="M1238" s="72" t="n"/>
      <c r="N1238" s="72" t="n"/>
      <c r="O1238" s="72" t="n"/>
      <c r="P1238" s="72" t="n"/>
      <c r="Q1238" s="72" t="n"/>
      <c r="R1238" s="72" t="n"/>
      <c r="S1238" s="72" t="n"/>
    </row>
    <row r="1239">
      <c r="B1239" s="72" t="n"/>
      <c r="C1239" s="72" t="n"/>
      <c r="D1239" s="72" t="n"/>
      <c r="E1239" s="72" t="n"/>
      <c r="F1239" s="72" t="n"/>
      <c r="G1239" s="72" t="n"/>
      <c r="H1239" s="72" t="n"/>
      <c r="I1239" s="72" t="n"/>
      <c r="J1239" s="72" t="n"/>
      <c r="K1239" s="72" t="n"/>
      <c r="L1239" s="72" t="n"/>
      <c r="M1239" s="72" t="n"/>
      <c r="N1239" s="72" t="n"/>
      <c r="O1239" s="72" t="n"/>
      <c r="P1239" s="72" t="n"/>
      <c r="Q1239" s="72" t="n"/>
      <c r="R1239" s="72" t="n"/>
      <c r="S1239" s="72" t="n"/>
    </row>
    <row r="1240">
      <c r="B1240" s="72" t="n"/>
      <c r="C1240" s="72" t="n"/>
      <c r="D1240" s="72" t="n"/>
      <c r="E1240" s="72" t="n"/>
      <c r="F1240" s="72" t="n"/>
      <c r="G1240" s="72" t="n"/>
      <c r="H1240" s="72" t="n"/>
      <c r="I1240" s="72" t="n"/>
      <c r="J1240" s="72" t="n"/>
      <c r="K1240" s="72" t="n"/>
      <c r="L1240" s="72" t="n"/>
      <c r="M1240" s="72" t="n"/>
      <c r="N1240" s="72" t="n"/>
      <c r="O1240" s="72" t="n"/>
      <c r="P1240" s="72" t="n"/>
      <c r="Q1240" s="72" t="n"/>
      <c r="R1240" s="72" t="n"/>
      <c r="S1240" s="72" t="n"/>
    </row>
    <row r="1241">
      <c r="B1241" s="72" t="n"/>
      <c r="C1241" s="72" t="n"/>
      <c r="D1241" s="72" t="n"/>
      <c r="E1241" s="72" t="n"/>
      <c r="F1241" s="72" t="n"/>
      <c r="G1241" s="72" t="n"/>
      <c r="H1241" s="72" t="n"/>
      <c r="I1241" s="72" t="n"/>
      <c r="J1241" s="72" t="n"/>
      <c r="K1241" s="72" t="n"/>
      <c r="L1241" s="72" t="n"/>
      <c r="M1241" s="72" t="n"/>
      <c r="N1241" s="72" t="n"/>
      <c r="O1241" s="72" t="n"/>
      <c r="P1241" s="72" t="n"/>
      <c r="Q1241" s="72" t="n"/>
      <c r="R1241" s="72" t="n"/>
      <c r="S1241" s="72" t="n"/>
    </row>
    <row r="1242">
      <c r="B1242" s="72" t="n"/>
      <c r="C1242" s="72" t="n"/>
      <c r="D1242" s="72" t="n"/>
      <c r="E1242" s="72" t="n"/>
      <c r="F1242" s="72" t="n"/>
      <c r="G1242" s="72" t="n"/>
      <c r="H1242" s="72" t="n"/>
      <c r="I1242" s="72" t="n"/>
      <c r="J1242" s="72" t="n"/>
      <c r="K1242" s="72" t="n"/>
      <c r="L1242" s="72" t="n"/>
      <c r="M1242" s="72" t="n"/>
      <c r="N1242" s="72" t="n"/>
      <c r="O1242" s="72" t="n"/>
      <c r="P1242" s="72" t="n"/>
      <c r="Q1242" s="72" t="n"/>
      <c r="R1242" s="72" t="n"/>
      <c r="S1242" s="72" t="n"/>
    </row>
    <row r="1243">
      <c r="B1243" s="72" t="n"/>
      <c r="C1243" s="72" t="n"/>
      <c r="D1243" s="72" t="n"/>
      <c r="E1243" s="72" t="n"/>
      <c r="F1243" s="72" t="n"/>
      <c r="G1243" s="72" t="n"/>
      <c r="H1243" s="72" t="n"/>
      <c r="I1243" s="72" t="n"/>
      <c r="J1243" s="72" t="n"/>
      <c r="K1243" s="72" t="n"/>
      <c r="L1243" s="72" t="n"/>
      <c r="M1243" s="72" t="n"/>
      <c r="N1243" s="72" t="n"/>
      <c r="O1243" s="72" t="n"/>
      <c r="P1243" s="72" t="n"/>
      <c r="Q1243" s="72" t="n"/>
      <c r="R1243" s="72" t="n"/>
      <c r="S1243" s="72" t="n"/>
    </row>
    <row r="1244">
      <c r="B1244" s="72" t="n"/>
      <c r="C1244" s="72" t="n"/>
      <c r="D1244" s="72" t="n"/>
      <c r="E1244" s="72" t="n"/>
      <c r="F1244" s="72" t="n"/>
      <c r="G1244" s="72" t="n"/>
      <c r="H1244" s="72" t="n"/>
      <c r="I1244" s="72" t="n"/>
      <c r="J1244" s="72" t="n"/>
      <c r="K1244" s="72" t="n"/>
      <c r="L1244" s="72" t="n"/>
      <c r="M1244" s="72" t="n"/>
      <c r="N1244" s="72" t="n"/>
      <c r="O1244" s="72" t="n"/>
      <c r="P1244" s="72" t="n"/>
      <c r="Q1244" s="72" t="n"/>
      <c r="R1244" s="72" t="n"/>
      <c r="S1244" s="72" t="n"/>
    </row>
    <row r="1245">
      <c r="B1245" s="72" t="n"/>
      <c r="C1245" s="72" t="n"/>
      <c r="D1245" s="72" t="n"/>
      <c r="E1245" s="72" t="n"/>
      <c r="F1245" s="72" t="n"/>
      <c r="G1245" s="72" t="n"/>
      <c r="H1245" s="72" t="n"/>
      <c r="I1245" s="72" t="n"/>
      <c r="J1245" s="72" t="n"/>
      <c r="K1245" s="72" t="n"/>
      <c r="L1245" s="72" t="n"/>
      <c r="M1245" s="72" t="n"/>
      <c r="N1245" s="72" t="n"/>
      <c r="O1245" s="72" t="n"/>
      <c r="P1245" s="72" t="n"/>
      <c r="Q1245" s="72" t="n"/>
      <c r="R1245" s="72" t="n"/>
      <c r="S1245" s="72" t="n"/>
    </row>
    <row r="1246">
      <c r="B1246" s="72" t="n"/>
      <c r="C1246" s="72" t="n"/>
      <c r="D1246" s="72" t="n"/>
      <c r="E1246" s="72" t="n"/>
      <c r="F1246" s="72" t="n"/>
      <c r="G1246" s="72" t="n"/>
      <c r="H1246" s="72" t="n"/>
      <c r="I1246" s="72" t="n"/>
      <c r="J1246" s="72" t="n"/>
      <c r="K1246" s="72" t="n"/>
      <c r="L1246" s="72" t="n"/>
      <c r="M1246" s="72" t="n"/>
      <c r="N1246" s="72" t="n"/>
      <c r="O1246" s="72" t="n"/>
      <c r="P1246" s="72" t="n"/>
      <c r="Q1246" s="72" t="n"/>
      <c r="R1246" s="72" t="n"/>
      <c r="S1246" s="72" t="n"/>
    </row>
    <row r="1247">
      <c r="B1247" s="72" t="n"/>
      <c r="C1247" s="72" t="n"/>
      <c r="D1247" s="72" t="n"/>
      <c r="E1247" s="72" t="n"/>
      <c r="F1247" s="72" t="n"/>
      <c r="G1247" s="72" t="n"/>
      <c r="H1247" s="72" t="n"/>
      <c r="I1247" s="72" t="n"/>
      <c r="J1247" s="72" t="n"/>
      <c r="K1247" s="72" t="n"/>
      <c r="L1247" s="72" t="n"/>
      <c r="M1247" s="72" t="n"/>
      <c r="N1247" s="72" t="n"/>
      <c r="O1247" s="72" t="n"/>
      <c r="P1247" s="72" t="n"/>
      <c r="Q1247" s="72" t="n"/>
      <c r="R1247" s="72" t="n"/>
      <c r="S1247" s="72" t="n"/>
    </row>
    <row r="1248">
      <c r="B1248" s="72" t="n"/>
      <c r="C1248" s="72" t="n"/>
      <c r="D1248" s="72" t="n"/>
      <c r="E1248" s="72" t="n"/>
      <c r="F1248" s="72" t="n"/>
      <c r="G1248" s="72" t="n"/>
      <c r="H1248" s="72" t="n"/>
      <c r="I1248" s="72" t="n"/>
      <c r="J1248" s="72" t="n"/>
      <c r="K1248" s="72" t="n"/>
      <c r="L1248" s="72" t="n"/>
      <c r="M1248" s="72" t="n"/>
      <c r="N1248" s="72" t="n"/>
      <c r="O1248" s="72" t="n"/>
      <c r="P1248" s="72" t="n"/>
      <c r="Q1248" s="72" t="n"/>
      <c r="R1248" s="72" t="n"/>
      <c r="S1248" s="72" t="n"/>
    </row>
    <row r="1249">
      <c r="B1249" s="72" t="n"/>
      <c r="C1249" s="72" t="n"/>
      <c r="D1249" s="72" t="n"/>
      <c r="E1249" s="72" t="n"/>
      <c r="F1249" s="72" t="n"/>
      <c r="G1249" s="72" t="n"/>
      <c r="H1249" s="72" t="n"/>
      <c r="I1249" s="72" t="n"/>
      <c r="J1249" s="72" t="n"/>
      <c r="K1249" s="72" t="n"/>
      <c r="L1249" s="72" t="n"/>
      <c r="M1249" s="72" t="n"/>
      <c r="N1249" s="72" t="n"/>
      <c r="O1249" s="72" t="n"/>
      <c r="P1249" s="72" t="n"/>
      <c r="Q1249" s="72" t="n"/>
      <c r="R1249" s="72" t="n"/>
      <c r="S1249" s="72" t="n"/>
    </row>
    <row r="1250">
      <c r="B1250" s="72" t="n"/>
      <c r="C1250" s="72" t="n"/>
      <c r="D1250" s="72" t="n"/>
      <c r="E1250" s="72" t="n"/>
      <c r="F1250" s="72" t="n"/>
      <c r="G1250" s="72" t="n"/>
      <c r="H1250" s="72" t="n"/>
      <c r="I1250" s="72" t="n"/>
      <c r="J1250" s="72" t="n"/>
      <c r="K1250" s="72" t="n"/>
      <c r="L1250" s="72" t="n"/>
      <c r="M1250" s="72" t="n"/>
      <c r="N1250" s="72" t="n"/>
      <c r="O1250" s="72" t="n"/>
      <c r="P1250" s="72" t="n"/>
      <c r="Q1250" s="72" t="n"/>
      <c r="R1250" s="72" t="n"/>
      <c r="S1250" s="72" t="n"/>
    </row>
    <row r="1251">
      <c r="B1251" s="72" t="n"/>
      <c r="C1251" s="72" t="n"/>
      <c r="D1251" s="72" t="n"/>
      <c r="E1251" s="72" t="n"/>
      <c r="F1251" s="72" t="n"/>
      <c r="G1251" s="72" t="n"/>
      <c r="H1251" s="72" t="n"/>
      <c r="I1251" s="72" t="n"/>
      <c r="J1251" s="72" t="n"/>
      <c r="K1251" s="72" t="n"/>
      <c r="L1251" s="72" t="n"/>
      <c r="M1251" s="72" t="n"/>
      <c r="N1251" s="72" t="n"/>
      <c r="O1251" s="72" t="n"/>
      <c r="P1251" s="72" t="n"/>
      <c r="Q1251" s="72" t="n"/>
      <c r="R1251" s="72" t="n"/>
      <c r="S1251" s="72" t="n"/>
    </row>
    <row r="1252">
      <c r="B1252" s="72" t="n"/>
      <c r="C1252" s="72" t="n"/>
      <c r="D1252" s="72" t="n"/>
      <c r="E1252" s="72" t="n"/>
      <c r="F1252" s="72" t="n"/>
      <c r="G1252" s="72" t="n"/>
      <c r="H1252" s="72" t="n"/>
      <c r="I1252" s="72" t="n"/>
      <c r="J1252" s="72" t="n"/>
      <c r="K1252" s="72" t="n"/>
      <c r="L1252" s="72" t="n"/>
      <c r="M1252" s="72" t="n"/>
      <c r="N1252" s="72" t="n"/>
      <c r="O1252" s="72" t="n"/>
      <c r="P1252" s="72" t="n"/>
      <c r="Q1252" s="72" t="n"/>
      <c r="R1252" s="72" t="n"/>
      <c r="S1252" s="72" t="n"/>
    </row>
    <row r="1253">
      <c r="B1253" s="72" t="n"/>
      <c r="C1253" s="72" t="n"/>
      <c r="D1253" s="72" t="n"/>
      <c r="E1253" s="72" t="n"/>
      <c r="F1253" s="72" t="n"/>
      <c r="G1253" s="72" t="n"/>
      <c r="H1253" s="72" t="n"/>
      <c r="I1253" s="72" t="n"/>
      <c r="J1253" s="72" t="n"/>
      <c r="K1253" s="72" t="n"/>
      <c r="L1253" s="72" t="n"/>
      <c r="M1253" s="72" t="n"/>
      <c r="N1253" s="72" t="n"/>
      <c r="O1253" s="72" t="n"/>
      <c r="P1253" s="72" t="n"/>
      <c r="Q1253" s="72" t="n"/>
      <c r="R1253" s="72" t="n"/>
      <c r="S1253" s="72" t="n"/>
    </row>
    <row r="1254">
      <c r="B1254" s="72" t="n"/>
      <c r="C1254" s="72" t="n"/>
      <c r="D1254" s="72" t="n"/>
      <c r="E1254" s="72" t="n"/>
      <c r="F1254" s="72" t="n"/>
      <c r="G1254" s="72" t="n"/>
      <c r="H1254" s="72" t="n"/>
      <c r="I1254" s="72" t="n"/>
      <c r="J1254" s="72" t="n"/>
      <c r="K1254" s="72" t="n"/>
      <c r="L1254" s="72" t="n"/>
      <c r="M1254" s="72" t="n"/>
      <c r="N1254" s="72" t="n"/>
      <c r="O1254" s="72" t="n"/>
      <c r="P1254" s="72" t="n"/>
      <c r="Q1254" s="72" t="n"/>
      <c r="R1254" s="72" t="n"/>
      <c r="S1254" s="72" t="n"/>
    </row>
    <row r="1255">
      <c r="B1255" s="72" t="n"/>
      <c r="C1255" s="72" t="n"/>
      <c r="D1255" s="72" t="n"/>
      <c r="E1255" s="72" t="n"/>
      <c r="F1255" s="72" t="n"/>
      <c r="G1255" s="72" t="n"/>
      <c r="H1255" s="72" t="n"/>
      <c r="I1255" s="72" t="n"/>
      <c r="J1255" s="72" t="n"/>
      <c r="K1255" s="72" t="n"/>
      <c r="L1255" s="72" t="n"/>
      <c r="M1255" s="72" t="n"/>
      <c r="N1255" s="72" t="n"/>
      <c r="O1255" s="72" t="n"/>
      <c r="P1255" s="72" t="n"/>
      <c r="Q1255" s="72" t="n"/>
      <c r="R1255" s="72" t="n"/>
      <c r="S1255" s="72" t="n"/>
    </row>
    <row r="1256">
      <c r="B1256" s="72" t="n"/>
      <c r="C1256" s="72" t="n"/>
      <c r="D1256" s="72" t="n"/>
      <c r="E1256" s="72" t="n"/>
      <c r="F1256" s="72" t="n"/>
      <c r="G1256" s="72" t="n"/>
      <c r="H1256" s="72" t="n"/>
      <c r="I1256" s="72" t="n"/>
      <c r="J1256" s="72" t="n"/>
      <c r="K1256" s="72" t="n"/>
      <c r="L1256" s="72" t="n"/>
      <c r="M1256" s="72" t="n"/>
      <c r="N1256" s="72" t="n"/>
      <c r="O1256" s="72" t="n"/>
      <c r="P1256" s="72" t="n"/>
      <c r="Q1256" s="72" t="n"/>
      <c r="R1256" s="72" t="n"/>
      <c r="S1256" s="72" t="n"/>
    </row>
    <row r="1257">
      <c r="B1257" s="72" t="n"/>
      <c r="C1257" s="72" t="n"/>
      <c r="D1257" s="72" t="n"/>
      <c r="E1257" s="72" t="n"/>
      <c r="F1257" s="72" t="n"/>
      <c r="G1257" s="72" t="n"/>
      <c r="H1257" s="72" t="n"/>
      <c r="I1257" s="72" t="n"/>
      <c r="J1257" s="72" t="n"/>
      <c r="K1257" s="72" t="n"/>
      <c r="L1257" s="72" t="n"/>
      <c r="M1257" s="72" t="n"/>
      <c r="N1257" s="72" t="n"/>
      <c r="O1257" s="72" t="n"/>
      <c r="P1257" s="72" t="n"/>
      <c r="Q1257" s="72" t="n"/>
      <c r="R1257" s="72" t="n"/>
      <c r="S1257" s="72" t="n"/>
    </row>
    <row r="1258">
      <c r="B1258" s="72" t="n"/>
      <c r="C1258" s="72" t="n"/>
      <c r="D1258" s="72" t="n"/>
      <c r="E1258" s="72" t="n"/>
      <c r="F1258" s="72" t="n"/>
      <c r="G1258" s="72" t="n"/>
      <c r="H1258" s="72" t="n"/>
      <c r="I1258" s="72" t="n"/>
      <c r="J1258" s="72" t="n"/>
      <c r="K1258" s="72" t="n"/>
      <c r="L1258" s="72" t="n"/>
      <c r="M1258" s="72" t="n"/>
      <c r="N1258" s="72" t="n"/>
      <c r="O1258" s="72" t="n"/>
      <c r="P1258" s="72" t="n"/>
      <c r="Q1258" s="72" t="n"/>
      <c r="R1258" s="72" t="n"/>
      <c r="S1258" s="72" t="n"/>
    </row>
    <row r="1259">
      <c r="B1259" s="72" t="n"/>
      <c r="C1259" s="72" t="n"/>
      <c r="D1259" s="72" t="n"/>
      <c r="E1259" s="72" t="n"/>
      <c r="F1259" s="72" t="n"/>
      <c r="G1259" s="72" t="n"/>
      <c r="H1259" s="72" t="n"/>
      <c r="I1259" s="72" t="n"/>
      <c r="J1259" s="72" t="n"/>
      <c r="K1259" s="72" t="n"/>
      <c r="L1259" s="72" t="n"/>
      <c r="M1259" s="72" t="n"/>
      <c r="N1259" s="72" t="n"/>
      <c r="O1259" s="72" t="n"/>
      <c r="P1259" s="72" t="n"/>
      <c r="Q1259" s="72" t="n"/>
      <c r="R1259" s="72" t="n"/>
      <c r="S1259" s="72" t="n"/>
    </row>
    <row r="1260">
      <c r="B1260" s="72" t="n"/>
      <c r="C1260" s="72" t="n"/>
      <c r="D1260" s="72" t="n"/>
      <c r="E1260" s="72" t="n"/>
      <c r="F1260" s="72" t="n"/>
      <c r="G1260" s="72" t="n"/>
      <c r="H1260" s="72" t="n"/>
      <c r="I1260" s="72" t="n"/>
      <c r="J1260" s="72" t="n"/>
      <c r="K1260" s="72" t="n"/>
      <c r="L1260" s="72" t="n"/>
      <c r="M1260" s="72" t="n"/>
      <c r="N1260" s="72" t="n"/>
      <c r="O1260" s="72" t="n"/>
      <c r="P1260" s="72" t="n"/>
      <c r="Q1260" s="72" t="n"/>
      <c r="R1260" s="72" t="n"/>
      <c r="S1260" s="72" t="n"/>
    </row>
    <row r="1261">
      <c r="B1261" s="72" t="n"/>
      <c r="C1261" s="72" t="n"/>
      <c r="D1261" s="72" t="n"/>
      <c r="E1261" s="72" t="n"/>
      <c r="F1261" s="72" t="n"/>
      <c r="G1261" s="72" t="n"/>
      <c r="H1261" s="72" t="n"/>
      <c r="I1261" s="72" t="n"/>
      <c r="J1261" s="72" t="n"/>
      <c r="K1261" s="72" t="n"/>
      <c r="L1261" s="72" t="n"/>
      <c r="M1261" s="72" t="n"/>
      <c r="N1261" s="72" t="n"/>
      <c r="O1261" s="72" t="n"/>
      <c r="P1261" s="72" t="n"/>
      <c r="Q1261" s="72" t="n"/>
      <c r="R1261" s="72" t="n"/>
      <c r="S1261" s="72" t="n"/>
    </row>
    <row r="1262">
      <c r="B1262" s="72" t="n"/>
      <c r="C1262" s="72" t="n"/>
      <c r="D1262" s="72" t="n"/>
      <c r="E1262" s="72" t="n"/>
      <c r="F1262" s="72" t="n"/>
      <c r="G1262" s="72" t="n"/>
      <c r="H1262" s="72" t="n"/>
      <c r="I1262" s="72" t="n"/>
      <c r="J1262" s="72" t="n"/>
      <c r="K1262" s="72" t="n"/>
      <c r="L1262" s="72" t="n"/>
      <c r="M1262" s="72" t="n"/>
      <c r="N1262" s="72" t="n"/>
      <c r="O1262" s="72" t="n"/>
      <c r="P1262" s="72" t="n"/>
      <c r="Q1262" s="72" t="n"/>
      <c r="R1262" s="72" t="n"/>
      <c r="S1262" s="72" t="n"/>
    </row>
    <row r="1263">
      <c r="B1263" s="72" t="n"/>
      <c r="C1263" s="72" t="n"/>
      <c r="D1263" s="72" t="n"/>
      <c r="E1263" s="72" t="n"/>
      <c r="F1263" s="72" t="n"/>
      <c r="G1263" s="72" t="n"/>
      <c r="H1263" s="72" t="n"/>
      <c r="I1263" s="72" t="n"/>
      <c r="J1263" s="72" t="n"/>
      <c r="K1263" s="72" t="n"/>
      <c r="L1263" s="72" t="n"/>
      <c r="M1263" s="72" t="n"/>
      <c r="N1263" s="72" t="n"/>
      <c r="O1263" s="72" t="n"/>
      <c r="P1263" s="72" t="n"/>
      <c r="Q1263" s="72" t="n"/>
      <c r="R1263" s="72" t="n"/>
      <c r="S1263" s="72" t="n"/>
    </row>
    <row r="1264">
      <c r="B1264" s="72" t="n"/>
      <c r="C1264" s="72" t="n"/>
      <c r="D1264" s="72" t="n"/>
      <c r="E1264" s="72" t="n"/>
      <c r="F1264" s="72" t="n"/>
      <c r="G1264" s="72" t="n"/>
      <c r="H1264" s="72" t="n"/>
      <c r="I1264" s="72" t="n"/>
      <c r="J1264" s="72" t="n"/>
      <c r="K1264" s="72" t="n"/>
      <c r="L1264" s="72" t="n"/>
      <c r="M1264" s="72" t="n"/>
      <c r="N1264" s="72" t="n"/>
      <c r="O1264" s="72" t="n"/>
      <c r="P1264" s="72" t="n"/>
      <c r="Q1264" s="72" t="n"/>
      <c r="R1264" s="72" t="n"/>
      <c r="S1264" s="72" t="n"/>
    </row>
    <row r="1265">
      <c r="B1265" s="72" t="n"/>
      <c r="C1265" s="72" t="n"/>
      <c r="D1265" s="72" t="n"/>
      <c r="E1265" s="72" t="n"/>
      <c r="F1265" s="72" t="n"/>
      <c r="G1265" s="72" t="n"/>
      <c r="H1265" s="72" t="n"/>
      <c r="I1265" s="72" t="n"/>
      <c r="J1265" s="72" t="n"/>
      <c r="K1265" s="72" t="n"/>
      <c r="L1265" s="72" t="n"/>
      <c r="M1265" s="72" t="n"/>
      <c r="N1265" s="72" t="n"/>
      <c r="O1265" s="72" t="n"/>
      <c r="P1265" s="72" t="n"/>
      <c r="Q1265" s="72" t="n"/>
      <c r="R1265" s="72" t="n"/>
      <c r="S1265" s="72" t="n"/>
    </row>
    <row r="1266">
      <c r="B1266" s="72" t="n"/>
      <c r="C1266" s="72" t="n"/>
      <c r="D1266" s="72" t="n"/>
      <c r="E1266" s="72" t="n"/>
      <c r="F1266" s="72" t="n"/>
      <c r="G1266" s="72" t="n"/>
      <c r="H1266" s="72" t="n"/>
      <c r="I1266" s="72" t="n"/>
      <c r="J1266" s="72" t="n"/>
      <c r="K1266" s="72" t="n"/>
      <c r="L1266" s="72" t="n"/>
      <c r="M1266" s="72" t="n"/>
      <c r="N1266" s="72" t="n"/>
      <c r="O1266" s="72" t="n"/>
      <c r="P1266" s="72" t="n"/>
      <c r="Q1266" s="72" t="n"/>
      <c r="R1266" s="72" t="n"/>
      <c r="S1266" s="72" t="n"/>
    </row>
    <row r="1267">
      <c r="B1267" s="72" t="n"/>
      <c r="C1267" s="72" t="n"/>
      <c r="D1267" s="72" t="n"/>
      <c r="E1267" s="72" t="n"/>
      <c r="F1267" s="72" t="n"/>
      <c r="G1267" s="72" t="n"/>
      <c r="H1267" s="72" t="n"/>
      <c r="I1267" s="72" t="n"/>
      <c r="J1267" s="72" t="n"/>
      <c r="K1267" s="72" t="n"/>
      <c r="L1267" s="72" t="n"/>
      <c r="M1267" s="72" t="n"/>
      <c r="N1267" s="72" t="n"/>
      <c r="O1267" s="72" t="n"/>
      <c r="P1267" s="72" t="n"/>
      <c r="Q1267" s="72" t="n"/>
      <c r="R1267" s="72" t="n"/>
      <c r="S1267" s="72" t="n"/>
    </row>
    <row r="1268">
      <c r="B1268" s="72" t="n"/>
      <c r="C1268" s="72" t="n"/>
      <c r="D1268" s="72" t="n"/>
      <c r="E1268" s="72" t="n"/>
      <c r="F1268" s="72" t="n"/>
      <c r="G1268" s="72" t="n"/>
      <c r="H1268" s="72" t="n"/>
      <c r="I1268" s="72" t="n"/>
      <c r="J1268" s="72" t="n"/>
      <c r="K1268" s="72" t="n"/>
      <c r="L1268" s="72" t="n"/>
      <c r="M1268" s="72" t="n"/>
      <c r="N1268" s="72" t="n"/>
      <c r="O1268" s="72" t="n"/>
      <c r="P1268" s="72" t="n"/>
      <c r="Q1268" s="72" t="n"/>
      <c r="R1268" s="72" t="n"/>
      <c r="S1268" s="72" t="n"/>
    </row>
    <row r="1269">
      <c r="B1269" s="72" t="n"/>
      <c r="C1269" s="72" t="n"/>
      <c r="D1269" s="72" t="n"/>
      <c r="E1269" s="72" t="n"/>
      <c r="F1269" s="72" t="n"/>
      <c r="G1269" s="72" t="n"/>
      <c r="H1269" s="72" t="n"/>
      <c r="I1269" s="72" t="n"/>
      <c r="J1269" s="72" t="n"/>
      <c r="K1269" s="72" t="n"/>
      <c r="L1269" s="72" t="n"/>
      <c r="M1269" s="72" t="n"/>
      <c r="N1269" s="72" t="n"/>
      <c r="O1269" s="72" t="n"/>
      <c r="P1269" s="72" t="n"/>
      <c r="Q1269" s="72" t="n"/>
      <c r="R1269" s="72" t="n"/>
      <c r="S1269" s="72" t="n"/>
    </row>
    <row r="1270">
      <c r="B1270" s="72" t="n"/>
      <c r="C1270" s="72" t="n"/>
      <c r="D1270" s="72" t="n"/>
      <c r="E1270" s="72" t="n"/>
      <c r="F1270" s="72" t="n"/>
      <c r="G1270" s="72" t="n"/>
      <c r="H1270" s="72" t="n"/>
      <c r="I1270" s="72" t="n"/>
      <c r="J1270" s="72" t="n"/>
      <c r="K1270" s="72" t="n"/>
      <c r="L1270" s="72" t="n"/>
      <c r="M1270" s="72" t="n"/>
      <c r="N1270" s="72" t="n"/>
      <c r="O1270" s="72" t="n"/>
      <c r="P1270" s="72" t="n"/>
      <c r="Q1270" s="72" t="n"/>
      <c r="R1270" s="72" t="n"/>
      <c r="S1270" s="72" t="n"/>
    </row>
    <row r="1271">
      <c r="B1271" s="72" t="n"/>
      <c r="C1271" s="72" t="n"/>
      <c r="D1271" s="72" t="n"/>
      <c r="E1271" s="72" t="n"/>
      <c r="F1271" s="72" t="n"/>
      <c r="G1271" s="72" t="n"/>
      <c r="H1271" s="72" t="n"/>
      <c r="I1271" s="72" t="n"/>
      <c r="J1271" s="72" t="n"/>
      <c r="K1271" s="72" t="n"/>
      <c r="L1271" s="72" t="n"/>
      <c r="M1271" s="72" t="n"/>
      <c r="N1271" s="72" t="n"/>
      <c r="O1271" s="72" t="n"/>
      <c r="P1271" s="72" t="n"/>
      <c r="Q1271" s="72" t="n"/>
      <c r="R1271" s="72" t="n"/>
      <c r="S1271" s="72" t="n"/>
    </row>
    <row r="1272">
      <c r="B1272" s="72" t="n"/>
      <c r="C1272" s="72" t="n"/>
      <c r="D1272" s="72" t="n"/>
      <c r="E1272" s="72" t="n"/>
      <c r="F1272" s="72" t="n"/>
      <c r="G1272" s="72" t="n"/>
      <c r="H1272" s="72" t="n"/>
      <c r="I1272" s="72" t="n"/>
      <c r="J1272" s="72" t="n"/>
      <c r="K1272" s="72" t="n"/>
      <c r="L1272" s="72" t="n"/>
      <c r="M1272" s="72" t="n"/>
      <c r="N1272" s="72" t="n"/>
      <c r="O1272" s="72" t="n"/>
      <c r="P1272" s="72" t="n"/>
      <c r="Q1272" s="72" t="n"/>
      <c r="R1272" s="72" t="n"/>
      <c r="S1272" s="72" t="n"/>
    </row>
    <row r="1273">
      <c r="B1273" s="72" t="n"/>
      <c r="C1273" s="72" t="n"/>
      <c r="D1273" s="72" t="n"/>
      <c r="E1273" s="72" t="n"/>
      <c r="F1273" s="72" t="n"/>
      <c r="G1273" s="72" t="n"/>
      <c r="H1273" s="72" t="n"/>
      <c r="I1273" s="72" t="n"/>
      <c r="J1273" s="72" t="n"/>
      <c r="K1273" s="72" t="n"/>
      <c r="L1273" s="72" t="n"/>
      <c r="M1273" s="72" t="n"/>
      <c r="N1273" s="72" t="n"/>
      <c r="O1273" s="72" t="n"/>
      <c r="P1273" s="72" t="n"/>
      <c r="Q1273" s="72" t="n"/>
      <c r="R1273" s="72" t="n"/>
      <c r="S1273" s="72" t="n"/>
    </row>
    <row r="1274">
      <c r="B1274" s="72" t="n"/>
      <c r="C1274" s="72" t="n"/>
      <c r="D1274" s="72" t="n"/>
      <c r="E1274" s="72" t="n"/>
      <c r="F1274" s="72" t="n"/>
      <c r="G1274" s="72" t="n"/>
      <c r="H1274" s="72" t="n"/>
      <c r="I1274" s="72" t="n"/>
      <c r="J1274" s="72" t="n"/>
      <c r="K1274" s="72" t="n"/>
      <c r="L1274" s="72" t="n"/>
      <c r="M1274" s="72" t="n"/>
      <c r="N1274" s="72" t="n"/>
      <c r="O1274" s="72" t="n"/>
      <c r="P1274" s="72" t="n"/>
      <c r="Q1274" s="72" t="n"/>
      <c r="R1274" s="72" t="n"/>
      <c r="S1274" s="72" t="n"/>
    </row>
    <row r="1275">
      <c r="B1275" s="72" t="n"/>
      <c r="C1275" s="72" t="n"/>
      <c r="D1275" s="72" t="n"/>
      <c r="E1275" s="72" t="n"/>
      <c r="F1275" s="72" t="n"/>
      <c r="G1275" s="72" t="n"/>
      <c r="H1275" s="72" t="n"/>
      <c r="I1275" s="72" t="n"/>
      <c r="J1275" s="72" t="n"/>
      <c r="K1275" s="72" t="n"/>
      <c r="L1275" s="72" t="n"/>
      <c r="M1275" s="72" t="n"/>
      <c r="N1275" s="72" t="n"/>
      <c r="O1275" s="72" t="n"/>
      <c r="P1275" s="72" t="n"/>
      <c r="Q1275" s="72" t="n"/>
      <c r="R1275" s="72" t="n"/>
      <c r="S1275" s="72" t="n"/>
    </row>
    <row r="1276">
      <c r="B1276" s="72" t="n"/>
      <c r="C1276" s="72" t="n"/>
      <c r="D1276" s="72" t="n"/>
      <c r="E1276" s="72" t="n"/>
      <c r="F1276" s="72" t="n"/>
      <c r="G1276" s="72" t="n"/>
      <c r="H1276" s="72" t="n"/>
      <c r="I1276" s="72" t="n"/>
      <c r="J1276" s="72" t="n"/>
      <c r="K1276" s="72" t="n"/>
      <c r="L1276" s="72" t="n"/>
      <c r="M1276" s="72" t="n"/>
      <c r="N1276" s="72" t="n"/>
      <c r="O1276" s="72" t="n"/>
      <c r="P1276" s="72" t="n"/>
      <c r="Q1276" s="72" t="n"/>
      <c r="R1276" s="72" t="n"/>
      <c r="S1276" s="72" t="n"/>
    </row>
    <row r="1277">
      <c r="B1277" s="72" t="n"/>
      <c r="C1277" s="72" t="n"/>
      <c r="D1277" s="72" t="n"/>
      <c r="E1277" s="72" t="n"/>
      <c r="F1277" s="72" t="n"/>
      <c r="G1277" s="72" t="n"/>
      <c r="H1277" s="72" t="n"/>
      <c r="I1277" s="72" t="n"/>
      <c r="J1277" s="72" t="n"/>
      <c r="K1277" s="72" t="n"/>
      <c r="L1277" s="72" t="n"/>
      <c r="M1277" s="72" t="n"/>
      <c r="N1277" s="72" t="n"/>
      <c r="O1277" s="72" t="n"/>
      <c r="P1277" s="72" t="n"/>
      <c r="Q1277" s="72" t="n"/>
      <c r="R1277" s="72" t="n"/>
      <c r="S1277" s="72" t="n"/>
    </row>
    <row r="1278">
      <c r="B1278" s="72" t="n"/>
      <c r="C1278" s="72" t="n"/>
      <c r="D1278" s="72" t="n"/>
      <c r="E1278" s="72" t="n"/>
      <c r="F1278" s="72" t="n"/>
      <c r="G1278" s="72" t="n"/>
      <c r="H1278" s="72" t="n"/>
      <c r="I1278" s="72" t="n"/>
      <c r="J1278" s="72" t="n"/>
      <c r="K1278" s="72" t="n"/>
      <c r="L1278" s="72" t="n"/>
      <c r="M1278" s="72" t="n"/>
      <c r="N1278" s="72" t="n"/>
      <c r="O1278" s="72" t="n"/>
      <c r="P1278" s="72" t="n"/>
      <c r="Q1278" s="72" t="n"/>
      <c r="R1278" s="72" t="n"/>
      <c r="S1278" s="72" t="n"/>
    </row>
    <row r="1279">
      <c r="B1279" s="72" t="n"/>
      <c r="C1279" s="72" t="n"/>
      <c r="D1279" s="72" t="n"/>
      <c r="E1279" s="72" t="n"/>
      <c r="F1279" s="72" t="n"/>
      <c r="G1279" s="72" t="n"/>
      <c r="H1279" s="72" t="n"/>
      <c r="I1279" s="72" t="n"/>
      <c r="J1279" s="72" t="n"/>
      <c r="K1279" s="72" t="n"/>
      <c r="L1279" s="72" t="n"/>
      <c r="M1279" s="72" t="n"/>
      <c r="N1279" s="72" t="n"/>
      <c r="O1279" s="72" t="n"/>
      <c r="P1279" s="72" t="n"/>
      <c r="Q1279" s="72" t="n"/>
      <c r="R1279" s="72" t="n"/>
      <c r="S1279" s="72" t="n"/>
    </row>
    <row r="1280">
      <c r="B1280" s="72" t="n"/>
      <c r="C1280" s="72" t="n"/>
      <c r="D1280" s="72" t="n"/>
      <c r="E1280" s="72" t="n"/>
      <c r="F1280" s="72" t="n"/>
      <c r="G1280" s="72" t="n"/>
      <c r="H1280" s="72" t="n"/>
      <c r="I1280" s="72" t="n"/>
      <c r="J1280" s="72" t="n"/>
      <c r="K1280" s="72" t="n"/>
      <c r="L1280" s="72" t="n"/>
      <c r="M1280" s="72" t="n"/>
      <c r="N1280" s="72" t="n"/>
      <c r="O1280" s="72" t="n"/>
      <c r="P1280" s="72" t="n"/>
      <c r="Q1280" s="72" t="n"/>
      <c r="R1280" s="72" t="n"/>
      <c r="S1280" s="72" t="n"/>
    </row>
    <row r="1281">
      <c r="B1281" s="72" t="n"/>
      <c r="C1281" s="72" t="n"/>
      <c r="D1281" s="72" t="n"/>
      <c r="E1281" s="72" t="n"/>
      <c r="F1281" s="72" t="n"/>
      <c r="G1281" s="72" t="n"/>
      <c r="H1281" s="72" t="n"/>
      <c r="I1281" s="72" t="n"/>
      <c r="J1281" s="72" t="n"/>
      <c r="K1281" s="72" t="n"/>
      <c r="L1281" s="72" t="n"/>
      <c r="M1281" s="72" t="n"/>
      <c r="N1281" s="72" t="n"/>
      <c r="O1281" s="72" t="n"/>
      <c r="P1281" s="72" t="n"/>
      <c r="Q1281" s="72" t="n"/>
      <c r="R1281" s="72" t="n"/>
      <c r="S1281" s="72" t="n"/>
    </row>
    <row r="1282">
      <c r="B1282" s="72" t="n"/>
      <c r="C1282" s="72" t="n"/>
      <c r="D1282" s="72" t="n"/>
      <c r="E1282" s="72" t="n"/>
      <c r="F1282" s="72" t="n"/>
      <c r="G1282" s="72" t="n"/>
      <c r="H1282" s="72" t="n"/>
      <c r="I1282" s="72" t="n"/>
      <c r="J1282" s="72" t="n"/>
      <c r="K1282" s="72" t="n"/>
      <c r="L1282" s="72" t="n"/>
      <c r="M1282" s="72" t="n"/>
      <c r="N1282" s="72" t="n"/>
      <c r="O1282" s="72" t="n"/>
      <c r="P1282" s="72" t="n"/>
      <c r="Q1282" s="72" t="n"/>
      <c r="R1282" s="72" t="n"/>
      <c r="S1282" s="72" t="n"/>
    </row>
    <row r="1283">
      <c r="B1283" s="72" t="n"/>
      <c r="C1283" s="72" t="n"/>
      <c r="D1283" s="72" t="n"/>
      <c r="E1283" s="72" t="n"/>
      <c r="F1283" s="72" t="n"/>
      <c r="G1283" s="72" t="n"/>
      <c r="H1283" s="72" t="n"/>
      <c r="I1283" s="72" t="n"/>
      <c r="J1283" s="72" t="n"/>
      <c r="K1283" s="72" t="n"/>
      <c r="L1283" s="72" t="n"/>
      <c r="M1283" s="72" t="n"/>
      <c r="N1283" s="72" t="n"/>
      <c r="O1283" s="72" t="n"/>
      <c r="P1283" s="72" t="n"/>
      <c r="Q1283" s="72" t="n"/>
      <c r="R1283" s="72" t="n"/>
      <c r="S1283" s="72" t="n"/>
    </row>
    <row r="1284">
      <c r="B1284" s="72" t="n"/>
      <c r="C1284" s="72" t="n"/>
      <c r="D1284" s="72" t="n"/>
      <c r="E1284" s="72" t="n"/>
      <c r="F1284" s="72" t="n"/>
      <c r="G1284" s="72" t="n"/>
      <c r="H1284" s="72" t="n"/>
      <c r="I1284" s="72" t="n"/>
      <c r="J1284" s="72" t="n"/>
      <c r="K1284" s="72" t="n"/>
      <c r="L1284" s="72" t="n"/>
      <c r="M1284" s="72" t="n"/>
      <c r="N1284" s="72" t="n"/>
      <c r="O1284" s="72" t="n"/>
      <c r="P1284" s="72" t="n"/>
      <c r="Q1284" s="72" t="n"/>
      <c r="R1284" s="72" t="n"/>
      <c r="S1284" s="72" t="n"/>
    </row>
    <row r="1285">
      <c r="B1285" s="72" t="n"/>
      <c r="C1285" s="72" t="n"/>
      <c r="D1285" s="72" t="n"/>
      <c r="E1285" s="72" t="n"/>
      <c r="F1285" s="72" t="n"/>
      <c r="G1285" s="72" t="n"/>
      <c r="H1285" s="72" t="n"/>
      <c r="I1285" s="72" t="n"/>
      <c r="J1285" s="72" t="n"/>
      <c r="K1285" s="72" t="n"/>
      <c r="L1285" s="72" t="n"/>
      <c r="M1285" s="72" t="n"/>
      <c r="N1285" s="72" t="n"/>
      <c r="O1285" s="72" t="n"/>
      <c r="P1285" s="72" t="n"/>
      <c r="Q1285" s="72" t="n"/>
      <c r="R1285" s="72" t="n"/>
      <c r="S1285" s="72" t="n"/>
    </row>
    <row r="1286">
      <c r="B1286" s="72" t="n"/>
      <c r="C1286" s="72" t="n"/>
      <c r="D1286" s="72" t="n"/>
      <c r="E1286" s="72" t="n"/>
      <c r="F1286" s="72" t="n"/>
      <c r="G1286" s="72" t="n"/>
      <c r="H1286" s="72" t="n"/>
      <c r="I1286" s="72" t="n"/>
      <c r="J1286" s="72" t="n"/>
      <c r="K1286" s="72" t="n"/>
      <c r="L1286" s="72" t="n"/>
      <c r="M1286" s="72" t="n"/>
      <c r="N1286" s="72" t="n"/>
      <c r="O1286" s="72" t="n"/>
      <c r="P1286" s="72" t="n"/>
      <c r="Q1286" s="72" t="n"/>
      <c r="R1286" s="72" t="n"/>
      <c r="S1286" s="72" t="n"/>
    </row>
    <row r="1287">
      <c r="B1287" s="72" t="n"/>
      <c r="C1287" s="72" t="n"/>
      <c r="D1287" s="72" t="n"/>
      <c r="E1287" s="72" t="n"/>
      <c r="F1287" s="72" t="n"/>
      <c r="G1287" s="72" t="n"/>
      <c r="H1287" s="72" t="n"/>
      <c r="I1287" s="72" t="n"/>
      <c r="J1287" s="72" t="n"/>
      <c r="K1287" s="72" t="n"/>
      <c r="L1287" s="72" t="n"/>
      <c r="M1287" s="72" t="n"/>
      <c r="N1287" s="72" t="n"/>
      <c r="O1287" s="72" t="n"/>
      <c r="P1287" s="72" t="n"/>
      <c r="Q1287" s="72" t="n"/>
      <c r="R1287" s="72" t="n"/>
      <c r="S1287" s="72" t="n"/>
    </row>
    <row r="1288">
      <c r="B1288" s="72" t="n"/>
      <c r="C1288" s="72" t="n"/>
      <c r="D1288" s="72" t="n"/>
      <c r="E1288" s="72" t="n"/>
      <c r="F1288" s="72" t="n"/>
      <c r="G1288" s="72" t="n"/>
      <c r="H1288" s="72" t="n"/>
      <c r="I1288" s="72" t="n"/>
      <c r="J1288" s="72" t="n"/>
      <c r="K1288" s="72" t="n"/>
      <c r="L1288" s="72" t="n"/>
      <c r="M1288" s="72" t="n"/>
      <c r="N1288" s="72" t="n"/>
      <c r="O1288" s="72" t="n"/>
      <c r="P1288" s="72" t="n"/>
      <c r="Q1288" s="72" t="n"/>
      <c r="R1288" s="72" t="n"/>
      <c r="S1288" s="72" t="n"/>
    </row>
    <row r="1289">
      <c r="B1289" s="72" t="n"/>
      <c r="C1289" s="72" t="n"/>
      <c r="D1289" s="72" t="n"/>
      <c r="E1289" s="72" t="n"/>
      <c r="F1289" s="72" t="n"/>
      <c r="G1289" s="72" t="n"/>
      <c r="H1289" s="72" t="n"/>
      <c r="I1289" s="72" t="n"/>
      <c r="J1289" s="72" t="n"/>
      <c r="K1289" s="72" t="n"/>
      <c r="L1289" s="72" t="n"/>
      <c r="M1289" s="72" t="n"/>
      <c r="N1289" s="72" t="n"/>
      <c r="O1289" s="72" t="n"/>
      <c r="P1289" s="72" t="n"/>
      <c r="Q1289" s="72" t="n"/>
      <c r="R1289" s="72" t="n"/>
      <c r="S1289" s="72" t="n"/>
    </row>
    <row r="1290">
      <c r="B1290" s="72" t="n"/>
      <c r="C1290" s="72" t="n"/>
      <c r="D1290" s="72" t="n"/>
      <c r="E1290" s="72" t="n"/>
      <c r="F1290" s="72" t="n"/>
      <c r="G1290" s="72" t="n"/>
      <c r="H1290" s="72" t="n"/>
      <c r="I1290" s="72" t="n"/>
      <c r="J1290" s="72" t="n"/>
      <c r="K1290" s="72" t="n"/>
      <c r="L1290" s="72" t="n"/>
      <c r="M1290" s="72" t="n"/>
      <c r="N1290" s="72" t="n"/>
      <c r="O1290" s="72" t="n"/>
      <c r="P1290" s="72" t="n"/>
      <c r="Q1290" s="72" t="n"/>
      <c r="R1290" s="72" t="n"/>
      <c r="S1290" s="72" t="n"/>
    </row>
    <row r="1291">
      <c r="B1291" s="72" t="n"/>
      <c r="C1291" s="72" t="n"/>
      <c r="D1291" s="72" t="n"/>
      <c r="E1291" s="72" t="n"/>
      <c r="F1291" s="72" t="n"/>
      <c r="G1291" s="72" t="n"/>
      <c r="H1291" s="72" t="n"/>
      <c r="I1291" s="72" t="n"/>
      <c r="J1291" s="72" t="n"/>
      <c r="K1291" s="72" t="n"/>
      <c r="L1291" s="72" t="n"/>
      <c r="M1291" s="72" t="n"/>
      <c r="N1291" s="72" t="n"/>
      <c r="O1291" s="72" t="n"/>
      <c r="P1291" s="72" t="n"/>
      <c r="Q1291" s="72" t="n"/>
      <c r="R1291" s="72" t="n"/>
      <c r="S1291" s="72" t="n"/>
    </row>
    <row r="1292">
      <c r="B1292" s="72" t="n"/>
      <c r="C1292" s="72" t="n"/>
      <c r="D1292" s="72" t="n"/>
      <c r="E1292" s="72" t="n"/>
      <c r="F1292" s="72" t="n"/>
      <c r="G1292" s="72" t="n"/>
      <c r="H1292" s="72" t="n"/>
      <c r="I1292" s="72" t="n"/>
      <c r="J1292" s="72" t="n"/>
      <c r="K1292" s="72" t="n"/>
      <c r="L1292" s="72" t="n"/>
      <c r="M1292" s="72" t="n"/>
      <c r="N1292" s="72" t="n"/>
      <c r="O1292" s="72" t="n"/>
      <c r="P1292" s="72" t="n"/>
      <c r="Q1292" s="72" t="n"/>
      <c r="R1292" s="72" t="n"/>
      <c r="S1292" s="72" t="n"/>
    </row>
    <row r="1293">
      <c r="B1293" s="72" t="n"/>
      <c r="C1293" s="72" t="n"/>
      <c r="D1293" s="72" t="n"/>
      <c r="E1293" s="72" t="n"/>
      <c r="F1293" s="72" t="n"/>
      <c r="G1293" s="72" t="n"/>
      <c r="H1293" s="72" t="n"/>
      <c r="I1293" s="72" t="n"/>
      <c r="J1293" s="72" t="n"/>
      <c r="K1293" s="72" t="n"/>
      <c r="L1293" s="72" t="n"/>
      <c r="M1293" s="72" t="n"/>
      <c r="N1293" s="72" t="n"/>
      <c r="O1293" s="72" t="n"/>
      <c r="P1293" s="72" t="n"/>
      <c r="Q1293" s="72" t="n"/>
      <c r="R1293" s="72" t="n"/>
      <c r="S1293" s="72" t="n"/>
    </row>
    <row r="1294">
      <c r="B1294" s="72" t="n"/>
      <c r="C1294" s="72" t="n"/>
      <c r="D1294" s="72" t="n"/>
      <c r="E1294" s="72" t="n"/>
      <c r="F1294" s="72" t="n"/>
      <c r="G1294" s="72" t="n"/>
      <c r="H1294" s="72" t="n"/>
      <c r="I1294" s="72" t="n"/>
      <c r="J1294" s="72" t="n"/>
      <c r="K1294" s="72" t="n"/>
      <c r="L1294" s="72" t="n"/>
      <c r="M1294" s="72" t="n"/>
      <c r="N1294" s="72" t="n"/>
      <c r="O1294" s="72" t="n"/>
      <c r="P1294" s="72" t="n"/>
      <c r="Q1294" s="72" t="n"/>
      <c r="R1294" s="72" t="n"/>
      <c r="S1294" s="72" t="n"/>
    </row>
    <row r="1295">
      <c r="B1295" s="72" t="n"/>
      <c r="C1295" s="72" t="n"/>
      <c r="D1295" s="72" t="n"/>
      <c r="E1295" s="72" t="n"/>
      <c r="F1295" s="72" t="n"/>
      <c r="G1295" s="72" t="n"/>
      <c r="H1295" s="72" t="n"/>
      <c r="I1295" s="72" t="n"/>
      <c r="J1295" s="72" t="n"/>
      <c r="K1295" s="72" t="n"/>
      <c r="L1295" s="72" t="n"/>
      <c r="M1295" s="72" t="n"/>
      <c r="N1295" s="72" t="n"/>
      <c r="O1295" s="72" t="n"/>
      <c r="P1295" s="72" t="n"/>
      <c r="Q1295" s="72" t="n"/>
      <c r="R1295" s="72" t="n"/>
      <c r="S1295" s="72" t="n"/>
    </row>
    <row r="1296">
      <c r="B1296" s="72" t="n"/>
      <c r="C1296" s="72" t="n"/>
      <c r="D1296" s="72" t="n"/>
      <c r="E1296" s="72" t="n"/>
      <c r="F1296" s="72" t="n"/>
      <c r="G1296" s="72" t="n"/>
      <c r="H1296" s="72" t="n"/>
      <c r="I1296" s="72" t="n"/>
      <c r="J1296" s="72" t="n"/>
      <c r="K1296" s="72" t="n"/>
      <c r="L1296" s="72" t="n"/>
      <c r="M1296" s="72" t="n"/>
      <c r="N1296" s="72" t="n"/>
      <c r="O1296" s="72" t="n"/>
      <c r="P1296" s="72" t="n"/>
      <c r="Q1296" s="72" t="n"/>
      <c r="R1296" s="72" t="n"/>
      <c r="S1296" s="72" t="n"/>
    </row>
    <row r="1297">
      <c r="B1297" s="72" t="n"/>
      <c r="C1297" s="72" t="n"/>
      <c r="D1297" s="72" t="n"/>
      <c r="E1297" s="72" t="n"/>
      <c r="F1297" s="72" t="n"/>
      <c r="G1297" s="72" t="n"/>
      <c r="H1297" s="72" t="n"/>
      <c r="I1297" s="72" t="n"/>
      <c r="J1297" s="72" t="n"/>
      <c r="K1297" s="72" t="n"/>
      <c r="L1297" s="72" t="n"/>
      <c r="M1297" s="72" t="n"/>
      <c r="N1297" s="72" t="n"/>
      <c r="O1297" s="72" t="n"/>
      <c r="P1297" s="72" t="n"/>
      <c r="Q1297" s="72" t="n"/>
      <c r="R1297" s="72" t="n"/>
      <c r="S1297" s="72" t="n"/>
    </row>
    <row r="1298">
      <c r="B1298" s="72" t="n"/>
      <c r="C1298" s="72" t="n"/>
      <c r="D1298" s="72" t="n"/>
      <c r="E1298" s="72" t="n"/>
      <c r="F1298" s="72" t="n"/>
      <c r="G1298" s="72" t="n"/>
      <c r="H1298" s="72" t="n"/>
      <c r="I1298" s="72" t="n"/>
      <c r="J1298" s="72" t="n"/>
      <c r="K1298" s="72" t="n"/>
      <c r="L1298" s="72" t="n"/>
      <c r="M1298" s="72" t="n"/>
      <c r="N1298" s="72" t="n"/>
      <c r="O1298" s="72" t="n"/>
      <c r="P1298" s="72" t="n"/>
      <c r="Q1298" s="72" t="n"/>
      <c r="R1298" s="72" t="n"/>
      <c r="S1298" s="72" t="n"/>
    </row>
    <row r="1299">
      <c r="B1299" s="72" t="n"/>
      <c r="C1299" s="72" t="n"/>
      <c r="D1299" s="72" t="n"/>
      <c r="E1299" s="72" t="n"/>
      <c r="F1299" s="72" t="n"/>
      <c r="G1299" s="72" t="n"/>
      <c r="H1299" s="72" t="n"/>
      <c r="I1299" s="72" t="n"/>
      <c r="J1299" s="72" t="n"/>
      <c r="K1299" s="72" t="n"/>
      <c r="L1299" s="72" t="n"/>
      <c r="M1299" s="72" t="n"/>
      <c r="N1299" s="72" t="n"/>
      <c r="O1299" s="72" t="n"/>
      <c r="P1299" s="72" t="n"/>
      <c r="Q1299" s="72" t="n"/>
      <c r="R1299" s="72" t="n"/>
      <c r="S1299" s="72" t="n"/>
    </row>
    <row r="1300">
      <c r="B1300" s="72" t="n"/>
      <c r="C1300" s="72" t="n"/>
      <c r="D1300" s="72" t="n"/>
      <c r="E1300" s="72" t="n"/>
      <c r="F1300" s="72" t="n"/>
      <c r="G1300" s="72" t="n"/>
      <c r="H1300" s="72" t="n"/>
      <c r="I1300" s="72" t="n"/>
      <c r="J1300" s="72" t="n"/>
      <c r="K1300" s="72" t="n"/>
      <c r="L1300" s="72" t="n"/>
      <c r="M1300" s="72" t="n"/>
      <c r="N1300" s="72" t="n"/>
      <c r="O1300" s="72" t="n"/>
      <c r="P1300" s="72" t="n"/>
      <c r="Q1300" s="72" t="n"/>
      <c r="R1300" s="72" t="n"/>
      <c r="S1300" s="72" t="n"/>
    </row>
    <row r="1301">
      <c r="B1301" s="72" t="n"/>
      <c r="C1301" s="72" t="n"/>
      <c r="D1301" s="72" t="n"/>
      <c r="E1301" s="72" t="n"/>
      <c r="F1301" s="72" t="n"/>
      <c r="G1301" s="72" t="n"/>
      <c r="H1301" s="72" t="n"/>
      <c r="I1301" s="72" t="n"/>
      <c r="J1301" s="72" t="n"/>
      <c r="K1301" s="72" t="n"/>
      <c r="L1301" s="72" t="n"/>
      <c r="M1301" s="72" t="n"/>
      <c r="N1301" s="72" t="n"/>
      <c r="O1301" s="72" t="n"/>
      <c r="P1301" s="72" t="n"/>
      <c r="Q1301" s="72" t="n"/>
      <c r="R1301" s="72" t="n"/>
      <c r="S1301" s="72" t="n"/>
    </row>
    <row r="1302">
      <c r="B1302" s="72" t="n"/>
      <c r="C1302" s="72" t="n"/>
      <c r="D1302" s="72" t="n"/>
      <c r="E1302" s="72" t="n"/>
      <c r="F1302" s="72" t="n"/>
      <c r="G1302" s="72" t="n"/>
      <c r="H1302" s="72" t="n"/>
      <c r="I1302" s="72" t="n"/>
      <c r="J1302" s="72" t="n"/>
      <c r="K1302" s="72" t="n"/>
      <c r="L1302" s="72" t="n"/>
      <c r="M1302" s="72" t="n"/>
      <c r="N1302" s="72" t="n"/>
      <c r="O1302" s="72" t="n"/>
      <c r="P1302" s="72" t="n"/>
      <c r="Q1302" s="72" t="n"/>
      <c r="R1302" s="72" t="n"/>
      <c r="S1302" s="72" t="n"/>
    </row>
    <row r="1303">
      <c r="B1303" s="72" t="n"/>
      <c r="C1303" s="72" t="n"/>
      <c r="D1303" s="72" t="n"/>
      <c r="E1303" s="72" t="n"/>
      <c r="F1303" s="72" t="n"/>
      <c r="G1303" s="72" t="n"/>
      <c r="H1303" s="72" t="n"/>
      <c r="I1303" s="72" t="n"/>
      <c r="J1303" s="72" t="n"/>
      <c r="K1303" s="72" t="n"/>
      <c r="L1303" s="72" t="n"/>
      <c r="M1303" s="72" t="n"/>
      <c r="N1303" s="72" t="n"/>
      <c r="O1303" s="72" t="n"/>
      <c r="P1303" s="72" t="n"/>
      <c r="Q1303" s="72" t="n"/>
      <c r="R1303" s="72" t="n"/>
      <c r="S1303" s="72" t="n"/>
    </row>
    <row r="1304">
      <c r="B1304" s="72" t="n"/>
      <c r="C1304" s="72" t="n"/>
      <c r="D1304" s="72" t="n"/>
      <c r="E1304" s="72" t="n"/>
      <c r="F1304" s="72" t="n"/>
      <c r="G1304" s="72" t="n"/>
      <c r="H1304" s="72" t="n"/>
      <c r="I1304" s="72" t="n"/>
      <c r="J1304" s="72" t="n"/>
      <c r="K1304" s="72" t="n"/>
      <c r="L1304" s="72" t="n"/>
      <c r="M1304" s="72" t="n"/>
      <c r="N1304" s="72" t="n"/>
      <c r="O1304" s="72" t="n"/>
      <c r="P1304" s="72" t="n"/>
      <c r="Q1304" s="72" t="n"/>
      <c r="R1304" s="72" t="n"/>
      <c r="S1304" s="72" t="n"/>
    </row>
    <row r="1305">
      <c r="B1305" s="72" t="n"/>
      <c r="C1305" s="72" t="n"/>
      <c r="D1305" s="72" t="n"/>
      <c r="E1305" s="72" t="n"/>
      <c r="F1305" s="72" t="n"/>
      <c r="G1305" s="72" t="n"/>
      <c r="H1305" s="72" t="n"/>
      <c r="I1305" s="72" t="n"/>
      <c r="J1305" s="72" t="n"/>
      <c r="K1305" s="72" t="n"/>
      <c r="L1305" s="72" t="n"/>
      <c r="M1305" s="72" t="n"/>
      <c r="N1305" s="72" t="n"/>
      <c r="O1305" s="72" t="n"/>
      <c r="P1305" s="72" t="n"/>
      <c r="Q1305" s="72" t="n"/>
      <c r="R1305" s="72" t="n"/>
      <c r="S1305" s="72" t="n"/>
    </row>
    <row r="1306">
      <c r="B1306" s="72" t="n"/>
      <c r="C1306" s="72" t="n"/>
      <c r="D1306" s="72" t="n"/>
      <c r="E1306" s="72" t="n"/>
      <c r="F1306" s="72" t="n"/>
      <c r="G1306" s="72" t="n"/>
      <c r="H1306" s="72" t="n"/>
      <c r="I1306" s="72" t="n"/>
      <c r="J1306" s="72" t="n"/>
      <c r="K1306" s="72" t="n"/>
      <c r="L1306" s="72" t="n"/>
      <c r="M1306" s="72" t="n"/>
      <c r="N1306" s="72" t="n"/>
      <c r="O1306" s="72" t="n"/>
      <c r="P1306" s="72" t="n"/>
      <c r="Q1306" s="72" t="n"/>
      <c r="R1306" s="72" t="n"/>
      <c r="S1306" s="72" t="n"/>
    </row>
    <row r="1307">
      <c r="B1307" s="72" t="n"/>
      <c r="C1307" s="72" t="n"/>
      <c r="D1307" s="72" t="n"/>
      <c r="E1307" s="72" t="n"/>
      <c r="F1307" s="72" t="n"/>
      <c r="G1307" s="72" t="n"/>
      <c r="H1307" s="72" t="n"/>
      <c r="I1307" s="72" t="n"/>
      <c r="J1307" s="72" t="n"/>
      <c r="K1307" s="72" t="n"/>
      <c r="L1307" s="72" t="n"/>
      <c r="M1307" s="72" t="n"/>
      <c r="N1307" s="72" t="n"/>
      <c r="O1307" s="72" t="n"/>
      <c r="P1307" s="72" t="n"/>
      <c r="Q1307" s="72" t="n"/>
      <c r="R1307" s="72" t="n"/>
      <c r="S1307" s="72" t="n"/>
    </row>
    <row r="1308">
      <c r="B1308" s="72" t="n"/>
      <c r="C1308" s="72" t="n"/>
      <c r="D1308" s="72" t="n"/>
      <c r="E1308" s="72" t="n"/>
      <c r="F1308" s="72" t="n"/>
      <c r="G1308" s="72" t="n"/>
      <c r="H1308" s="72" t="n"/>
      <c r="I1308" s="72" t="n"/>
      <c r="J1308" s="72" t="n"/>
      <c r="K1308" s="72" t="n"/>
      <c r="L1308" s="72" t="n"/>
      <c r="M1308" s="72" t="n"/>
      <c r="N1308" s="72" t="n"/>
      <c r="O1308" s="72" t="n"/>
      <c r="P1308" s="72" t="n"/>
      <c r="Q1308" s="72" t="n"/>
      <c r="R1308" s="72" t="n"/>
      <c r="S1308" s="72" t="n"/>
    </row>
    <row r="1309">
      <c r="B1309" s="72" t="n"/>
      <c r="C1309" s="72" t="n"/>
      <c r="D1309" s="72" t="n"/>
      <c r="E1309" s="72" t="n"/>
      <c r="F1309" s="72" t="n"/>
      <c r="G1309" s="72" t="n"/>
      <c r="H1309" s="72" t="n"/>
      <c r="I1309" s="72" t="n"/>
      <c r="J1309" s="72" t="n"/>
      <c r="K1309" s="72" t="n"/>
      <c r="L1309" s="72" t="n"/>
      <c r="M1309" s="72" t="n"/>
      <c r="N1309" s="72" t="n"/>
      <c r="O1309" s="72" t="n"/>
      <c r="P1309" s="72" t="n"/>
      <c r="Q1309" s="72" t="n"/>
      <c r="R1309" s="72" t="n"/>
      <c r="S1309" s="72" t="n"/>
    </row>
    <row r="1310">
      <c r="B1310" s="72" t="n"/>
      <c r="C1310" s="72" t="n"/>
      <c r="D1310" s="72" t="n"/>
      <c r="E1310" s="72" t="n"/>
      <c r="F1310" s="72" t="n"/>
      <c r="G1310" s="72" t="n"/>
      <c r="H1310" s="72" t="n"/>
      <c r="I1310" s="72" t="n"/>
      <c r="J1310" s="72" t="n"/>
      <c r="K1310" s="72" t="n"/>
      <c r="L1310" s="72" t="n"/>
      <c r="M1310" s="72" t="n"/>
      <c r="N1310" s="72" t="n"/>
      <c r="O1310" s="72" t="n"/>
      <c r="P1310" s="72" t="n"/>
      <c r="Q1310" s="72" t="n"/>
      <c r="R1310" s="72" t="n"/>
      <c r="S1310" s="72" t="n"/>
    </row>
    <row r="1311">
      <c r="B1311" s="72" t="n"/>
      <c r="C1311" s="72" t="n"/>
      <c r="D1311" s="72" t="n"/>
      <c r="E1311" s="72" t="n"/>
      <c r="F1311" s="72" t="n"/>
      <c r="G1311" s="72" t="n"/>
      <c r="H1311" s="72" t="n"/>
      <c r="I1311" s="72" t="n"/>
      <c r="J1311" s="72" t="n"/>
      <c r="K1311" s="72" t="n"/>
      <c r="L1311" s="72" t="n"/>
      <c r="M1311" s="72" t="n"/>
      <c r="N1311" s="72" t="n"/>
      <c r="O1311" s="72" t="n"/>
      <c r="P1311" s="72" t="n"/>
      <c r="Q1311" s="72" t="n"/>
      <c r="R1311" s="72" t="n"/>
      <c r="S1311" s="72" t="n"/>
    </row>
    <row r="1312">
      <c r="B1312" s="72" t="n"/>
      <c r="C1312" s="72" t="n"/>
      <c r="D1312" s="72" t="n"/>
      <c r="E1312" s="72" t="n"/>
      <c r="F1312" s="72" t="n"/>
      <c r="G1312" s="72" t="n"/>
      <c r="H1312" s="72" t="n"/>
      <c r="I1312" s="72" t="n"/>
      <c r="J1312" s="72" t="n"/>
      <c r="K1312" s="72" t="n"/>
      <c r="L1312" s="72" t="n"/>
      <c r="M1312" s="72" t="n"/>
      <c r="N1312" s="72" t="n"/>
      <c r="O1312" s="72" t="n"/>
      <c r="P1312" s="72" t="n"/>
      <c r="Q1312" s="72" t="n"/>
      <c r="R1312" s="72" t="n"/>
      <c r="S1312" s="72" t="n"/>
    </row>
    <row r="1313">
      <c r="B1313" s="72" t="n"/>
      <c r="C1313" s="72" t="n"/>
      <c r="D1313" s="72" t="n"/>
      <c r="E1313" s="72" t="n"/>
      <c r="F1313" s="72" t="n"/>
      <c r="G1313" s="72" t="n"/>
      <c r="H1313" s="72" t="n"/>
      <c r="I1313" s="72" t="n"/>
      <c r="J1313" s="72" t="n"/>
      <c r="K1313" s="72" t="n"/>
      <c r="L1313" s="72" t="n"/>
      <c r="M1313" s="72" t="n"/>
      <c r="N1313" s="72" t="n"/>
      <c r="O1313" s="72" t="n"/>
      <c r="P1313" s="72" t="n"/>
      <c r="Q1313" s="72" t="n"/>
      <c r="R1313" s="72" t="n"/>
      <c r="S1313" s="72" t="n"/>
    </row>
    <row r="1314">
      <c r="B1314" s="72" t="n"/>
      <c r="C1314" s="72" t="n"/>
      <c r="D1314" s="72" t="n"/>
      <c r="E1314" s="72" t="n"/>
      <c r="F1314" s="72" t="n"/>
      <c r="G1314" s="72" t="n"/>
      <c r="H1314" s="72" t="n"/>
      <c r="I1314" s="72" t="n"/>
      <c r="J1314" s="72" t="n"/>
      <c r="K1314" s="72" t="n"/>
      <c r="L1314" s="72" t="n"/>
      <c r="M1314" s="72" t="n"/>
      <c r="N1314" s="72" t="n"/>
      <c r="O1314" s="72" t="n"/>
      <c r="P1314" s="72" t="n"/>
      <c r="Q1314" s="72" t="n"/>
      <c r="R1314" s="72" t="n"/>
      <c r="S1314" s="72" t="n"/>
    </row>
    <row r="1315">
      <c r="B1315" s="72" t="n"/>
      <c r="C1315" s="72" t="n"/>
      <c r="D1315" s="72" t="n"/>
      <c r="E1315" s="72" t="n"/>
      <c r="F1315" s="72" t="n"/>
      <c r="G1315" s="72" t="n"/>
      <c r="H1315" s="72" t="n"/>
      <c r="I1315" s="72" t="n"/>
      <c r="J1315" s="72" t="n"/>
      <c r="K1315" s="72" t="n"/>
      <c r="L1315" s="72" t="n"/>
      <c r="M1315" s="72" t="n"/>
      <c r="N1315" s="72" t="n"/>
      <c r="O1315" s="72" t="n"/>
      <c r="P1315" s="72" t="n"/>
      <c r="Q1315" s="72" t="n"/>
      <c r="R1315" s="72" t="n"/>
      <c r="S1315" s="72" t="n"/>
    </row>
    <row r="1316">
      <c r="B1316" s="72" t="n"/>
      <c r="C1316" s="72" t="n"/>
      <c r="D1316" s="72" t="n"/>
      <c r="E1316" s="72" t="n"/>
      <c r="F1316" s="72" t="n"/>
      <c r="G1316" s="72" t="n"/>
      <c r="H1316" s="72" t="n"/>
      <c r="I1316" s="72" t="n"/>
      <c r="J1316" s="72" t="n"/>
      <c r="K1316" s="72" t="n"/>
      <c r="L1316" s="72" t="n"/>
      <c r="M1316" s="72" t="n"/>
      <c r="N1316" s="72" t="n"/>
      <c r="O1316" s="72" t="n"/>
      <c r="P1316" s="72" t="n"/>
      <c r="Q1316" s="72" t="n"/>
      <c r="R1316" s="72" t="n"/>
      <c r="S1316" s="72" t="n"/>
    </row>
    <row r="1317">
      <c r="B1317" s="72" t="n"/>
      <c r="C1317" s="72" t="n"/>
      <c r="D1317" s="72" t="n"/>
      <c r="E1317" s="72" t="n"/>
      <c r="F1317" s="72" t="n"/>
      <c r="G1317" s="72" t="n"/>
      <c r="H1317" s="72" t="n"/>
      <c r="I1317" s="72" t="n"/>
      <c r="J1317" s="72" t="n"/>
      <c r="K1317" s="72" t="n"/>
      <c r="L1317" s="72" t="n"/>
      <c r="M1317" s="72" t="n"/>
      <c r="N1317" s="72" t="n"/>
      <c r="O1317" s="72" t="n"/>
      <c r="P1317" s="72" t="n"/>
      <c r="Q1317" s="72" t="n"/>
      <c r="R1317" s="72" t="n"/>
      <c r="S1317" s="72" t="n"/>
    </row>
    <row r="1318">
      <c r="B1318" s="72" t="n"/>
      <c r="C1318" s="72" t="n"/>
      <c r="D1318" s="72" t="n"/>
      <c r="E1318" s="72" t="n"/>
      <c r="F1318" s="72" t="n"/>
      <c r="G1318" s="72" t="n"/>
      <c r="H1318" s="72" t="n"/>
      <c r="I1318" s="72" t="n"/>
      <c r="J1318" s="72" t="n"/>
      <c r="K1318" s="72" t="n"/>
      <c r="L1318" s="72" t="n"/>
      <c r="M1318" s="72" t="n"/>
      <c r="N1318" s="72" t="n"/>
      <c r="O1318" s="72" t="n"/>
      <c r="P1318" s="72" t="n"/>
      <c r="Q1318" s="72" t="n"/>
      <c r="R1318" s="72" t="n"/>
      <c r="S1318" s="72" t="n"/>
    </row>
    <row r="1319">
      <c r="B1319" s="72" t="n"/>
      <c r="C1319" s="72" t="n"/>
      <c r="D1319" s="72" t="n"/>
      <c r="E1319" s="72" t="n"/>
      <c r="F1319" s="72" t="n"/>
      <c r="G1319" s="72" t="n"/>
      <c r="H1319" s="72" t="n"/>
      <c r="I1319" s="72" t="n"/>
      <c r="J1319" s="72" t="n"/>
      <c r="K1319" s="72" t="n"/>
      <c r="L1319" s="72" t="n"/>
      <c r="M1319" s="72" t="n"/>
      <c r="N1319" s="72" t="n"/>
      <c r="O1319" s="72" t="n"/>
      <c r="P1319" s="72" t="n"/>
      <c r="Q1319" s="72" t="n"/>
      <c r="R1319" s="72" t="n"/>
      <c r="S1319" s="72" t="n"/>
    </row>
    <row r="1320">
      <c r="B1320" s="72" t="n"/>
      <c r="C1320" s="72" t="n"/>
      <c r="D1320" s="72" t="n"/>
      <c r="E1320" s="72" t="n"/>
      <c r="F1320" s="72" t="n"/>
      <c r="G1320" s="72" t="n"/>
      <c r="H1320" s="72" t="n"/>
      <c r="I1320" s="72" t="n"/>
      <c r="J1320" s="72" t="n"/>
      <c r="K1320" s="72" t="n"/>
      <c r="L1320" s="72" t="n"/>
      <c r="M1320" s="72" t="n"/>
      <c r="N1320" s="72" t="n"/>
      <c r="O1320" s="72" t="n"/>
      <c r="P1320" s="72" t="n"/>
      <c r="Q1320" s="72" t="n"/>
      <c r="R1320" s="72" t="n"/>
      <c r="S1320" s="72" t="n"/>
    </row>
    <row r="1321">
      <c r="B1321" s="72" t="n"/>
      <c r="C1321" s="72" t="n"/>
      <c r="D1321" s="72" t="n"/>
      <c r="E1321" s="72" t="n"/>
      <c r="F1321" s="72" t="n"/>
      <c r="G1321" s="72" t="n"/>
      <c r="H1321" s="72" t="n"/>
      <c r="I1321" s="72" t="n"/>
      <c r="J1321" s="72" t="n"/>
      <c r="K1321" s="72" t="n"/>
      <c r="L1321" s="72" t="n"/>
      <c r="M1321" s="72" t="n"/>
      <c r="N1321" s="72" t="n"/>
      <c r="O1321" s="72" t="n"/>
      <c r="P1321" s="72" t="n"/>
      <c r="Q1321" s="72" t="n"/>
      <c r="R1321" s="72" t="n"/>
      <c r="S1321" s="72" t="n"/>
    </row>
    <row r="1322">
      <c r="B1322" s="72" t="n"/>
      <c r="C1322" s="72" t="n"/>
      <c r="D1322" s="72" t="n"/>
      <c r="E1322" s="72" t="n"/>
      <c r="F1322" s="72" t="n"/>
      <c r="G1322" s="72" t="n"/>
      <c r="H1322" s="72" t="n"/>
      <c r="I1322" s="72" t="n"/>
      <c r="J1322" s="72" t="n"/>
      <c r="K1322" s="72" t="n"/>
      <c r="L1322" s="72" t="n"/>
      <c r="M1322" s="72" t="n"/>
      <c r="N1322" s="72" t="n"/>
      <c r="O1322" s="72" t="n"/>
      <c r="P1322" s="72" t="n"/>
      <c r="Q1322" s="72" t="n"/>
      <c r="R1322" s="72" t="n"/>
      <c r="S1322" s="72" t="n"/>
    </row>
    <row r="1323">
      <c r="B1323" s="72" t="n"/>
      <c r="C1323" s="72" t="n"/>
      <c r="D1323" s="72" t="n"/>
      <c r="E1323" s="72" t="n"/>
      <c r="F1323" s="72" t="n"/>
      <c r="G1323" s="72" t="n"/>
      <c r="H1323" s="72" t="n"/>
      <c r="I1323" s="72" t="n"/>
      <c r="J1323" s="72" t="n"/>
      <c r="K1323" s="72" t="n"/>
      <c r="L1323" s="72" t="n"/>
      <c r="M1323" s="72" t="n"/>
      <c r="N1323" s="72" t="n"/>
      <c r="O1323" s="72" t="n"/>
      <c r="P1323" s="72" t="n"/>
      <c r="Q1323" s="72" t="n"/>
      <c r="R1323" s="72" t="n"/>
      <c r="S1323" s="72" t="n"/>
    </row>
    <row r="1324">
      <c r="B1324" s="72" t="n"/>
      <c r="C1324" s="72" t="n"/>
      <c r="D1324" s="72" t="n"/>
      <c r="E1324" s="72" t="n"/>
      <c r="F1324" s="72" t="n"/>
      <c r="G1324" s="72" t="n"/>
      <c r="H1324" s="72" t="n"/>
      <c r="I1324" s="72" t="n"/>
      <c r="J1324" s="72" t="n"/>
      <c r="K1324" s="72" t="n"/>
      <c r="L1324" s="72" t="n"/>
      <c r="M1324" s="72" t="n"/>
      <c r="N1324" s="72" t="n"/>
      <c r="O1324" s="72" t="n"/>
      <c r="P1324" s="72" t="n"/>
      <c r="Q1324" s="72" t="n"/>
      <c r="R1324" s="72" t="n"/>
      <c r="S1324" s="72" t="n"/>
    </row>
    <row r="1325">
      <c r="B1325" s="72" t="n"/>
      <c r="C1325" s="72" t="n"/>
      <c r="D1325" s="72" t="n"/>
      <c r="E1325" s="72" t="n"/>
      <c r="F1325" s="72" t="n"/>
      <c r="G1325" s="72" t="n"/>
      <c r="H1325" s="72" t="n"/>
      <c r="I1325" s="72" t="n"/>
      <c r="J1325" s="72" t="n"/>
      <c r="K1325" s="72" t="n"/>
      <c r="L1325" s="72" t="n"/>
      <c r="M1325" s="72" t="n"/>
      <c r="N1325" s="72" t="n"/>
      <c r="O1325" s="72" t="n"/>
      <c r="P1325" s="72" t="n"/>
      <c r="Q1325" s="72" t="n"/>
      <c r="R1325" s="72" t="n"/>
      <c r="S1325" s="72" t="n"/>
    </row>
    <row r="1326">
      <c r="B1326" s="72" t="n"/>
      <c r="C1326" s="72" t="n"/>
      <c r="D1326" s="72" t="n"/>
      <c r="E1326" s="72" t="n"/>
      <c r="F1326" s="72" t="n"/>
      <c r="G1326" s="72" t="n"/>
      <c r="H1326" s="72" t="n"/>
      <c r="I1326" s="72" t="n"/>
      <c r="J1326" s="72" t="n"/>
      <c r="K1326" s="72" t="n"/>
      <c r="L1326" s="72" t="n"/>
      <c r="M1326" s="72" t="n"/>
      <c r="N1326" s="72" t="n"/>
      <c r="O1326" s="72" t="n"/>
      <c r="P1326" s="72" t="n"/>
      <c r="Q1326" s="72" t="n"/>
      <c r="R1326" s="72" t="n"/>
      <c r="S1326" s="72" t="n"/>
    </row>
    <row r="1327">
      <c r="B1327" s="72" t="n"/>
      <c r="C1327" s="72" t="n"/>
      <c r="D1327" s="72" t="n"/>
      <c r="E1327" s="72" t="n"/>
      <c r="F1327" s="72" t="n"/>
      <c r="G1327" s="72" t="n"/>
      <c r="H1327" s="72" t="n"/>
      <c r="I1327" s="72" t="n"/>
      <c r="J1327" s="72" t="n"/>
      <c r="K1327" s="72" t="n"/>
      <c r="L1327" s="72" t="n"/>
      <c r="M1327" s="72" t="n"/>
      <c r="N1327" s="72" t="n"/>
      <c r="O1327" s="72" t="n"/>
      <c r="P1327" s="72" t="n"/>
      <c r="Q1327" s="72" t="n"/>
      <c r="R1327" s="72" t="n"/>
      <c r="S1327" s="72" t="n"/>
    </row>
    <row r="1328">
      <c r="B1328" s="72" t="n"/>
      <c r="C1328" s="72" t="n"/>
      <c r="D1328" s="72" t="n"/>
      <c r="E1328" s="72" t="n"/>
      <c r="F1328" s="72" t="n"/>
      <c r="G1328" s="72" t="n"/>
      <c r="H1328" s="72" t="n"/>
      <c r="I1328" s="72" t="n"/>
      <c r="J1328" s="72" t="n"/>
      <c r="K1328" s="72" t="n"/>
      <c r="L1328" s="72" t="n"/>
      <c r="M1328" s="72" t="n"/>
      <c r="N1328" s="72" t="n"/>
      <c r="O1328" s="72" t="n"/>
      <c r="P1328" s="72" t="n"/>
      <c r="Q1328" s="72" t="n"/>
      <c r="R1328" s="72" t="n"/>
      <c r="S1328" s="72" t="n"/>
    </row>
    <row r="1329">
      <c r="B1329" s="72" t="n"/>
      <c r="C1329" s="72" t="n"/>
      <c r="D1329" s="72" t="n"/>
      <c r="E1329" s="72" t="n"/>
      <c r="F1329" s="72" t="n"/>
      <c r="G1329" s="72" t="n"/>
      <c r="H1329" s="72" t="n"/>
      <c r="I1329" s="72" t="n"/>
      <c r="J1329" s="72" t="n"/>
      <c r="K1329" s="72" t="n"/>
      <c r="L1329" s="72" t="n"/>
      <c r="M1329" s="72" t="n"/>
      <c r="N1329" s="72" t="n"/>
      <c r="O1329" s="72" t="n"/>
      <c r="P1329" s="72" t="n"/>
      <c r="Q1329" s="72" t="n"/>
      <c r="R1329" s="72" t="n"/>
      <c r="S1329" s="72" t="n"/>
    </row>
    <row r="1330">
      <c r="B1330" s="72" t="n"/>
      <c r="C1330" s="72" t="n"/>
      <c r="D1330" s="72" t="n"/>
      <c r="E1330" s="72" t="n"/>
      <c r="F1330" s="72" t="n"/>
      <c r="G1330" s="72" t="n"/>
      <c r="H1330" s="72" t="n"/>
      <c r="I1330" s="72" t="n"/>
      <c r="J1330" s="72" t="n"/>
      <c r="K1330" s="72" t="n"/>
      <c r="L1330" s="72" t="n"/>
      <c r="M1330" s="72" t="n"/>
      <c r="N1330" s="72" t="n"/>
      <c r="O1330" s="72" t="n"/>
      <c r="P1330" s="72" t="n"/>
      <c r="Q1330" s="72" t="n"/>
      <c r="R1330" s="72" t="n"/>
      <c r="S1330" s="72" t="n"/>
    </row>
    <row r="1331">
      <c r="B1331" s="72" t="n"/>
      <c r="C1331" s="72" t="n"/>
      <c r="D1331" s="72" t="n"/>
      <c r="E1331" s="72" t="n"/>
      <c r="F1331" s="72" t="n"/>
      <c r="G1331" s="72" t="n"/>
      <c r="H1331" s="72" t="n"/>
      <c r="I1331" s="72" t="n"/>
      <c r="J1331" s="72" t="n"/>
      <c r="K1331" s="72" t="n"/>
      <c r="L1331" s="72" t="n"/>
      <c r="M1331" s="72" t="n"/>
      <c r="N1331" s="72" t="n"/>
      <c r="O1331" s="72" t="n"/>
      <c r="P1331" s="72" t="n"/>
      <c r="Q1331" s="72" t="n"/>
      <c r="R1331" s="72" t="n"/>
      <c r="S1331" s="72" t="n"/>
    </row>
    <row r="1332">
      <c r="B1332" s="72" t="n"/>
      <c r="C1332" s="72" t="n"/>
      <c r="D1332" s="72" t="n"/>
      <c r="E1332" s="72" t="n"/>
      <c r="F1332" s="72" t="n"/>
      <c r="G1332" s="72" t="n"/>
      <c r="H1332" s="72" t="n"/>
      <c r="I1332" s="72" t="n"/>
      <c r="J1332" s="72" t="n"/>
      <c r="K1332" s="72" t="n"/>
      <c r="L1332" s="72" t="n"/>
      <c r="M1332" s="72" t="n"/>
      <c r="N1332" s="72" t="n"/>
      <c r="O1332" s="72" t="n"/>
      <c r="P1332" s="72" t="n"/>
      <c r="Q1332" s="72" t="n"/>
      <c r="R1332" s="72" t="n"/>
      <c r="S1332" s="72" t="n"/>
    </row>
    <row r="1333">
      <c r="B1333" s="72" t="n"/>
      <c r="C1333" s="72" t="n"/>
      <c r="D1333" s="72" t="n"/>
      <c r="E1333" s="72" t="n"/>
      <c r="F1333" s="72" t="n"/>
      <c r="G1333" s="72" t="n"/>
      <c r="H1333" s="72" t="n"/>
      <c r="I1333" s="72" t="n"/>
      <c r="J1333" s="72" t="n"/>
      <c r="K1333" s="72" t="n"/>
      <c r="L1333" s="72" t="n"/>
      <c r="M1333" s="72" t="n"/>
      <c r="N1333" s="72" t="n"/>
      <c r="O1333" s="72" t="n"/>
      <c r="P1333" s="72" t="n"/>
      <c r="Q1333" s="72" t="n"/>
      <c r="R1333" s="72" t="n"/>
      <c r="S1333" s="72" t="n"/>
    </row>
    <row r="1334">
      <c r="B1334" s="72" t="n"/>
      <c r="C1334" s="72" t="n"/>
      <c r="D1334" s="72" t="n"/>
      <c r="E1334" s="72" t="n"/>
      <c r="F1334" s="72" t="n"/>
      <c r="G1334" s="72" t="n"/>
      <c r="H1334" s="72" t="n"/>
      <c r="I1334" s="72" t="n"/>
      <c r="J1334" s="72" t="n"/>
      <c r="K1334" s="72" t="n"/>
      <c r="L1334" s="72" t="n"/>
      <c r="M1334" s="72" t="n"/>
      <c r="N1334" s="72" t="n"/>
      <c r="O1334" s="72" t="n"/>
      <c r="P1334" s="72" t="n"/>
      <c r="Q1334" s="72" t="n"/>
      <c r="R1334" s="72" t="n"/>
      <c r="S1334" s="72" t="n"/>
    </row>
    <row r="1335">
      <c r="B1335" s="72" t="n"/>
      <c r="C1335" s="72" t="n"/>
      <c r="D1335" s="72" t="n"/>
      <c r="E1335" s="72" t="n"/>
      <c r="F1335" s="72" t="n"/>
      <c r="G1335" s="72" t="n"/>
      <c r="H1335" s="72" t="n"/>
      <c r="I1335" s="72" t="n"/>
      <c r="J1335" s="72" t="n"/>
      <c r="K1335" s="72" t="n"/>
      <c r="L1335" s="72" t="n"/>
      <c r="M1335" s="72" t="n"/>
      <c r="N1335" s="72" t="n"/>
      <c r="O1335" s="72" t="n"/>
      <c r="P1335" s="72" t="n"/>
      <c r="Q1335" s="72" t="n"/>
      <c r="R1335" s="72" t="n"/>
      <c r="S1335" s="72" t="n"/>
    </row>
    <row r="1336">
      <c r="B1336" s="72" t="n"/>
      <c r="C1336" s="72" t="n"/>
      <c r="D1336" s="72" t="n"/>
      <c r="E1336" s="72" t="n"/>
      <c r="F1336" s="72" t="n"/>
      <c r="G1336" s="72" t="n"/>
      <c r="H1336" s="72" t="n"/>
      <c r="I1336" s="72" t="n"/>
      <c r="J1336" s="72" t="n"/>
      <c r="K1336" s="72" t="n"/>
      <c r="L1336" s="72" t="n"/>
      <c r="M1336" s="72" t="n"/>
      <c r="N1336" s="72" t="n"/>
      <c r="O1336" s="72" t="n"/>
      <c r="P1336" s="72" t="n"/>
      <c r="Q1336" s="72" t="n"/>
      <c r="R1336" s="72" t="n"/>
      <c r="S1336" s="72" t="n"/>
    </row>
    <row r="1337">
      <c r="B1337" s="72" t="n"/>
      <c r="C1337" s="72" t="n"/>
      <c r="D1337" s="72" t="n"/>
      <c r="E1337" s="72" t="n"/>
      <c r="F1337" s="72" t="n"/>
      <c r="G1337" s="72" t="n"/>
      <c r="H1337" s="72" t="n"/>
      <c r="I1337" s="72" t="n"/>
      <c r="J1337" s="72" t="n"/>
      <c r="K1337" s="72" t="n"/>
      <c r="L1337" s="72" t="n"/>
      <c r="M1337" s="72" t="n"/>
      <c r="N1337" s="72" t="n"/>
      <c r="O1337" s="72" t="n"/>
      <c r="P1337" s="72" t="n"/>
      <c r="Q1337" s="72" t="n"/>
      <c r="R1337" s="72" t="n"/>
      <c r="S1337" s="72" t="n"/>
    </row>
    <row r="1338">
      <c r="B1338" s="72" t="n"/>
      <c r="C1338" s="72" t="n"/>
      <c r="D1338" s="72" t="n"/>
      <c r="E1338" s="72" t="n"/>
      <c r="F1338" s="72" t="n"/>
      <c r="G1338" s="72" t="n"/>
      <c r="H1338" s="72" t="n"/>
      <c r="I1338" s="72" t="n"/>
      <c r="J1338" s="72" t="n"/>
      <c r="K1338" s="72" t="n"/>
      <c r="L1338" s="72" t="n"/>
      <c r="M1338" s="72" t="n"/>
      <c r="N1338" s="72" t="n"/>
      <c r="O1338" s="72" t="n"/>
      <c r="P1338" s="72" t="n"/>
      <c r="Q1338" s="72" t="n"/>
      <c r="R1338" s="72" t="n"/>
      <c r="S1338" s="72" t="n"/>
    </row>
    <row r="1339">
      <c r="B1339" s="72" t="n"/>
      <c r="C1339" s="72" t="n"/>
      <c r="D1339" s="72" t="n"/>
      <c r="E1339" s="72" t="n"/>
      <c r="F1339" s="72" t="n"/>
      <c r="G1339" s="72" t="n"/>
      <c r="H1339" s="72" t="n"/>
      <c r="I1339" s="72" t="n"/>
      <c r="J1339" s="72" t="n"/>
      <c r="K1339" s="72" t="n"/>
      <c r="L1339" s="72" t="n"/>
      <c r="M1339" s="72" t="n"/>
      <c r="N1339" s="72" t="n"/>
      <c r="O1339" s="72" t="n"/>
      <c r="P1339" s="72" t="n"/>
      <c r="Q1339" s="72" t="n"/>
      <c r="R1339" s="72" t="n"/>
      <c r="S1339" s="72" t="n"/>
    </row>
    <row r="1340">
      <c r="B1340" s="72" t="n"/>
      <c r="C1340" s="72" t="n"/>
      <c r="D1340" s="72" t="n"/>
      <c r="E1340" s="72" t="n"/>
      <c r="F1340" s="72" t="n"/>
      <c r="G1340" s="72" t="n"/>
      <c r="H1340" s="72" t="n"/>
      <c r="I1340" s="72" t="n"/>
      <c r="J1340" s="72" t="n"/>
      <c r="K1340" s="72" t="n"/>
      <c r="L1340" s="72" t="n"/>
      <c r="M1340" s="72" t="n"/>
      <c r="N1340" s="72" t="n"/>
      <c r="O1340" s="72" t="n"/>
      <c r="P1340" s="72" t="n"/>
      <c r="Q1340" s="72" t="n"/>
      <c r="R1340" s="72" t="n"/>
      <c r="S1340" s="72" t="n"/>
    </row>
    <row r="1341">
      <c r="B1341" s="72" t="n"/>
      <c r="C1341" s="72" t="n"/>
      <c r="D1341" s="72" t="n"/>
      <c r="E1341" s="72" t="n"/>
      <c r="F1341" s="72" t="n"/>
      <c r="G1341" s="72" t="n"/>
      <c r="H1341" s="72" t="n"/>
      <c r="I1341" s="72" t="n"/>
      <c r="J1341" s="72" t="n"/>
      <c r="K1341" s="72" t="n"/>
      <c r="L1341" s="72" t="n"/>
      <c r="M1341" s="72" t="n"/>
      <c r="N1341" s="72" t="n"/>
      <c r="O1341" s="72" t="n"/>
      <c r="P1341" s="72" t="n"/>
      <c r="Q1341" s="72" t="n"/>
      <c r="R1341" s="72" t="n"/>
      <c r="S1341" s="72" t="n"/>
    </row>
    <row r="1342">
      <c r="B1342" s="72" t="n"/>
      <c r="C1342" s="72" t="n"/>
      <c r="D1342" s="72" t="n"/>
      <c r="E1342" s="72" t="n"/>
      <c r="F1342" s="72" t="n"/>
      <c r="G1342" s="72" t="n"/>
      <c r="H1342" s="72" t="n"/>
      <c r="I1342" s="72" t="n"/>
      <c r="J1342" s="72" t="n"/>
      <c r="K1342" s="72" t="n"/>
      <c r="L1342" s="72" t="n"/>
      <c r="M1342" s="72" t="n"/>
      <c r="N1342" s="72" t="n"/>
      <c r="O1342" s="72" t="n"/>
      <c r="P1342" s="72" t="n"/>
      <c r="Q1342" s="72" t="n"/>
      <c r="R1342" s="72" t="n"/>
      <c r="S1342" s="72" t="n"/>
    </row>
    <row r="1343">
      <c r="B1343" s="72" t="n"/>
      <c r="C1343" s="72" t="n"/>
      <c r="D1343" s="72" t="n"/>
      <c r="E1343" s="72" t="n"/>
      <c r="F1343" s="72" t="n"/>
      <c r="G1343" s="72" t="n"/>
      <c r="H1343" s="72" t="n"/>
      <c r="I1343" s="72" t="n"/>
      <c r="J1343" s="72" t="n"/>
      <c r="K1343" s="72" t="n"/>
      <c r="L1343" s="72" t="n"/>
      <c r="M1343" s="72" t="n"/>
      <c r="N1343" s="72" t="n"/>
      <c r="O1343" s="72" t="n"/>
      <c r="P1343" s="72" t="n"/>
      <c r="Q1343" s="72" t="n"/>
      <c r="R1343" s="72" t="n"/>
      <c r="S1343" s="72" t="n"/>
    </row>
    <row r="1344">
      <c r="B1344" s="72" t="n"/>
      <c r="C1344" s="72" t="n"/>
      <c r="D1344" s="72" t="n"/>
      <c r="E1344" s="72" t="n"/>
      <c r="F1344" s="72" t="n"/>
      <c r="G1344" s="72" t="n"/>
      <c r="H1344" s="72" t="n"/>
      <c r="I1344" s="72" t="n"/>
      <c r="J1344" s="72" t="n"/>
      <c r="K1344" s="72" t="n"/>
      <c r="L1344" s="72" t="n"/>
      <c r="M1344" s="72" t="n"/>
      <c r="N1344" s="72" t="n"/>
      <c r="O1344" s="72" t="n"/>
      <c r="P1344" s="72" t="n"/>
      <c r="Q1344" s="72" t="n"/>
      <c r="R1344" s="72" t="n"/>
      <c r="S1344" s="72" t="n"/>
    </row>
    <row r="1345">
      <c r="B1345" s="72" t="n"/>
      <c r="C1345" s="72" t="n"/>
      <c r="D1345" s="72" t="n"/>
      <c r="E1345" s="72" t="n"/>
      <c r="F1345" s="72" t="n"/>
      <c r="G1345" s="72" t="n"/>
      <c r="H1345" s="72" t="n"/>
      <c r="I1345" s="72" t="n"/>
      <c r="J1345" s="72" t="n"/>
      <c r="K1345" s="72" t="n"/>
      <c r="L1345" s="72" t="n"/>
      <c r="M1345" s="72" t="n"/>
      <c r="N1345" s="72" t="n"/>
      <c r="O1345" s="72" t="n"/>
      <c r="P1345" s="72" t="n"/>
      <c r="Q1345" s="72" t="n"/>
      <c r="R1345" s="72" t="n"/>
      <c r="S1345" s="72" t="n"/>
    </row>
    <row r="1346">
      <c r="B1346" s="72" t="n"/>
      <c r="C1346" s="72" t="n"/>
      <c r="D1346" s="72" t="n"/>
      <c r="E1346" s="72" t="n"/>
      <c r="F1346" s="72" t="n"/>
      <c r="G1346" s="72" t="n"/>
      <c r="H1346" s="72" t="n"/>
      <c r="I1346" s="72" t="n"/>
      <c r="J1346" s="72" t="n"/>
      <c r="K1346" s="72" t="n"/>
      <c r="L1346" s="72" t="n"/>
      <c r="M1346" s="72" t="n"/>
      <c r="N1346" s="72" t="n"/>
      <c r="O1346" s="72" t="n"/>
      <c r="P1346" s="72" t="n"/>
      <c r="Q1346" s="72" t="n"/>
      <c r="R1346" s="72" t="n"/>
      <c r="S1346" s="72" t="n"/>
    </row>
    <row r="1347">
      <c r="B1347" s="72" t="n"/>
      <c r="C1347" s="72" t="n"/>
      <c r="D1347" s="72" t="n"/>
      <c r="E1347" s="72" t="n"/>
      <c r="F1347" s="72" t="n"/>
      <c r="G1347" s="72" t="n"/>
      <c r="H1347" s="72" t="n"/>
      <c r="I1347" s="72" t="n"/>
      <c r="J1347" s="72" t="n"/>
      <c r="K1347" s="72" t="n"/>
      <c r="L1347" s="72" t="n"/>
      <c r="M1347" s="72" t="n"/>
      <c r="N1347" s="72" t="n"/>
      <c r="O1347" s="72" t="n"/>
      <c r="P1347" s="72" t="n"/>
      <c r="Q1347" s="72" t="n"/>
      <c r="R1347" s="72" t="n"/>
      <c r="S1347" s="72" t="n"/>
    </row>
    <row r="1348">
      <c r="B1348" s="72" t="n"/>
      <c r="C1348" s="72" t="n"/>
      <c r="D1348" s="72" t="n"/>
      <c r="E1348" s="72" t="n"/>
      <c r="F1348" s="72" t="n"/>
      <c r="G1348" s="72" t="n"/>
      <c r="H1348" s="72" t="n"/>
      <c r="I1348" s="72" t="n"/>
      <c r="J1348" s="72" t="n"/>
      <c r="K1348" s="72" t="n"/>
      <c r="L1348" s="72" t="n"/>
      <c r="M1348" s="72" t="n"/>
      <c r="N1348" s="72" t="n"/>
      <c r="O1348" s="72" t="n"/>
      <c r="P1348" s="72" t="n"/>
      <c r="Q1348" s="72" t="n"/>
      <c r="R1348" s="72" t="n"/>
      <c r="S1348" s="72" t="n"/>
    </row>
    <row r="1349">
      <c r="B1349" s="72" t="n"/>
      <c r="C1349" s="72" t="n"/>
      <c r="D1349" s="72" t="n"/>
      <c r="E1349" s="72" t="n"/>
      <c r="F1349" s="72" t="n"/>
      <c r="G1349" s="72" t="n"/>
      <c r="H1349" s="72" t="n"/>
      <c r="I1349" s="72" t="n"/>
      <c r="J1349" s="72" t="n"/>
      <c r="K1349" s="72" t="n"/>
      <c r="L1349" s="72" t="n"/>
      <c r="M1349" s="72" t="n"/>
      <c r="N1349" s="72" t="n"/>
      <c r="O1349" s="72" t="n"/>
      <c r="P1349" s="72" t="n"/>
      <c r="Q1349" s="72" t="n"/>
      <c r="R1349" s="72" t="n"/>
      <c r="S1349" s="72" t="n"/>
    </row>
    <row r="1350">
      <c r="B1350" s="72" t="n"/>
      <c r="C1350" s="72" t="n"/>
      <c r="D1350" s="72" t="n"/>
      <c r="E1350" s="72" t="n"/>
      <c r="F1350" s="72" t="n"/>
      <c r="G1350" s="72" t="n"/>
      <c r="H1350" s="72" t="n"/>
      <c r="I1350" s="72" t="n"/>
      <c r="J1350" s="72" t="n"/>
      <c r="K1350" s="72" t="n"/>
      <c r="L1350" s="72" t="n"/>
      <c r="M1350" s="72" t="n"/>
      <c r="N1350" s="72" t="n"/>
      <c r="O1350" s="72" t="n"/>
      <c r="P1350" s="72" t="n"/>
      <c r="Q1350" s="72" t="n"/>
      <c r="R1350" s="72" t="n"/>
      <c r="S1350" s="72" t="n"/>
    </row>
    <row r="1351">
      <c r="B1351" s="72" t="n"/>
      <c r="C1351" s="72" t="n"/>
      <c r="D1351" s="72" t="n"/>
      <c r="E1351" s="72" t="n"/>
      <c r="F1351" s="72" t="n"/>
      <c r="G1351" s="72" t="n"/>
      <c r="H1351" s="72" t="n"/>
      <c r="I1351" s="72" t="n"/>
      <c r="J1351" s="72" t="n"/>
      <c r="K1351" s="72" t="n"/>
      <c r="L1351" s="72" t="n"/>
      <c r="M1351" s="72" t="n"/>
      <c r="N1351" s="72" t="n"/>
      <c r="O1351" s="72" t="n"/>
      <c r="P1351" s="72" t="n"/>
      <c r="Q1351" s="72" t="n"/>
      <c r="R1351" s="72" t="n"/>
      <c r="S1351" s="72" t="n"/>
    </row>
    <row r="1352">
      <c r="B1352" s="72" t="n"/>
      <c r="C1352" s="72" t="n"/>
      <c r="D1352" s="72" t="n"/>
      <c r="E1352" s="72" t="n"/>
      <c r="F1352" s="72" t="n"/>
      <c r="G1352" s="72" t="n"/>
      <c r="H1352" s="72" t="n"/>
      <c r="I1352" s="72" t="n"/>
      <c r="J1352" s="72" t="n"/>
      <c r="K1352" s="72" t="n"/>
      <c r="L1352" s="72" t="n"/>
      <c r="M1352" s="72" t="n"/>
      <c r="N1352" s="72" t="n"/>
      <c r="O1352" s="72" t="n"/>
      <c r="P1352" s="72" t="n"/>
      <c r="Q1352" s="72" t="n"/>
      <c r="R1352" s="72" t="n"/>
      <c r="S1352" s="72" t="n"/>
    </row>
    <row r="1353">
      <c r="B1353" s="72" t="n"/>
      <c r="C1353" s="72" t="n"/>
      <c r="D1353" s="72" t="n"/>
      <c r="E1353" s="72" t="n"/>
      <c r="F1353" s="72" t="n"/>
      <c r="G1353" s="72" t="n"/>
      <c r="H1353" s="72" t="n"/>
      <c r="I1353" s="72" t="n"/>
      <c r="J1353" s="72" t="n"/>
      <c r="K1353" s="72" t="n"/>
      <c r="L1353" s="72" t="n"/>
      <c r="M1353" s="72" t="n"/>
      <c r="N1353" s="72" t="n"/>
      <c r="O1353" s="72" t="n"/>
      <c r="P1353" s="72" t="n"/>
      <c r="Q1353" s="72" t="n"/>
      <c r="R1353" s="72" t="n"/>
      <c r="S1353" s="72" t="n"/>
    </row>
    <row r="1354">
      <c r="B1354" s="72" t="n"/>
      <c r="C1354" s="72" t="n"/>
      <c r="D1354" s="72" t="n"/>
      <c r="E1354" s="72" t="n"/>
      <c r="F1354" s="72" t="n"/>
      <c r="G1354" s="72" t="n"/>
      <c r="H1354" s="72" t="n"/>
      <c r="I1354" s="72" t="n"/>
      <c r="J1354" s="72" t="n"/>
      <c r="K1354" s="72" t="n"/>
      <c r="L1354" s="72" t="n"/>
      <c r="M1354" s="72" t="n"/>
      <c r="N1354" s="72" t="n"/>
      <c r="O1354" s="72" t="n"/>
      <c r="P1354" s="72" t="n"/>
      <c r="Q1354" s="72" t="n"/>
      <c r="R1354" s="72" t="n"/>
      <c r="S1354" s="72" t="n"/>
    </row>
    <row r="1355">
      <c r="B1355" s="72" t="n"/>
      <c r="C1355" s="72" t="n"/>
      <c r="D1355" s="72" t="n"/>
      <c r="E1355" s="72" t="n"/>
      <c r="F1355" s="72" t="n"/>
      <c r="G1355" s="72" t="n"/>
      <c r="H1355" s="72" t="n"/>
      <c r="I1355" s="72" t="n"/>
      <c r="J1355" s="72" t="n"/>
      <c r="K1355" s="72" t="n"/>
      <c r="L1355" s="72" t="n"/>
      <c r="M1355" s="72" t="n"/>
      <c r="N1355" s="72" t="n"/>
      <c r="O1355" s="72" t="n"/>
      <c r="P1355" s="72" t="n"/>
      <c r="Q1355" s="72" t="n"/>
      <c r="R1355" s="72" t="n"/>
      <c r="S1355" s="72" t="n"/>
    </row>
    <row r="1356">
      <c r="B1356" s="72" t="n"/>
      <c r="C1356" s="72" t="n"/>
      <c r="D1356" s="72" t="n"/>
      <c r="E1356" s="72" t="n"/>
      <c r="F1356" s="72" t="n"/>
      <c r="G1356" s="72" t="n"/>
      <c r="H1356" s="72" t="n"/>
      <c r="I1356" s="72" t="n"/>
      <c r="J1356" s="72" t="n"/>
      <c r="K1356" s="72" t="n"/>
      <c r="L1356" s="72" t="n"/>
      <c r="M1356" s="72" t="n"/>
      <c r="N1356" s="72" t="n"/>
      <c r="O1356" s="72" t="n"/>
      <c r="P1356" s="72" t="n"/>
      <c r="Q1356" s="72" t="n"/>
      <c r="R1356" s="72" t="n"/>
      <c r="S1356" s="72" t="n"/>
    </row>
    <row r="1357">
      <c r="B1357" s="72" t="n"/>
      <c r="C1357" s="72" t="n"/>
      <c r="D1357" s="72" t="n"/>
      <c r="E1357" s="72" t="n"/>
      <c r="F1357" s="72" t="n"/>
      <c r="G1357" s="72" t="n"/>
      <c r="H1357" s="72" t="n"/>
      <c r="I1357" s="72" t="n"/>
      <c r="J1357" s="72" t="n"/>
      <c r="K1357" s="72" t="n"/>
      <c r="L1357" s="72" t="n"/>
      <c r="M1357" s="72" t="n"/>
      <c r="N1357" s="72" t="n"/>
      <c r="O1357" s="72" t="n"/>
      <c r="P1357" s="72" t="n"/>
      <c r="Q1357" s="72" t="n"/>
      <c r="R1357" s="72" t="n"/>
      <c r="S1357" s="72" t="n"/>
    </row>
    <row r="1358">
      <c r="B1358" s="72" t="n"/>
      <c r="C1358" s="72" t="n"/>
      <c r="D1358" s="72" t="n"/>
      <c r="E1358" s="72" t="n"/>
      <c r="F1358" s="72" t="n"/>
      <c r="G1358" s="72" t="n"/>
      <c r="H1358" s="72" t="n"/>
      <c r="I1358" s="72" t="n"/>
      <c r="J1358" s="72" t="n"/>
      <c r="K1358" s="72" t="n"/>
      <c r="L1358" s="72" t="n"/>
      <c r="M1358" s="72" t="n"/>
      <c r="N1358" s="72" t="n"/>
      <c r="O1358" s="72" t="n"/>
      <c r="P1358" s="72" t="n"/>
      <c r="Q1358" s="72" t="n"/>
      <c r="R1358" s="72" t="n"/>
      <c r="S1358" s="72" t="n"/>
    </row>
    <row r="1359">
      <c r="B1359" s="72" t="n"/>
      <c r="C1359" s="72" t="n"/>
      <c r="D1359" s="72" t="n"/>
      <c r="E1359" s="72" t="n"/>
      <c r="F1359" s="72" t="n"/>
      <c r="G1359" s="72" t="n"/>
      <c r="H1359" s="72" t="n"/>
      <c r="I1359" s="72" t="n"/>
      <c r="J1359" s="72" t="n"/>
      <c r="K1359" s="72" t="n"/>
      <c r="L1359" s="72" t="n"/>
      <c r="M1359" s="72" t="n"/>
      <c r="N1359" s="72" t="n"/>
      <c r="O1359" s="72" t="n"/>
      <c r="P1359" s="72" t="n"/>
      <c r="Q1359" s="72" t="n"/>
      <c r="R1359" s="72" t="n"/>
      <c r="S1359" s="72" t="n"/>
    </row>
    <row r="1360">
      <c r="B1360" s="72" t="n"/>
      <c r="C1360" s="72" t="n"/>
      <c r="D1360" s="72" t="n"/>
      <c r="E1360" s="72" t="n"/>
      <c r="F1360" s="72" t="n"/>
      <c r="G1360" s="72" t="n"/>
      <c r="H1360" s="72" t="n"/>
      <c r="I1360" s="72" t="n"/>
      <c r="J1360" s="72" t="n"/>
      <c r="K1360" s="72" t="n"/>
      <c r="L1360" s="72" t="n"/>
      <c r="M1360" s="72" t="n"/>
      <c r="N1360" s="72" t="n"/>
      <c r="O1360" s="72" t="n"/>
      <c r="P1360" s="72" t="n"/>
      <c r="Q1360" s="72" t="n"/>
      <c r="R1360" s="72" t="n"/>
      <c r="S1360" s="72" t="n"/>
    </row>
    <row r="1361">
      <c r="B1361" s="72" t="n"/>
      <c r="C1361" s="72" t="n"/>
      <c r="D1361" s="72" t="n"/>
      <c r="E1361" s="72" t="n"/>
      <c r="F1361" s="72" t="n"/>
      <c r="G1361" s="72" t="n"/>
      <c r="H1361" s="72" t="n"/>
      <c r="I1361" s="72" t="n"/>
      <c r="J1361" s="72" t="n"/>
      <c r="K1361" s="72" t="n"/>
      <c r="L1361" s="72" t="n"/>
      <c r="M1361" s="72" t="n"/>
      <c r="N1361" s="72" t="n"/>
      <c r="O1361" s="72" t="n"/>
      <c r="P1361" s="72" t="n"/>
      <c r="Q1361" s="72" t="n"/>
      <c r="R1361" s="72" t="n"/>
      <c r="S1361" s="72" t="n"/>
    </row>
    <row r="1362">
      <c r="B1362" s="72" t="n"/>
      <c r="C1362" s="72" t="n"/>
      <c r="D1362" s="72" t="n"/>
      <c r="E1362" s="72" t="n"/>
      <c r="F1362" s="72" t="n"/>
      <c r="G1362" s="72" t="n"/>
      <c r="H1362" s="72" t="n"/>
      <c r="I1362" s="72" t="n"/>
      <c r="J1362" s="72" t="n"/>
      <c r="K1362" s="72" t="n"/>
      <c r="L1362" s="72" t="n"/>
      <c r="M1362" s="72" t="n"/>
      <c r="N1362" s="72" t="n"/>
      <c r="O1362" s="72" t="n"/>
      <c r="P1362" s="72" t="n"/>
      <c r="Q1362" s="72" t="n"/>
      <c r="R1362" s="72" t="n"/>
      <c r="S1362" s="72" t="n"/>
    </row>
    <row r="1363">
      <c r="B1363" s="72" t="n"/>
      <c r="C1363" s="72" t="n"/>
      <c r="D1363" s="72" t="n"/>
      <c r="E1363" s="72" t="n"/>
      <c r="F1363" s="72" t="n"/>
      <c r="G1363" s="72" t="n"/>
      <c r="H1363" s="72" t="n"/>
      <c r="I1363" s="72" t="n"/>
      <c r="J1363" s="72" t="n"/>
      <c r="K1363" s="72" t="n"/>
      <c r="L1363" s="72" t="n"/>
      <c r="M1363" s="72" t="n"/>
      <c r="N1363" s="72" t="n"/>
      <c r="O1363" s="72" t="n"/>
      <c r="P1363" s="72" t="n"/>
      <c r="Q1363" s="72" t="n"/>
      <c r="R1363" s="72" t="n"/>
      <c r="S1363" s="72" t="n"/>
    </row>
    <row r="1364">
      <c r="B1364" s="72" t="n"/>
      <c r="C1364" s="72" t="n"/>
      <c r="D1364" s="72" t="n"/>
      <c r="E1364" s="72" t="n"/>
      <c r="F1364" s="72" t="n"/>
      <c r="G1364" s="72" t="n"/>
      <c r="H1364" s="72" t="n"/>
      <c r="I1364" s="72" t="n"/>
      <c r="J1364" s="72" t="n"/>
      <c r="K1364" s="72" t="n"/>
      <c r="L1364" s="72" t="n"/>
      <c r="M1364" s="72" t="n"/>
      <c r="N1364" s="72" t="n"/>
      <c r="O1364" s="72" t="n"/>
      <c r="P1364" s="72" t="n"/>
      <c r="Q1364" s="72" t="n"/>
      <c r="R1364" s="72" t="n"/>
      <c r="S1364" s="72" t="n"/>
    </row>
    <row r="1365">
      <c r="B1365" s="72" t="n"/>
      <c r="C1365" s="72" t="n"/>
      <c r="D1365" s="72" t="n"/>
      <c r="E1365" s="72" t="n"/>
      <c r="F1365" s="72" t="n"/>
      <c r="G1365" s="72" t="n"/>
      <c r="H1365" s="72" t="n"/>
      <c r="I1365" s="72" t="n"/>
      <c r="J1365" s="72" t="n"/>
      <c r="K1365" s="72" t="n"/>
      <c r="L1365" s="72" t="n"/>
      <c r="M1365" s="72" t="n"/>
      <c r="N1365" s="72" t="n"/>
      <c r="O1365" s="72" t="n"/>
      <c r="P1365" s="72" t="n"/>
      <c r="Q1365" s="72" t="n"/>
      <c r="R1365" s="72" t="n"/>
      <c r="S1365" s="72" t="n"/>
    </row>
    <row r="1366">
      <c r="B1366" s="72" t="n"/>
      <c r="C1366" s="72" t="n"/>
      <c r="D1366" s="72" t="n"/>
      <c r="E1366" s="72" t="n"/>
      <c r="F1366" s="72" t="n"/>
      <c r="G1366" s="72" t="n"/>
      <c r="H1366" s="72" t="n"/>
      <c r="I1366" s="72" t="n"/>
      <c r="J1366" s="72" t="n"/>
      <c r="K1366" s="72" t="n"/>
      <c r="L1366" s="72" t="n"/>
      <c r="M1366" s="72" t="n"/>
      <c r="N1366" s="72" t="n"/>
      <c r="O1366" s="72" t="n"/>
      <c r="P1366" s="72" t="n"/>
      <c r="Q1366" s="72" t="n"/>
      <c r="R1366" s="72" t="n"/>
      <c r="S1366" s="72" t="n"/>
    </row>
    <row r="1367">
      <c r="B1367" s="72" t="n"/>
      <c r="C1367" s="72" t="n"/>
      <c r="D1367" s="72" t="n"/>
      <c r="E1367" s="72" t="n"/>
      <c r="F1367" s="72" t="n"/>
      <c r="G1367" s="72" t="n"/>
      <c r="H1367" s="72" t="n"/>
      <c r="I1367" s="72" t="n"/>
      <c r="J1367" s="72" t="n"/>
      <c r="K1367" s="72" t="n"/>
      <c r="L1367" s="72" t="n"/>
      <c r="M1367" s="72" t="n"/>
      <c r="N1367" s="72" t="n"/>
      <c r="O1367" s="72" t="n"/>
      <c r="P1367" s="72" t="n"/>
      <c r="Q1367" s="72" t="n"/>
      <c r="R1367" s="72" t="n"/>
      <c r="S1367" s="72" t="n"/>
    </row>
    <row r="1368">
      <c r="B1368" s="72" t="n"/>
      <c r="C1368" s="72" t="n"/>
      <c r="D1368" s="72" t="n"/>
      <c r="E1368" s="72" t="n"/>
      <c r="F1368" s="72" t="n"/>
      <c r="G1368" s="72" t="n"/>
      <c r="H1368" s="72" t="n"/>
      <c r="I1368" s="72" t="n"/>
      <c r="J1368" s="72" t="n"/>
      <c r="K1368" s="72" t="n"/>
      <c r="L1368" s="72" t="n"/>
      <c r="M1368" s="72" t="n"/>
      <c r="N1368" s="72" t="n"/>
      <c r="O1368" s="72" t="n"/>
      <c r="P1368" s="72" t="n"/>
      <c r="Q1368" s="72" t="n"/>
      <c r="R1368" s="72" t="n"/>
      <c r="S1368" s="72" t="n"/>
    </row>
    <row r="1369">
      <c r="B1369" s="72" t="n"/>
      <c r="C1369" s="72" t="n"/>
      <c r="D1369" s="72" t="n"/>
      <c r="E1369" s="72" t="n"/>
      <c r="F1369" s="72" t="n"/>
      <c r="G1369" s="72" t="n"/>
      <c r="H1369" s="72" t="n"/>
      <c r="I1369" s="72" t="n"/>
      <c r="J1369" s="72" t="n"/>
      <c r="K1369" s="72" t="n"/>
      <c r="L1369" s="72" t="n"/>
      <c r="M1369" s="72" t="n"/>
      <c r="N1369" s="72" t="n"/>
      <c r="O1369" s="72" t="n"/>
      <c r="P1369" s="72" t="n"/>
      <c r="Q1369" s="72" t="n"/>
      <c r="R1369" s="72" t="n"/>
      <c r="S1369" s="72" t="n"/>
    </row>
    <row r="1370">
      <c r="B1370" s="72" t="n"/>
      <c r="C1370" s="72" t="n"/>
      <c r="D1370" s="72" t="n"/>
      <c r="E1370" s="72" t="n"/>
      <c r="F1370" s="72" t="n"/>
      <c r="G1370" s="72" t="n"/>
      <c r="H1370" s="72" t="n"/>
      <c r="I1370" s="72" t="n"/>
      <c r="J1370" s="72" t="n"/>
      <c r="K1370" s="72" t="n"/>
      <c r="L1370" s="72" t="n"/>
      <c r="M1370" s="72" t="n"/>
      <c r="N1370" s="72" t="n"/>
      <c r="O1370" s="72" t="n"/>
      <c r="P1370" s="72" t="n"/>
      <c r="Q1370" s="72" t="n"/>
      <c r="R1370" s="72" t="n"/>
      <c r="S1370" s="72" t="n"/>
    </row>
    <row r="1371">
      <c r="B1371" s="72" t="n"/>
      <c r="C1371" s="72" t="n"/>
      <c r="D1371" s="72" t="n"/>
      <c r="E1371" s="72" t="n"/>
      <c r="F1371" s="72" t="n"/>
      <c r="G1371" s="72" t="n"/>
      <c r="H1371" s="72" t="n"/>
      <c r="I1371" s="72" t="n"/>
      <c r="J1371" s="72" t="n"/>
      <c r="K1371" s="72" t="n"/>
      <c r="L1371" s="72" t="n"/>
      <c r="M1371" s="72" t="n"/>
      <c r="N1371" s="72" t="n"/>
      <c r="O1371" s="72" t="n"/>
      <c r="P1371" s="72" t="n"/>
      <c r="Q1371" s="72" t="n"/>
      <c r="R1371" s="72" t="n"/>
      <c r="S1371" s="72" t="n"/>
    </row>
    <row r="1372">
      <c r="B1372" s="72" t="n"/>
      <c r="C1372" s="72" t="n"/>
      <c r="D1372" s="72" t="n"/>
      <c r="E1372" s="72" t="n"/>
      <c r="F1372" s="72" t="n"/>
      <c r="G1372" s="72" t="n"/>
      <c r="H1372" s="72" t="n"/>
      <c r="I1372" s="72" t="n"/>
      <c r="J1372" s="72" t="n"/>
      <c r="K1372" s="72" t="n"/>
      <c r="L1372" s="72" t="n"/>
      <c r="M1372" s="72" t="n"/>
      <c r="N1372" s="72" t="n"/>
      <c r="O1372" s="72" t="n"/>
      <c r="P1372" s="72" t="n"/>
      <c r="Q1372" s="72" t="n"/>
      <c r="R1372" s="72" t="n"/>
      <c r="S1372" s="72" t="n"/>
    </row>
    <row r="1373">
      <c r="B1373" s="72" t="n"/>
      <c r="C1373" s="72" t="n"/>
      <c r="D1373" s="72" t="n"/>
      <c r="E1373" s="72" t="n"/>
      <c r="F1373" s="72" t="n"/>
      <c r="G1373" s="72" t="n"/>
      <c r="H1373" s="72" t="n"/>
      <c r="I1373" s="72" t="n"/>
      <c r="J1373" s="72" t="n"/>
      <c r="K1373" s="72" t="n"/>
      <c r="L1373" s="72" t="n"/>
      <c r="M1373" s="72" t="n"/>
      <c r="N1373" s="72" t="n"/>
      <c r="O1373" s="72" t="n"/>
      <c r="P1373" s="72" t="n"/>
      <c r="Q1373" s="72" t="n"/>
      <c r="R1373" s="72" t="n"/>
      <c r="S1373" s="72" t="n"/>
    </row>
    <row r="1374">
      <c r="B1374" s="72" t="n"/>
      <c r="C1374" s="72" t="n"/>
      <c r="D1374" s="72" t="n"/>
      <c r="E1374" s="72" t="n"/>
      <c r="F1374" s="72" t="n"/>
      <c r="G1374" s="72" t="n"/>
      <c r="H1374" s="72" t="n"/>
      <c r="I1374" s="72" t="n"/>
      <c r="J1374" s="72" t="n"/>
      <c r="K1374" s="72" t="n"/>
      <c r="L1374" s="72" t="n"/>
      <c r="M1374" s="72" t="n"/>
      <c r="N1374" s="72" t="n"/>
      <c r="O1374" s="72" t="n"/>
      <c r="P1374" s="72" t="n"/>
      <c r="Q1374" s="72" t="n"/>
      <c r="R1374" s="72" t="n"/>
      <c r="S1374" s="72" t="n"/>
    </row>
    <row r="1375">
      <c r="B1375" s="72" t="n"/>
      <c r="C1375" s="72" t="n"/>
      <c r="D1375" s="72" t="n"/>
      <c r="E1375" s="72" t="n"/>
      <c r="F1375" s="72" t="n"/>
      <c r="G1375" s="72" t="n"/>
      <c r="H1375" s="72" t="n"/>
      <c r="I1375" s="72" t="n"/>
      <c r="J1375" s="72" t="n"/>
      <c r="K1375" s="72" t="n"/>
      <c r="L1375" s="72" t="n"/>
      <c r="M1375" s="72" t="n"/>
      <c r="N1375" s="72" t="n"/>
      <c r="O1375" s="72" t="n"/>
      <c r="P1375" s="72" t="n"/>
      <c r="Q1375" s="72" t="n"/>
      <c r="R1375" s="72" t="n"/>
      <c r="S1375" s="72" t="n"/>
    </row>
    <row r="1376">
      <c r="B1376" s="72" t="n"/>
      <c r="C1376" s="72" t="n"/>
      <c r="D1376" s="72" t="n"/>
      <c r="E1376" s="72" t="n"/>
      <c r="F1376" s="72" t="n"/>
      <c r="G1376" s="72" t="n"/>
      <c r="H1376" s="72" t="n"/>
      <c r="I1376" s="72" t="n"/>
      <c r="J1376" s="72" t="n"/>
      <c r="K1376" s="72" t="n"/>
      <c r="L1376" s="72" t="n"/>
      <c r="M1376" s="72" t="n"/>
      <c r="N1376" s="72" t="n"/>
      <c r="O1376" s="72" t="n"/>
      <c r="P1376" s="72" t="n"/>
      <c r="Q1376" s="72" t="n"/>
      <c r="R1376" s="72" t="n"/>
      <c r="S1376" s="72" t="n"/>
    </row>
    <row r="1377">
      <c r="B1377" s="72" t="n"/>
      <c r="C1377" s="72" t="n"/>
      <c r="D1377" s="72" t="n"/>
      <c r="E1377" s="72" t="n"/>
      <c r="F1377" s="72" t="n"/>
      <c r="G1377" s="72" t="n"/>
      <c r="H1377" s="72" t="n"/>
      <c r="I1377" s="72" t="n"/>
      <c r="J1377" s="72" t="n"/>
      <c r="K1377" s="72" t="n"/>
      <c r="L1377" s="72" t="n"/>
      <c r="M1377" s="72" t="n"/>
      <c r="N1377" s="72" t="n"/>
      <c r="O1377" s="72" t="n"/>
      <c r="P1377" s="72" t="n"/>
      <c r="Q1377" s="72" t="n"/>
      <c r="R1377" s="72" t="n"/>
      <c r="S1377" s="72" t="n"/>
    </row>
    <row r="1378">
      <c r="B1378" s="72" t="n"/>
      <c r="C1378" s="72" t="n"/>
      <c r="D1378" s="72" t="n"/>
      <c r="E1378" s="72" t="n"/>
      <c r="F1378" s="72" t="n"/>
      <c r="G1378" s="72" t="n"/>
      <c r="H1378" s="72" t="n"/>
      <c r="I1378" s="72" t="n"/>
      <c r="J1378" s="72" t="n"/>
      <c r="K1378" s="72" t="n"/>
      <c r="L1378" s="72" t="n"/>
      <c r="M1378" s="72" t="n"/>
      <c r="N1378" s="72" t="n"/>
      <c r="O1378" s="72" t="n"/>
      <c r="P1378" s="72" t="n"/>
      <c r="Q1378" s="72" t="n"/>
      <c r="R1378" s="72" t="n"/>
      <c r="S1378" s="72" t="n"/>
    </row>
    <row r="1379">
      <c r="B1379" s="72" t="n"/>
      <c r="C1379" s="72" t="n"/>
      <c r="D1379" s="72" t="n"/>
      <c r="E1379" s="72" t="n"/>
      <c r="F1379" s="72" t="n"/>
      <c r="G1379" s="72" t="n"/>
      <c r="H1379" s="72" t="n"/>
      <c r="I1379" s="72" t="n"/>
      <c r="J1379" s="72" t="n"/>
      <c r="K1379" s="72" t="n"/>
      <c r="L1379" s="72" t="n"/>
      <c r="M1379" s="72" t="n"/>
      <c r="N1379" s="72" t="n"/>
      <c r="O1379" s="72" t="n"/>
      <c r="P1379" s="72" t="n"/>
      <c r="Q1379" s="72" t="n"/>
      <c r="R1379" s="72" t="n"/>
      <c r="S1379" s="72" t="n"/>
    </row>
    <row r="1380">
      <c r="B1380" s="72" t="n"/>
      <c r="C1380" s="72" t="n"/>
      <c r="D1380" s="72" t="n"/>
      <c r="E1380" s="72" t="n"/>
      <c r="F1380" s="72" t="n"/>
      <c r="G1380" s="72" t="n"/>
      <c r="H1380" s="72" t="n"/>
      <c r="I1380" s="72" t="n"/>
      <c r="J1380" s="72" t="n"/>
      <c r="K1380" s="72" t="n"/>
      <c r="L1380" s="72" t="n"/>
      <c r="M1380" s="72" t="n"/>
      <c r="N1380" s="72" t="n"/>
      <c r="O1380" s="72" t="n"/>
      <c r="P1380" s="72" t="n"/>
      <c r="Q1380" s="72" t="n"/>
      <c r="R1380" s="72" t="n"/>
      <c r="S1380" s="72" t="n"/>
    </row>
    <row r="1381">
      <c r="B1381" s="72" t="n"/>
      <c r="C1381" s="72" t="n"/>
      <c r="D1381" s="72" t="n"/>
      <c r="E1381" s="72" t="n"/>
      <c r="F1381" s="72" t="n"/>
      <c r="G1381" s="72" t="n"/>
      <c r="H1381" s="72" t="n"/>
      <c r="I1381" s="72" t="n"/>
      <c r="J1381" s="72" t="n"/>
      <c r="K1381" s="72" t="n"/>
      <c r="L1381" s="72" t="n"/>
      <c r="M1381" s="72" t="n"/>
      <c r="N1381" s="72" t="n"/>
      <c r="O1381" s="72" t="n"/>
      <c r="P1381" s="72" t="n"/>
      <c r="Q1381" s="72" t="n"/>
      <c r="R1381" s="72" t="n"/>
      <c r="S1381" s="72" t="n"/>
    </row>
    <row r="1382">
      <c r="B1382" s="72" t="n"/>
      <c r="C1382" s="72" t="n"/>
      <c r="D1382" s="72" t="n"/>
      <c r="E1382" s="72" t="n"/>
      <c r="F1382" s="72" t="n"/>
      <c r="G1382" s="72" t="n"/>
      <c r="H1382" s="72" t="n"/>
      <c r="I1382" s="72" t="n"/>
      <c r="J1382" s="72" t="n"/>
      <c r="K1382" s="72" t="n"/>
      <c r="L1382" s="72" t="n"/>
      <c r="M1382" s="72" t="n"/>
      <c r="N1382" s="72" t="n"/>
      <c r="O1382" s="72" t="n"/>
      <c r="P1382" s="72" t="n"/>
      <c r="Q1382" s="72" t="n"/>
      <c r="R1382" s="72" t="n"/>
      <c r="S1382" s="72" t="n"/>
    </row>
    <row r="1383">
      <c r="B1383" s="72" t="n"/>
      <c r="C1383" s="72" t="n"/>
      <c r="D1383" s="72" t="n"/>
      <c r="E1383" s="72" t="n"/>
      <c r="F1383" s="72" t="n"/>
      <c r="G1383" s="72" t="n"/>
      <c r="H1383" s="72" t="n"/>
      <c r="I1383" s="72" t="n"/>
      <c r="J1383" s="72" t="n"/>
      <c r="K1383" s="72" t="n"/>
      <c r="L1383" s="72" t="n"/>
      <c r="M1383" s="72" t="n"/>
      <c r="N1383" s="72" t="n"/>
      <c r="O1383" s="72" t="n"/>
      <c r="P1383" s="72" t="n"/>
      <c r="Q1383" s="72" t="n"/>
      <c r="R1383" s="72" t="n"/>
      <c r="S1383" s="72" t="n"/>
    </row>
    <row r="1384">
      <c r="B1384" s="72" t="n"/>
      <c r="C1384" s="72" t="n"/>
      <c r="D1384" s="72" t="n"/>
      <c r="E1384" s="72" t="n"/>
      <c r="F1384" s="72" t="n"/>
      <c r="G1384" s="72" t="n"/>
      <c r="H1384" s="72" t="n"/>
      <c r="I1384" s="72" t="n"/>
      <c r="J1384" s="72" t="n"/>
      <c r="K1384" s="72" t="n"/>
      <c r="L1384" s="72" t="n"/>
      <c r="M1384" s="72" t="n"/>
      <c r="N1384" s="72" t="n"/>
      <c r="O1384" s="72" t="n"/>
      <c r="P1384" s="72" t="n"/>
      <c r="Q1384" s="72" t="n"/>
      <c r="R1384" s="72" t="n"/>
      <c r="S1384" s="72" t="n"/>
    </row>
    <row r="1385">
      <c r="B1385" s="72" t="n"/>
      <c r="C1385" s="72" t="n"/>
      <c r="D1385" s="72" t="n"/>
      <c r="E1385" s="72" t="n"/>
      <c r="F1385" s="72" t="n"/>
      <c r="G1385" s="72" t="n"/>
      <c r="H1385" s="72" t="n"/>
      <c r="I1385" s="72" t="n"/>
      <c r="J1385" s="72" t="n"/>
      <c r="K1385" s="72" t="n"/>
      <c r="L1385" s="72" t="n"/>
      <c r="M1385" s="72" t="n"/>
      <c r="N1385" s="72" t="n"/>
      <c r="O1385" s="72" t="n"/>
      <c r="P1385" s="72" t="n"/>
      <c r="Q1385" s="72" t="n"/>
      <c r="R1385" s="72" t="n"/>
      <c r="S1385" s="72" t="n"/>
    </row>
    <row r="1386">
      <c r="B1386" s="72" t="n"/>
      <c r="C1386" s="72" t="n"/>
      <c r="D1386" s="72" t="n"/>
      <c r="E1386" s="72" t="n"/>
      <c r="F1386" s="72" t="n"/>
      <c r="G1386" s="72" t="n"/>
      <c r="H1386" s="72" t="n"/>
      <c r="I1386" s="72" t="n"/>
      <c r="J1386" s="72" t="n"/>
      <c r="K1386" s="72" t="n"/>
      <c r="L1386" s="72" t="n"/>
      <c r="M1386" s="72" t="n"/>
      <c r="N1386" s="72" t="n"/>
      <c r="O1386" s="72" t="n"/>
      <c r="P1386" s="72" t="n"/>
      <c r="Q1386" s="72" t="n"/>
      <c r="R1386" s="72" t="n"/>
      <c r="S1386" s="72" t="n"/>
    </row>
    <row r="1387">
      <c r="B1387" s="72" t="n"/>
      <c r="C1387" s="72" t="n"/>
      <c r="D1387" s="72" t="n"/>
      <c r="E1387" s="72" t="n"/>
      <c r="F1387" s="72" t="n"/>
      <c r="G1387" s="72" t="n"/>
      <c r="H1387" s="72" t="n"/>
      <c r="I1387" s="72" t="n"/>
      <c r="J1387" s="72" t="n"/>
      <c r="K1387" s="72" t="n"/>
      <c r="L1387" s="72" t="n"/>
      <c r="M1387" s="72" t="n"/>
      <c r="N1387" s="72" t="n"/>
      <c r="O1387" s="72" t="n"/>
      <c r="P1387" s="72" t="n"/>
      <c r="Q1387" s="72" t="n"/>
      <c r="R1387" s="72" t="n"/>
      <c r="S1387" s="72" t="n"/>
    </row>
    <row r="1388">
      <c r="B1388" s="72" t="n"/>
      <c r="C1388" s="72" t="n"/>
      <c r="D1388" s="72" t="n"/>
      <c r="E1388" s="72" t="n"/>
      <c r="F1388" s="72" t="n"/>
      <c r="G1388" s="72" t="n"/>
      <c r="H1388" s="72" t="n"/>
      <c r="I1388" s="72" t="n"/>
      <c r="J1388" s="72" t="n"/>
      <c r="K1388" s="72" t="n"/>
      <c r="L1388" s="72" t="n"/>
      <c r="M1388" s="72" t="n"/>
      <c r="N1388" s="72" t="n"/>
      <c r="O1388" s="72" t="n"/>
      <c r="P1388" s="72" t="n"/>
      <c r="Q1388" s="72" t="n"/>
      <c r="R1388" s="72" t="n"/>
      <c r="S1388" s="72" t="n"/>
    </row>
    <row r="1389">
      <c r="B1389" s="72" t="n"/>
      <c r="C1389" s="72" t="n"/>
      <c r="D1389" s="72" t="n"/>
      <c r="E1389" s="72" t="n"/>
      <c r="F1389" s="72" t="n"/>
      <c r="G1389" s="72" t="n"/>
      <c r="H1389" s="72" t="n"/>
      <c r="I1389" s="72" t="n"/>
      <c r="J1389" s="72" t="n"/>
      <c r="K1389" s="72" t="n"/>
      <c r="L1389" s="72" t="n"/>
      <c r="M1389" s="72" t="n"/>
      <c r="N1389" s="72" t="n"/>
      <c r="O1389" s="72" t="n"/>
      <c r="P1389" s="72" t="n"/>
      <c r="Q1389" s="72" t="n"/>
      <c r="R1389" s="72" t="n"/>
      <c r="S1389" s="72" t="n"/>
    </row>
    <row r="1390">
      <c r="B1390" s="72" t="n"/>
      <c r="C1390" s="72" t="n"/>
      <c r="D1390" s="72" t="n"/>
      <c r="E1390" s="72" t="n"/>
      <c r="F1390" s="72" t="n"/>
      <c r="G1390" s="72" t="n"/>
      <c r="H1390" s="72" t="n"/>
      <c r="I1390" s="72" t="n"/>
      <c r="J1390" s="72" t="n"/>
      <c r="K1390" s="72" t="n"/>
      <c r="L1390" s="72" t="n"/>
      <c r="M1390" s="72" t="n"/>
      <c r="N1390" s="72" t="n"/>
      <c r="O1390" s="72" t="n"/>
      <c r="P1390" s="72" t="n"/>
      <c r="Q1390" s="72" t="n"/>
      <c r="R1390" s="72" t="n"/>
      <c r="S1390" s="72" t="n"/>
    </row>
    <row r="1391">
      <c r="B1391" s="72" t="n"/>
      <c r="C1391" s="72" t="n"/>
      <c r="D1391" s="72" t="n"/>
      <c r="E1391" s="72" t="n"/>
      <c r="F1391" s="72" t="n"/>
      <c r="G1391" s="72" t="n"/>
      <c r="H1391" s="72" t="n"/>
      <c r="I1391" s="72" t="n"/>
      <c r="J1391" s="72" t="n"/>
      <c r="K1391" s="72" t="n"/>
      <c r="L1391" s="72" t="n"/>
      <c r="M1391" s="72" t="n"/>
      <c r="N1391" s="72" t="n"/>
      <c r="O1391" s="72" t="n"/>
      <c r="P1391" s="72" t="n"/>
      <c r="Q1391" s="72" t="n"/>
      <c r="R1391" s="72" t="n"/>
      <c r="S1391" s="72" t="n"/>
    </row>
    <row r="1392">
      <c r="B1392" s="72" t="n"/>
      <c r="C1392" s="72" t="n"/>
      <c r="D1392" s="72" t="n"/>
      <c r="E1392" s="72" t="n"/>
      <c r="F1392" s="72" t="n"/>
      <c r="G1392" s="72" t="n"/>
      <c r="H1392" s="72" t="n"/>
      <c r="I1392" s="72" t="n"/>
      <c r="J1392" s="72" t="n"/>
      <c r="K1392" s="72" t="n"/>
      <c r="L1392" s="72" t="n"/>
      <c r="M1392" s="72" t="n"/>
      <c r="N1392" s="72" t="n"/>
      <c r="O1392" s="72" t="n"/>
      <c r="P1392" s="72" t="n"/>
      <c r="Q1392" s="72" t="n"/>
      <c r="R1392" s="72" t="n"/>
      <c r="S1392" s="72" t="n"/>
    </row>
    <row r="1393">
      <c r="B1393" s="72" t="n"/>
      <c r="C1393" s="72" t="n"/>
      <c r="D1393" s="72" t="n"/>
      <c r="E1393" s="72" t="n"/>
      <c r="F1393" s="72" t="n"/>
      <c r="G1393" s="72" t="n"/>
      <c r="H1393" s="72" t="n"/>
      <c r="I1393" s="72" t="n"/>
      <c r="J1393" s="72" t="n"/>
      <c r="K1393" s="72" t="n"/>
      <c r="L1393" s="72" t="n"/>
      <c r="M1393" s="72" t="n"/>
      <c r="N1393" s="72" t="n"/>
      <c r="O1393" s="72" t="n"/>
      <c r="P1393" s="72" t="n"/>
      <c r="Q1393" s="72" t="n"/>
      <c r="R1393" s="72" t="n"/>
      <c r="S1393" s="72" t="n"/>
    </row>
    <row r="1394">
      <c r="B1394" s="72" t="n"/>
      <c r="C1394" s="72" t="n"/>
      <c r="D1394" s="72" t="n"/>
      <c r="E1394" s="72" t="n"/>
      <c r="F1394" s="72" t="n"/>
      <c r="G1394" s="72" t="n"/>
      <c r="H1394" s="72" t="n"/>
      <c r="I1394" s="72" t="n"/>
      <c r="J1394" s="72" t="n"/>
      <c r="K1394" s="72" t="n"/>
      <c r="L1394" s="72" t="n"/>
      <c r="M1394" s="72" t="n"/>
      <c r="N1394" s="72" t="n"/>
      <c r="O1394" s="72" t="n"/>
      <c r="P1394" s="72" t="n"/>
      <c r="Q1394" s="72" t="n"/>
      <c r="R1394" s="72" t="n"/>
      <c r="S1394" s="72" t="n"/>
    </row>
    <row r="1395">
      <c r="B1395" s="72" t="n"/>
      <c r="C1395" s="72" t="n"/>
      <c r="D1395" s="72" t="n"/>
      <c r="E1395" s="72" t="n"/>
      <c r="F1395" s="72" t="n"/>
      <c r="G1395" s="72" t="n"/>
      <c r="H1395" s="72" t="n"/>
      <c r="I1395" s="72" t="n"/>
      <c r="J1395" s="72" t="n"/>
      <c r="K1395" s="72" t="n"/>
      <c r="L1395" s="72" t="n"/>
      <c r="M1395" s="72" t="n"/>
      <c r="N1395" s="72" t="n"/>
      <c r="O1395" s="72" t="n"/>
      <c r="P1395" s="72" t="n"/>
      <c r="Q1395" s="72" t="n"/>
      <c r="R1395" s="72" t="n"/>
      <c r="S1395" s="72" t="n"/>
    </row>
    <row r="1396">
      <c r="B1396" s="72" t="n"/>
      <c r="C1396" s="72" t="n"/>
      <c r="D1396" s="72" t="n"/>
      <c r="E1396" s="72" t="n"/>
      <c r="F1396" s="72" t="n"/>
      <c r="G1396" s="72" t="n"/>
      <c r="H1396" s="72" t="n"/>
      <c r="I1396" s="72" t="n"/>
      <c r="J1396" s="72" t="n"/>
      <c r="K1396" s="72" t="n"/>
      <c r="L1396" s="72" t="n"/>
      <c r="M1396" s="72" t="n"/>
      <c r="N1396" s="72" t="n"/>
      <c r="O1396" s="72" t="n"/>
      <c r="P1396" s="72" t="n"/>
      <c r="Q1396" s="72" t="n"/>
      <c r="R1396" s="72" t="n"/>
      <c r="S1396" s="72" t="n"/>
    </row>
    <row r="1397">
      <c r="B1397" s="72" t="n"/>
      <c r="C1397" s="72" t="n"/>
      <c r="D1397" s="72" t="n"/>
      <c r="E1397" s="72" t="n"/>
      <c r="F1397" s="72" t="n"/>
      <c r="G1397" s="72" t="n"/>
      <c r="H1397" s="72" t="n"/>
      <c r="I1397" s="72" t="n"/>
      <c r="J1397" s="72" t="n"/>
      <c r="K1397" s="72" t="n"/>
      <c r="L1397" s="72" t="n"/>
      <c r="M1397" s="72" t="n"/>
      <c r="N1397" s="72" t="n"/>
      <c r="O1397" s="72" t="n"/>
      <c r="P1397" s="72" t="n"/>
      <c r="Q1397" s="72" t="n"/>
      <c r="R1397" s="72" t="n"/>
      <c r="S1397" s="72" t="n"/>
    </row>
    <row r="1398">
      <c r="B1398" s="72" t="n"/>
      <c r="C1398" s="72" t="n"/>
      <c r="D1398" s="72" t="n"/>
      <c r="E1398" s="72" t="n"/>
      <c r="F1398" s="72" t="n"/>
      <c r="G1398" s="72" t="n"/>
      <c r="H1398" s="72" t="n"/>
      <c r="I1398" s="72" t="n"/>
      <c r="J1398" s="72" t="n"/>
      <c r="K1398" s="72" t="n"/>
      <c r="L1398" s="72" t="n"/>
      <c r="M1398" s="72" t="n"/>
      <c r="N1398" s="72" t="n"/>
      <c r="O1398" s="72" t="n"/>
      <c r="P1398" s="72" t="n"/>
      <c r="Q1398" s="72" t="n"/>
      <c r="R1398" s="72" t="n"/>
      <c r="S1398" s="72" t="n"/>
    </row>
    <row r="1399">
      <c r="B1399" s="72" t="n"/>
      <c r="C1399" s="72" t="n"/>
      <c r="D1399" s="72" t="n"/>
      <c r="E1399" s="72" t="n"/>
      <c r="F1399" s="72" t="n"/>
      <c r="G1399" s="72" t="n"/>
      <c r="H1399" s="72" t="n"/>
      <c r="I1399" s="72" t="n"/>
      <c r="J1399" s="72" t="n"/>
      <c r="K1399" s="72" t="n"/>
      <c r="L1399" s="72" t="n"/>
      <c r="M1399" s="72" t="n"/>
      <c r="N1399" s="72" t="n"/>
      <c r="O1399" s="72" t="n"/>
      <c r="P1399" s="72" t="n"/>
      <c r="Q1399" s="72" t="n"/>
      <c r="R1399" s="72" t="n"/>
      <c r="S1399" s="72" t="n"/>
    </row>
    <row r="1400">
      <c r="B1400" s="72" t="n"/>
      <c r="C1400" s="72" t="n"/>
      <c r="D1400" s="72" t="n"/>
      <c r="E1400" s="72" t="n"/>
      <c r="F1400" s="72" t="n"/>
      <c r="G1400" s="72" t="n"/>
      <c r="H1400" s="72" t="n"/>
      <c r="I1400" s="72" t="n"/>
      <c r="J1400" s="72" t="n"/>
      <c r="K1400" s="72" t="n"/>
      <c r="L1400" s="72" t="n"/>
      <c r="M1400" s="72" t="n"/>
      <c r="N1400" s="72" t="n"/>
      <c r="O1400" s="72" t="n"/>
      <c r="P1400" s="72" t="n"/>
      <c r="Q1400" s="72" t="n"/>
      <c r="R1400" s="72" t="n"/>
      <c r="S1400" s="72" t="n"/>
    </row>
    <row r="1401">
      <c r="B1401" s="72" t="n"/>
      <c r="C1401" s="72" t="n"/>
      <c r="D1401" s="72" t="n"/>
      <c r="E1401" s="72" t="n"/>
      <c r="F1401" s="72" t="n"/>
      <c r="G1401" s="72" t="n"/>
      <c r="H1401" s="72" t="n"/>
      <c r="I1401" s="72" t="n"/>
      <c r="J1401" s="72" t="n"/>
      <c r="K1401" s="72" t="n"/>
      <c r="L1401" s="72" t="n"/>
      <c r="M1401" s="72" t="n"/>
      <c r="N1401" s="72" t="n"/>
      <c r="O1401" s="72" t="n"/>
      <c r="P1401" s="72" t="n"/>
      <c r="Q1401" s="72" t="n"/>
      <c r="R1401" s="72" t="n"/>
      <c r="S1401" s="72" t="n"/>
    </row>
    <row r="1402">
      <c r="B1402" s="72" t="n"/>
      <c r="C1402" s="72" t="n"/>
      <c r="D1402" s="72" t="n"/>
      <c r="E1402" s="72" t="n"/>
      <c r="F1402" s="72" t="n"/>
      <c r="G1402" s="72" t="n"/>
      <c r="H1402" s="72" t="n"/>
      <c r="I1402" s="72" t="n"/>
      <c r="J1402" s="72" t="n"/>
      <c r="K1402" s="72" t="n"/>
      <c r="L1402" s="72" t="n"/>
      <c r="M1402" s="72" t="n"/>
      <c r="N1402" s="72" t="n"/>
      <c r="O1402" s="72" t="n"/>
      <c r="P1402" s="72" t="n"/>
      <c r="Q1402" s="72" t="n"/>
      <c r="R1402" s="72" t="n"/>
      <c r="S1402" s="72" t="n"/>
    </row>
    <row r="1403">
      <c r="B1403" s="72" t="n"/>
      <c r="C1403" s="72" t="n"/>
      <c r="D1403" s="72" t="n"/>
      <c r="E1403" s="72" t="n"/>
      <c r="F1403" s="72" t="n"/>
      <c r="G1403" s="72" t="n"/>
      <c r="H1403" s="72" t="n"/>
      <c r="I1403" s="72" t="n"/>
      <c r="J1403" s="72" t="n"/>
      <c r="K1403" s="72" t="n"/>
      <c r="L1403" s="72" t="n"/>
      <c r="M1403" s="72" t="n"/>
      <c r="N1403" s="72" t="n"/>
      <c r="O1403" s="72" t="n"/>
      <c r="P1403" s="72" t="n"/>
      <c r="Q1403" s="72" t="n"/>
      <c r="R1403" s="72" t="n"/>
      <c r="S1403" s="72" t="n"/>
    </row>
    <row r="1404">
      <c r="B1404" s="72" t="n"/>
      <c r="C1404" s="72" t="n"/>
      <c r="D1404" s="72" t="n"/>
      <c r="E1404" s="72" t="n"/>
      <c r="F1404" s="72" t="n"/>
      <c r="G1404" s="72" t="n"/>
      <c r="H1404" s="72" t="n"/>
      <c r="I1404" s="72" t="n"/>
      <c r="J1404" s="72" t="n"/>
      <c r="K1404" s="72" t="n"/>
      <c r="L1404" s="72" t="n"/>
      <c r="M1404" s="72" t="n"/>
      <c r="N1404" s="72" t="n"/>
      <c r="O1404" s="72" t="n"/>
      <c r="P1404" s="72" t="n"/>
      <c r="Q1404" s="72" t="n"/>
      <c r="R1404" s="72" t="n"/>
      <c r="S1404" s="72" t="n"/>
    </row>
    <row r="1405">
      <c r="B1405" s="72" t="n"/>
      <c r="C1405" s="72" t="n"/>
      <c r="D1405" s="72" t="n"/>
      <c r="E1405" s="72" t="n"/>
      <c r="F1405" s="72" t="n"/>
      <c r="G1405" s="72" t="n"/>
      <c r="H1405" s="72" t="n"/>
      <c r="I1405" s="72" t="n"/>
      <c r="J1405" s="72" t="n"/>
      <c r="K1405" s="72" t="n"/>
      <c r="L1405" s="72" t="n"/>
      <c r="M1405" s="72" t="n"/>
      <c r="N1405" s="72" t="n"/>
      <c r="O1405" s="72" t="n"/>
      <c r="P1405" s="72" t="n"/>
      <c r="Q1405" s="72" t="n"/>
      <c r="R1405" s="72" t="n"/>
      <c r="S1405" s="72" t="n"/>
    </row>
    <row r="1406">
      <c r="B1406" s="72" t="n"/>
      <c r="C1406" s="72" t="n"/>
      <c r="D1406" s="72" t="n"/>
      <c r="E1406" s="72" t="n"/>
      <c r="F1406" s="72" t="n"/>
      <c r="G1406" s="72" t="n"/>
      <c r="H1406" s="72" t="n"/>
      <c r="I1406" s="72" t="n"/>
      <c r="J1406" s="72" t="n"/>
      <c r="K1406" s="72" t="n"/>
      <c r="L1406" s="72" t="n"/>
      <c r="M1406" s="72" t="n"/>
      <c r="N1406" s="72" t="n"/>
      <c r="O1406" s="72" t="n"/>
      <c r="P1406" s="72" t="n"/>
      <c r="Q1406" s="72" t="n"/>
      <c r="R1406" s="72" t="n"/>
      <c r="S1406" s="72" t="n"/>
    </row>
    <row r="1407">
      <c r="B1407" s="72" t="n"/>
      <c r="C1407" s="72" t="n"/>
      <c r="D1407" s="72" t="n"/>
      <c r="E1407" s="72" t="n"/>
      <c r="F1407" s="72" t="n"/>
      <c r="G1407" s="72" t="n"/>
      <c r="H1407" s="72" t="n"/>
      <c r="I1407" s="72" t="n"/>
      <c r="J1407" s="72" t="n"/>
      <c r="K1407" s="72" t="n"/>
      <c r="L1407" s="72" t="n"/>
      <c r="M1407" s="72" t="n"/>
      <c r="N1407" s="72" t="n"/>
      <c r="O1407" s="72" t="n"/>
      <c r="P1407" s="72" t="n"/>
      <c r="Q1407" s="72" t="n"/>
      <c r="R1407" s="72" t="n"/>
      <c r="S1407" s="72" t="n"/>
    </row>
    <row r="1408">
      <c r="B1408" s="72" t="n"/>
      <c r="C1408" s="72" t="n"/>
      <c r="D1408" s="72" t="n"/>
      <c r="E1408" s="72" t="n"/>
      <c r="F1408" s="72" t="n"/>
      <c r="G1408" s="72" t="n"/>
      <c r="H1408" s="72" t="n"/>
      <c r="I1408" s="72" t="n"/>
      <c r="J1408" s="72" t="n"/>
      <c r="K1408" s="72" t="n"/>
      <c r="L1408" s="72" t="n"/>
      <c r="M1408" s="72" t="n"/>
      <c r="N1408" s="72" t="n"/>
      <c r="O1408" s="72" t="n"/>
      <c r="P1408" s="72" t="n"/>
      <c r="Q1408" s="72" t="n"/>
      <c r="R1408" s="72" t="n"/>
      <c r="S1408" s="72" t="n"/>
    </row>
    <row r="1409">
      <c r="B1409" s="72" t="n"/>
      <c r="C1409" s="72" t="n"/>
      <c r="D1409" s="72" t="n"/>
      <c r="E1409" s="72" t="n"/>
      <c r="F1409" s="72" t="n"/>
      <c r="G1409" s="72" t="n"/>
      <c r="H1409" s="72" t="n"/>
      <c r="I1409" s="72" t="n"/>
      <c r="J1409" s="72" t="n"/>
      <c r="K1409" s="72" t="n"/>
      <c r="L1409" s="72" t="n"/>
      <c r="M1409" s="72" t="n"/>
      <c r="N1409" s="72" t="n"/>
      <c r="O1409" s="72" t="n"/>
      <c r="P1409" s="72" t="n"/>
      <c r="Q1409" s="72" t="n"/>
      <c r="R1409" s="72" t="n"/>
      <c r="S1409" s="72" t="n"/>
    </row>
    <row r="1410">
      <c r="B1410" s="72" t="n"/>
      <c r="C1410" s="72" t="n"/>
      <c r="D1410" s="72" t="n"/>
      <c r="E1410" s="72" t="n"/>
      <c r="F1410" s="72" t="n"/>
      <c r="G1410" s="72" t="n"/>
      <c r="H1410" s="72" t="n"/>
      <c r="I1410" s="72" t="n"/>
      <c r="J1410" s="72" t="n"/>
      <c r="K1410" s="72" t="n"/>
      <c r="L1410" s="72" t="n"/>
      <c r="M1410" s="72" t="n"/>
      <c r="N1410" s="72" t="n"/>
      <c r="O1410" s="72" t="n"/>
      <c r="P1410" s="72" t="n"/>
      <c r="Q1410" s="72" t="n"/>
      <c r="R1410" s="72" t="n"/>
      <c r="S1410" s="72" t="n"/>
    </row>
    <row r="1411">
      <c r="B1411" s="72" t="n"/>
      <c r="C1411" s="72" t="n"/>
      <c r="D1411" s="72" t="n"/>
      <c r="E1411" s="72" t="n"/>
      <c r="F1411" s="72" t="n"/>
      <c r="G1411" s="72" t="n"/>
      <c r="H1411" s="72" t="n"/>
      <c r="I1411" s="72" t="n"/>
      <c r="J1411" s="72" t="n"/>
      <c r="K1411" s="72" t="n"/>
      <c r="L1411" s="72" t="n"/>
      <c r="M1411" s="72" t="n"/>
      <c r="N1411" s="72" t="n"/>
      <c r="O1411" s="72" t="n"/>
      <c r="P1411" s="72" t="n"/>
      <c r="Q1411" s="72" t="n"/>
      <c r="R1411" s="72" t="n"/>
      <c r="S1411" s="72" t="n"/>
    </row>
    <row r="1412">
      <c r="B1412" s="72" t="n"/>
      <c r="C1412" s="72" t="n"/>
      <c r="D1412" s="72" t="n"/>
      <c r="E1412" s="72" t="n"/>
      <c r="F1412" s="72" t="n"/>
      <c r="G1412" s="72" t="n"/>
      <c r="H1412" s="72" t="n"/>
      <c r="I1412" s="72" t="n"/>
      <c r="J1412" s="72" t="n"/>
      <c r="K1412" s="72" t="n"/>
      <c r="L1412" s="72" t="n"/>
      <c r="M1412" s="72" t="n"/>
      <c r="N1412" s="72" t="n"/>
      <c r="O1412" s="72" t="n"/>
      <c r="P1412" s="72" t="n"/>
      <c r="Q1412" s="72" t="n"/>
      <c r="R1412" s="72" t="n"/>
      <c r="S1412" s="72" t="n"/>
    </row>
    <row r="1413">
      <c r="B1413" s="72" t="n"/>
      <c r="C1413" s="72" t="n"/>
      <c r="D1413" s="72" t="n"/>
      <c r="E1413" s="72" t="n"/>
      <c r="F1413" s="72" t="n"/>
      <c r="G1413" s="72" t="n"/>
      <c r="H1413" s="72" t="n"/>
      <c r="I1413" s="72" t="n"/>
      <c r="J1413" s="72" t="n"/>
      <c r="K1413" s="72" t="n"/>
      <c r="L1413" s="72" t="n"/>
      <c r="M1413" s="72" t="n"/>
      <c r="N1413" s="72" t="n"/>
      <c r="O1413" s="72" t="n"/>
      <c r="P1413" s="72" t="n"/>
      <c r="Q1413" s="72" t="n"/>
      <c r="R1413" s="72" t="n"/>
      <c r="S1413" s="72" t="n"/>
    </row>
    <row r="1414">
      <c r="B1414" s="72" t="n"/>
      <c r="C1414" s="72" t="n"/>
      <c r="D1414" s="72" t="n"/>
      <c r="E1414" s="72" t="n"/>
      <c r="F1414" s="72" t="n"/>
      <c r="G1414" s="72" t="n"/>
      <c r="H1414" s="72" t="n"/>
      <c r="I1414" s="72" t="n"/>
      <c r="J1414" s="72" t="n"/>
      <c r="K1414" s="72" t="n"/>
      <c r="L1414" s="72" t="n"/>
      <c r="M1414" s="72" t="n"/>
      <c r="N1414" s="72" t="n"/>
      <c r="O1414" s="72" t="n"/>
      <c r="P1414" s="72" t="n"/>
      <c r="Q1414" s="72" t="n"/>
      <c r="R1414" s="72" t="n"/>
      <c r="S1414" s="72" t="n"/>
    </row>
    <row r="1415">
      <c r="B1415" s="72" t="n"/>
      <c r="C1415" s="72" t="n"/>
      <c r="D1415" s="72" t="n"/>
      <c r="E1415" s="72" t="n"/>
      <c r="F1415" s="72" t="n"/>
      <c r="G1415" s="72" t="n"/>
      <c r="H1415" s="72" t="n"/>
      <c r="I1415" s="72" t="n"/>
      <c r="J1415" s="72" t="n"/>
      <c r="K1415" s="72" t="n"/>
      <c r="L1415" s="72" t="n"/>
      <c r="M1415" s="72" t="n"/>
      <c r="N1415" s="72" t="n"/>
      <c r="O1415" s="72" t="n"/>
      <c r="P1415" s="72" t="n"/>
      <c r="Q1415" s="72" t="n"/>
      <c r="R1415" s="72" t="n"/>
      <c r="S1415" s="72" t="n"/>
    </row>
    <row r="1416">
      <c r="B1416" s="72" t="n"/>
      <c r="C1416" s="72" t="n"/>
      <c r="D1416" s="72" t="n"/>
      <c r="E1416" s="72" t="n"/>
      <c r="F1416" s="72" t="n"/>
      <c r="G1416" s="72" t="n"/>
      <c r="H1416" s="72" t="n"/>
      <c r="I1416" s="72" t="n"/>
      <c r="J1416" s="72" t="n"/>
      <c r="K1416" s="72" t="n"/>
      <c r="L1416" s="72" t="n"/>
      <c r="M1416" s="72" t="n"/>
      <c r="N1416" s="72" t="n"/>
      <c r="O1416" s="72" t="n"/>
      <c r="P1416" s="72" t="n"/>
      <c r="Q1416" s="72" t="n"/>
      <c r="R1416" s="72" t="n"/>
      <c r="S1416" s="72" t="n"/>
    </row>
    <row r="1417">
      <c r="B1417" s="72" t="n"/>
      <c r="C1417" s="72" t="n"/>
      <c r="D1417" s="72" t="n"/>
      <c r="E1417" s="72" t="n"/>
      <c r="F1417" s="72" t="n"/>
      <c r="G1417" s="72" t="n"/>
      <c r="H1417" s="72" t="n"/>
      <c r="I1417" s="72" t="n"/>
      <c r="J1417" s="72" t="n"/>
      <c r="K1417" s="72" t="n"/>
      <c r="L1417" s="72" t="n"/>
      <c r="M1417" s="72" t="n"/>
      <c r="N1417" s="72" t="n"/>
      <c r="O1417" s="72" t="n"/>
      <c r="P1417" s="72" t="n"/>
      <c r="Q1417" s="72" t="n"/>
      <c r="R1417" s="72" t="n"/>
      <c r="S1417" s="72" t="n"/>
    </row>
    <row r="1418">
      <c r="B1418" s="72" t="n"/>
      <c r="C1418" s="72" t="n"/>
      <c r="D1418" s="72" t="n"/>
      <c r="E1418" s="72" t="n"/>
      <c r="F1418" s="72" t="n"/>
      <c r="G1418" s="72" t="n"/>
      <c r="H1418" s="72" t="n"/>
      <c r="I1418" s="72" t="n"/>
      <c r="J1418" s="72" t="n"/>
      <c r="K1418" s="72" t="n"/>
      <c r="L1418" s="72" t="n"/>
      <c r="M1418" s="72" t="n"/>
      <c r="N1418" s="72" t="n"/>
      <c r="O1418" s="72" t="n"/>
      <c r="P1418" s="72" t="n"/>
      <c r="Q1418" s="72" t="n"/>
      <c r="R1418" s="72" t="n"/>
      <c r="S1418" s="72" t="n"/>
    </row>
    <row r="1419">
      <c r="B1419" s="72" t="n"/>
      <c r="C1419" s="72" t="n"/>
      <c r="D1419" s="72" t="n"/>
      <c r="E1419" s="72" t="n"/>
      <c r="F1419" s="72" t="n"/>
      <c r="G1419" s="72" t="n"/>
      <c r="H1419" s="72" t="n"/>
      <c r="I1419" s="72" t="n"/>
      <c r="J1419" s="72" t="n"/>
      <c r="K1419" s="72" t="n"/>
      <c r="L1419" s="72" t="n"/>
      <c r="M1419" s="72" t="n"/>
      <c r="N1419" s="72" t="n"/>
      <c r="O1419" s="72" t="n"/>
      <c r="P1419" s="72" t="n"/>
      <c r="Q1419" s="72" t="n"/>
      <c r="R1419" s="72" t="n"/>
      <c r="S1419" s="72" t="n"/>
    </row>
    <row r="1420">
      <c r="B1420" s="72" t="n"/>
      <c r="C1420" s="72" t="n"/>
      <c r="D1420" s="72" t="n"/>
      <c r="E1420" s="72" t="n"/>
      <c r="F1420" s="72" t="n"/>
      <c r="G1420" s="72" t="n"/>
      <c r="H1420" s="72" t="n"/>
      <c r="I1420" s="72" t="n"/>
      <c r="J1420" s="72" t="n"/>
      <c r="K1420" s="72" t="n"/>
      <c r="L1420" s="72" t="n"/>
      <c r="M1420" s="72" t="n"/>
      <c r="N1420" s="72" t="n"/>
      <c r="O1420" s="72" t="n"/>
      <c r="P1420" s="72" t="n"/>
      <c r="Q1420" s="72" t="n"/>
      <c r="R1420" s="72" t="n"/>
      <c r="S1420" s="72" t="n"/>
    </row>
    <row r="1421">
      <c r="B1421" s="72" t="n"/>
      <c r="C1421" s="72" t="n"/>
      <c r="D1421" s="72" t="n"/>
      <c r="E1421" s="72" t="n"/>
      <c r="F1421" s="72" t="n"/>
      <c r="G1421" s="72" t="n"/>
      <c r="H1421" s="72" t="n"/>
      <c r="I1421" s="72" t="n"/>
      <c r="J1421" s="72" t="n"/>
      <c r="K1421" s="72" t="n"/>
      <c r="L1421" s="72" t="n"/>
      <c r="M1421" s="72" t="n"/>
      <c r="N1421" s="72" t="n"/>
      <c r="O1421" s="72" t="n"/>
      <c r="P1421" s="72" t="n"/>
      <c r="Q1421" s="72" t="n"/>
      <c r="R1421" s="72" t="n"/>
      <c r="S1421" s="72" t="n"/>
    </row>
    <row r="1422">
      <c r="B1422" s="72" t="n"/>
      <c r="C1422" s="72" t="n"/>
      <c r="D1422" s="72" t="n"/>
      <c r="E1422" s="72" t="n"/>
      <c r="F1422" s="72" t="n"/>
      <c r="G1422" s="72" t="n"/>
      <c r="H1422" s="72" t="n"/>
      <c r="I1422" s="72" t="n"/>
      <c r="J1422" s="72" t="n"/>
      <c r="K1422" s="72" t="n"/>
      <c r="L1422" s="72" t="n"/>
      <c r="M1422" s="72" t="n"/>
      <c r="N1422" s="72" t="n"/>
      <c r="O1422" s="72" t="n"/>
      <c r="P1422" s="72" t="n"/>
      <c r="Q1422" s="72" t="n"/>
      <c r="R1422" s="72" t="n"/>
      <c r="S1422" s="72" t="n"/>
    </row>
    <row r="1423">
      <c r="B1423" s="72" t="n"/>
      <c r="C1423" s="72" t="n"/>
      <c r="D1423" s="72" t="n"/>
      <c r="E1423" s="72" t="n"/>
      <c r="F1423" s="72" t="n"/>
      <c r="G1423" s="72" t="n"/>
      <c r="H1423" s="72" t="n"/>
      <c r="I1423" s="72" t="n"/>
      <c r="J1423" s="72" t="n"/>
      <c r="K1423" s="72" t="n"/>
      <c r="L1423" s="72" t="n"/>
      <c r="M1423" s="72" t="n"/>
      <c r="N1423" s="72" t="n"/>
      <c r="O1423" s="72" t="n"/>
      <c r="P1423" s="72" t="n"/>
      <c r="Q1423" s="72" t="n"/>
      <c r="R1423" s="72" t="n"/>
      <c r="S1423" s="72" t="n"/>
    </row>
    <row r="1424">
      <c r="B1424" s="72" t="n"/>
      <c r="C1424" s="72" t="n"/>
      <c r="D1424" s="72" t="n"/>
      <c r="E1424" s="72" t="n"/>
      <c r="F1424" s="72" t="n"/>
      <c r="G1424" s="72" t="n"/>
      <c r="H1424" s="72" t="n"/>
      <c r="I1424" s="72" t="n"/>
      <c r="J1424" s="72" t="n"/>
      <c r="K1424" s="72" t="n"/>
      <c r="L1424" s="72" t="n"/>
      <c r="M1424" s="72" t="n"/>
      <c r="N1424" s="72" t="n"/>
      <c r="O1424" s="72" t="n"/>
      <c r="P1424" s="72" t="n"/>
      <c r="Q1424" s="72" t="n"/>
      <c r="R1424" s="72" t="n"/>
      <c r="S1424" s="72" t="n"/>
    </row>
    <row r="1425">
      <c r="B1425" s="72" t="n"/>
      <c r="C1425" s="72" t="n"/>
      <c r="D1425" s="72" t="n"/>
      <c r="E1425" s="72" t="n"/>
      <c r="F1425" s="72" t="n"/>
      <c r="G1425" s="72" t="n"/>
      <c r="H1425" s="72" t="n"/>
      <c r="I1425" s="72" t="n"/>
      <c r="J1425" s="72" t="n"/>
      <c r="K1425" s="72" t="n"/>
      <c r="L1425" s="72" t="n"/>
      <c r="M1425" s="72" t="n"/>
      <c r="N1425" s="72" t="n"/>
      <c r="O1425" s="72" t="n"/>
      <c r="P1425" s="72" t="n"/>
      <c r="Q1425" s="72" t="n"/>
      <c r="R1425" s="72" t="n"/>
      <c r="S1425" s="72" t="n"/>
    </row>
    <row r="1426">
      <c r="B1426" s="72" t="n"/>
      <c r="C1426" s="72" t="n"/>
      <c r="D1426" s="72" t="n"/>
      <c r="E1426" s="72" t="n"/>
      <c r="F1426" s="72" t="n"/>
      <c r="G1426" s="72" t="n"/>
      <c r="H1426" s="72" t="n"/>
      <c r="I1426" s="72" t="n"/>
      <c r="J1426" s="72" t="n"/>
      <c r="K1426" s="72" t="n"/>
      <c r="L1426" s="72" t="n"/>
      <c r="M1426" s="72" t="n"/>
      <c r="N1426" s="72" t="n"/>
      <c r="O1426" s="72" t="n"/>
      <c r="P1426" s="72" t="n"/>
      <c r="Q1426" s="72" t="n"/>
      <c r="R1426" s="72" t="n"/>
      <c r="S1426" s="72" t="n"/>
    </row>
    <row r="1427">
      <c r="B1427" s="72" t="n"/>
      <c r="C1427" s="72" t="n"/>
      <c r="D1427" s="72" t="n"/>
      <c r="E1427" s="72" t="n"/>
      <c r="F1427" s="72" t="n"/>
      <c r="G1427" s="72" t="n"/>
      <c r="H1427" s="72" t="n"/>
      <c r="I1427" s="72" t="n"/>
      <c r="J1427" s="72" t="n"/>
      <c r="K1427" s="72" t="n"/>
      <c r="L1427" s="72" t="n"/>
      <c r="M1427" s="72" t="n"/>
      <c r="N1427" s="72" t="n"/>
      <c r="O1427" s="72" t="n"/>
      <c r="P1427" s="72" t="n"/>
      <c r="Q1427" s="72" t="n"/>
      <c r="R1427" s="72" t="n"/>
      <c r="S1427" s="72" t="n"/>
    </row>
    <row r="1428">
      <c r="B1428" s="72" t="n"/>
      <c r="C1428" s="72" t="n"/>
      <c r="D1428" s="72" t="n"/>
      <c r="E1428" s="72" t="n"/>
      <c r="F1428" s="72" t="n"/>
      <c r="G1428" s="72" t="n"/>
      <c r="H1428" s="72" t="n"/>
      <c r="I1428" s="72" t="n"/>
      <c r="J1428" s="72" t="n"/>
      <c r="K1428" s="72" t="n"/>
      <c r="L1428" s="72" t="n"/>
      <c r="M1428" s="72" t="n"/>
      <c r="N1428" s="72" t="n"/>
      <c r="O1428" s="72" t="n"/>
      <c r="P1428" s="72" t="n"/>
      <c r="Q1428" s="72" t="n"/>
      <c r="R1428" s="72" t="n"/>
      <c r="S1428" s="72" t="n"/>
    </row>
    <row r="1429">
      <c r="B1429" s="72" t="n"/>
      <c r="C1429" s="72" t="n"/>
      <c r="D1429" s="72" t="n"/>
      <c r="E1429" s="72" t="n"/>
      <c r="F1429" s="72" t="n"/>
      <c r="G1429" s="72" t="n"/>
      <c r="H1429" s="72" t="n"/>
      <c r="I1429" s="72" t="n"/>
      <c r="J1429" s="72" t="n"/>
      <c r="K1429" s="72" t="n"/>
      <c r="L1429" s="72" t="n"/>
      <c r="M1429" s="72" t="n"/>
      <c r="N1429" s="72" t="n"/>
      <c r="O1429" s="72" t="n"/>
      <c r="P1429" s="72" t="n"/>
      <c r="Q1429" s="72" t="n"/>
      <c r="R1429" s="72" t="n"/>
      <c r="S1429" s="72" t="n"/>
    </row>
    <row r="1430">
      <c r="B1430" s="72" t="n"/>
      <c r="C1430" s="72" t="n"/>
      <c r="D1430" s="72" t="n"/>
      <c r="E1430" s="72" t="n"/>
      <c r="F1430" s="72" t="n"/>
      <c r="G1430" s="72" t="n"/>
      <c r="H1430" s="72" t="n"/>
      <c r="I1430" s="72" t="n"/>
      <c r="J1430" s="72" t="n"/>
      <c r="K1430" s="72" t="n"/>
      <c r="L1430" s="72" t="n"/>
      <c r="M1430" s="72" t="n"/>
      <c r="N1430" s="72" t="n"/>
      <c r="O1430" s="72" t="n"/>
      <c r="P1430" s="72" t="n"/>
      <c r="Q1430" s="72" t="n"/>
      <c r="R1430" s="72" t="n"/>
      <c r="S1430" s="72" t="n"/>
    </row>
    <row r="1431">
      <c r="B1431" s="72" t="n"/>
      <c r="C1431" s="72" t="n"/>
      <c r="D1431" s="72" t="n"/>
      <c r="E1431" s="72" t="n"/>
      <c r="F1431" s="72" t="n"/>
      <c r="G1431" s="72" t="n"/>
      <c r="H1431" s="72" t="n"/>
      <c r="I1431" s="72" t="n"/>
      <c r="J1431" s="72" t="n"/>
      <c r="K1431" s="72" t="n"/>
      <c r="L1431" s="72" t="n"/>
      <c r="M1431" s="72" t="n"/>
      <c r="N1431" s="72" t="n"/>
      <c r="O1431" s="72" t="n"/>
      <c r="P1431" s="72" t="n"/>
      <c r="Q1431" s="72" t="n"/>
      <c r="R1431" s="72" t="n"/>
      <c r="S1431" s="72" t="n"/>
    </row>
    <row r="1432">
      <c r="B1432" s="72" t="n"/>
      <c r="C1432" s="72" t="n"/>
      <c r="D1432" s="72" t="n"/>
      <c r="E1432" s="72" t="n"/>
      <c r="F1432" s="72" t="n"/>
      <c r="G1432" s="72" t="n"/>
      <c r="H1432" s="72" t="n"/>
      <c r="I1432" s="72" t="n"/>
      <c r="J1432" s="72" t="n"/>
      <c r="K1432" s="72" t="n"/>
      <c r="L1432" s="72" t="n"/>
      <c r="M1432" s="72" t="n"/>
      <c r="N1432" s="72" t="n"/>
      <c r="O1432" s="72" t="n"/>
      <c r="P1432" s="72" t="n"/>
      <c r="Q1432" s="72" t="n"/>
      <c r="R1432" s="72" t="n"/>
      <c r="S1432" s="72" t="n"/>
    </row>
    <row r="1433">
      <c r="B1433" s="72" t="n"/>
      <c r="C1433" s="72" t="n"/>
      <c r="D1433" s="72" t="n"/>
      <c r="E1433" s="72" t="n"/>
      <c r="F1433" s="72" t="n"/>
      <c r="G1433" s="72" t="n"/>
      <c r="H1433" s="72" t="n"/>
      <c r="I1433" s="72" t="n"/>
      <c r="J1433" s="72" t="n"/>
      <c r="K1433" s="72" t="n"/>
      <c r="L1433" s="72" t="n"/>
      <c r="M1433" s="72" t="n"/>
      <c r="N1433" s="72" t="n"/>
      <c r="O1433" s="72" t="n"/>
      <c r="P1433" s="72" t="n"/>
      <c r="Q1433" s="72" t="n"/>
      <c r="R1433" s="72" t="n"/>
      <c r="S1433" s="72" t="n"/>
    </row>
    <row r="1434">
      <c r="B1434" s="72" t="n"/>
      <c r="C1434" s="72" t="n"/>
      <c r="D1434" s="72" t="n"/>
      <c r="E1434" s="72" t="n"/>
      <c r="F1434" s="72" t="n"/>
      <c r="G1434" s="72" t="n"/>
      <c r="H1434" s="72" t="n"/>
      <c r="I1434" s="72" t="n"/>
      <c r="J1434" s="72" t="n"/>
      <c r="K1434" s="72" t="n"/>
      <c r="L1434" s="72" t="n"/>
      <c r="M1434" s="72" t="n"/>
      <c r="N1434" s="72" t="n"/>
      <c r="O1434" s="72" t="n"/>
      <c r="P1434" s="72" t="n"/>
      <c r="Q1434" s="72" t="n"/>
      <c r="R1434" s="72" t="n"/>
      <c r="S1434" s="72" t="n"/>
    </row>
    <row r="1435">
      <c r="B1435" s="72" t="n"/>
      <c r="C1435" s="72" t="n"/>
      <c r="D1435" s="72" t="n"/>
      <c r="E1435" s="72" t="n"/>
      <c r="F1435" s="72" t="n"/>
      <c r="G1435" s="72" t="n"/>
      <c r="H1435" s="72" t="n"/>
      <c r="I1435" s="72" t="n"/>
      <c r="J1435" s="72" t="n"/>
      <c r="K1435" s="72" t="n"/>
      <c r="L1435" s="72" t="n"/>
      <c r="M1435" s="72" t="n"/>
      <c r="N1435" s="72" t="n"/>
      <c r="O1435" s="72" t="n"/>
      <c r="P1435" s="72" t="n"/>
      <c r="Q1435" s="72" t="n"/>
      <c r="R1435" s="72" t="n"/>
      <c r="S1435" s="72" t="n"/>
    </row>
    <row r="1436">
      <c r="B1436" s="72" t="n"/>
      <c r="C1436" s="72" t="n"/>
      <c r="D1436" s="72" t="n"/>
      <c r="E1436" s="72" t="n"/>
      <c r="F1436" s="72" t="n"/>
      <c r="G1436" s="72" t="n"/>
      <c r="H1436" s="72" t="n"/>
      <c r="I1436" s="72" t="n"/>
      <c r="J1436" s="72" t="n"/>
      <c r="K1436" s="72" t="n"/>
      <c r="L1436" s="72" t="n"/>
      <c r="M1436" s="72" t="n"/>
      <c r="N1436" s="72" t="n"/>
      <c r="O1436" s="72" t="n"/>
      <c r="P1436" s="72" t="n"/>
      <c r="Q1436" s="72" t="n"/>
      <c r="R1436" s="72" t="n"/>
      <c r="S1436" s="72" t="n"/>
    </row>
    <row r="1437">
      <c r="B1437" s="72" t="n"/>
      <c r="C1437" s="72" t="n"/>
      <c r="D1437" s="72" t="n"/>
      <c r="E1437" s="72" t="n"/>
      <c r="F1437" s="72" t="n"/>
      <c r="G1437" s="72" t="n"/>
      <c r="H1437" s="72" t="n"/>
      <c r="I1437" s="72" t="n"/>
      <c r="J1437" s="72" t="n"/>
      <c r="K1437" s="72" t="n"/>
      <c r="L1437" s="72" t="n"/>
      <c r="M1437" s="72" t="n"/>
      <c r="N1437" s="72" t="n"/>
      <c r="O1437" s="72" t="n"/>
      <c r="P1437" s="72" t="n"/>
      <c r="Q1437" s="72" t="n"/>
      <c r="R1437" s="72" t="n"/>
      <c r="S1437" s="72" t="n"/>
    </row>
    <row r="1438">
      <c r="B1438" s="72" t="n"/>
      <c r="C1438" s="72" t="n"/>
      <c r="D1438" s="72" t="n"/>
      <c r="E1438" s="72" t="n"/>
      <c r="F1438" s="72" t="n"/>
      <c r="G1438" s="72" t="n"/>
      <c r="H1438" s="72" t="n"/>
      <c r="I1438" s="72" t="n"/>
      <c r="J1438" s="72" t="n"/>
      <c r="K1438" s="72" t="n"/>
      <c r="L1438" s="72" t="n"/>
      <c r="M1438" s="72" t="n"/>
      <c r="N1438" s="72" t="n"/>
      <c r="O1438" s="72" t="n"/>
      <c r="P1438" s="72" t="n"/>
      <c r="Q1438" s="72" t="n"/>
      <c r="R1438" s="72" t="n"/>
      <c r="S1438" s="72" t="n"/>
    </row>
    <row r="1439">
      <c r="B1439" s="72" t="n"/>
      <c r="C1439" s="72" t="n"/>
      <c r="D1439" s="72" t="n"/>
      <c r="E1439" s="72" t="n"/>
      <c r="F1439" s="72" t="n"/>
      <c r="G1439" s="72" t="n"/>
      <c r="H1439" s="72" t="n"/>
      <c r="I1439" s="72" t="n"/>
      <c r="J1439" s="72" t="n"/>
      <c r="K1439" s="72" t="n"/>
      <c r="L1439" s="72" t="n"/>
      <c r="M1439" s="72" t="n"/>
      <c r="N1439" s="72" t="n"/>
      <c r="O1439" s="72" t="n"/>
      <c r="P1439" s="72" t="n"/>
      <c r="Q1439" s="72" t="n"/>
      <c r="R1439" s="72" t="n"/>
      <c r="S1439" s="72" t="n"/>
    </row>
    <row r="1440">
      <c r="B1440" s="72" t="n"/>
      <c r="C1440" s="72" t="n"/>
      <c r="D1440" s="72" t="n"/>
      <c r="E1440" s="72" t="n"/>
      <c r="F1440" s="72" t="n"/>
      <c r="G1440" s="72" t="n"/>
      <c r="H1440" s="72" t="n"/>
      <c r="I1440" s="72" t="n"/>
      <c r="J1440" s="72" t="n"/>
      <c r="K1440" s="72" t="n"/>
      <c r="L1440" s="72" t="n"/>
      <c r="M1440" s="72" t="n"/>
      <c r="N1440" s="72" t="n"/>
      <c r="O1440" s="72" t="n"/>
      <c r="P1440" s="72" t="n"/>
      <c r="Q1440" s="72" t="n"/>
      <c r="R1440" s="72" t="n"/>
      <c r="S1440" s="72" t="n"/>
    </row>
    <row r="1441">
      <c r="B1441" s="72" t="n"/>
      <c r="C1441" s="72" t="n"/>
      <c r="D1441" s="72" t="n"/>
      <c r="E1441" s="72" t="n"/>
      <c r="F1441" s="72" t="n"/>
      <c r="G1441" s="72" t="n"/>
      <c r="H1441" s="72" t="n"/>
      <c r="I1441" s="72" t="n"/>
      <c r="J1441" s="72" t="n"/>
      <c r="K1441" s="72" t="n"/>
      <c r="L1441" s="72" t="n"/>
      <c r="M1441" s="72" t="n"/>
      <c r="N1441" s="72" t="n"/>
      <c r="O1441" s="72" t="n"/>
      <c r="P1441" s="72" t="n"/>
      <c r="Q1441" s="72" t="n"/>
      <c r="R1441" s="72" t="n"/>
      <c r="S1441" s="72" t="n"/>
    </row>
    <row r="1442">
      <c r="B1442" s="72" t="n"/>
      <c r="C1442" s="72" t="n"/>
      <c r="D1442" s="72" t="n"/>
      <c r="E1442" s="72" t="n"/>
      <c r="F1442" s="72" t="n"/>
      <c r="G1442" s="72" t="n"/>
      <c r="H1442" s="72" t="n"/>
      <c r="I1442" s="72" t="n"/>
      <c r="J1442" s="72" t="n"/>
      <c r="K1442" s="72" t="n"/>
      <c r="L1442" s="72" t="n"/>
      <c r="M1442" s="72" t="n"/>
      <c r="N1442" s="72" t="n"/>
      <c r="O1442" s="72" t="n"/>
      <c r="P1442" s="72" t="n"/>
      <c r="Q1442" s="72" t="n"/>
      <c r="R1442" s="72" t="n"/>
      <c r="S1442" s="72" t="n"/>
    </row>
    <row r="1443">
      <c r="B1443" s="72" t="n"/>
      <c r="C1443" s="72" t="n"/>
      <c r="D1443" s="72" t="n"/>
      <c r="E1443" s="72" t="n"/>
      <c r="F1443" s="72" t="n"/>
      <c r="G1443" s="72" t="n"/>
      <c r="H1443" s="72" t="n"/>
      <c r="I1443" s="72" t="n"/>
      <c r="J1443" s="72" t="n"/>
      <c r="K1443" s="72" t="n"/>
      <c r="L1443" s="72" t="n"/>
      <c r="M1443" s="72" t="n"/>
      <c r="N1443" s="72" t="n"/>
      <c r="O1443" s="72" t="n"/>
      <c r="P1443" s="72" t="n"/>
      <c r="Q1443" s="72" t="n"/>
      <c r="R1443" s="72" t="n"/>
      <c r="S1443" s="72" t="n"/>
    </row>
    <row r="1444">
      <c r="B1444" s="72" t="n"/>
      <c r="C1444" s="72" t="n"/>
      <c r="D1444" s="72" t="n"/>
      <c r="E1444" s="72" t="n"/>
      <c r="F1444" s="72" t="n"/>
      <c r="G1444" s="72" t="n"/>
      <c r="H1444" s="72" t="n"/>
      <c r="I1444" s="72" t="n"/>
      <c r="J1444" s="72" t="n"/>
      <c r="K1444" s="72" t="n"/>
      <c r="L1444" s="72" t="n"/>
      <c r="M1444" s="72" t="n"/>
      <c r="N1444" s="72" t="n"/>
      <c r="O1444" s="72" t="n"/>
      <c r="P1444" s="72" t="n"/>
      <c r="Q1444" s="72" t="n"/>
      <c r="R1444" s="72" t="n"/>
      <c r="S1444" s="72" t="n"/>
    </row>
    <row r="1445">
      <c r="B1445" s="72" t="n"/>
      <c r="C1445" s="72" t="n"/>
      <c r="D1445" s="72" t="n"/>
      <c r="E1445" s="72" t="n"/>
      <c r="F1445" s="72" t="n"/>
      <c r="G1445" s="72" t="n"/>
      <c r="H1445" s="72" t="n"/>
      <c r="I1445" s="72" t="n"/>
      <c r="J1445" s="72" t="n"/>
      <c r="K1445" s="72" t="n"/>
      <c r="L1445" s="72" t="n"/>
      <c r="M1445" s="72" t="n"/>
      <c r="N1445" s="72" t="n"/>
      <c r="O1445" s="72" t="n"/>
      <c r="P1445" s="72" t="n"/>
      <c r="Q1445" s="72" t="n"/>
      <c r="R1445" s="72" t="n"/>
      <c r="S1445" s="72" t="n"/>
    </row>
    <row r="1446">
      <c r="B1446" s="72" t="n"/>
      <c r="C1446" s="72" t="n"/>
      <c r="D1446" s="72" t="n"/>
      <c r="E1446" s="72" t="n"/>
      <c r="F1446" s="72" t="n"/>
      <c r="G1446" s="72" t="n"/>
      <c r="H1446" s="72" t="n"/>
      <c r="I1446" s="72" t="n"/>
      <c r="J1446" s="72" t="n"/>
      <c r="K1446" s="72" t="n"/>
      <c r="L1446" s="72" t="n"/>
      <c r="M1446" s="72" t="n"/>
      <c r="N1446" s="72" t="n"/>
      <c r="O1446" s="72" t="n"/>
      <c r="P1446" s="72" t="n"/>
      <c r="Q1446" s="72" t="n"/>
      <c r="R1446" s="72" t="n"/>
      <c r="S1446" s="72" t="n"/>
    </row>
    <row r="1447">
      <c r="B1447" s="72" t="n"/>
      <c r="C1447" s="72" t="n"/>
      <c r="D1447" s="72" t="n"/>
      <c r="E1447" s="72" t="n"/>
      <c r="F1447" s="72" t="n"/>
      <c r="G1447" s="72" t="n"/>
      <c r="H1447" s="72" t="n"/>
      <c r="I1447" s="72" t="n"/>
      <c r="J1447" s="72" t="n"/>
      <c r="K1447" s="72" t="n"/>
      <c r="L1447" s="72" t="n"/>
      <c r="M1447" s="72" t="n"/>
      <c r="N1447" s="72" t="n"/>
      <c r="O1447" s="72" t="n"/>
      <c r="P1447" s="72" t="n"/>
      <c r="Q1447" s="72" t="n"/>
      <c r="R1447" s="72" t="n"/>
      <c r="S1447" s="72" t="n"/>
    </row>
    <row r="1448">
      <c r="B1448" s="72" t="n"/>
      <c r="C1448" s="72" t="n"/>
      <c r="D1448" s="72" t="n"/>
      <c r="E1448" s="72" t="n"/>
      <c r="F1448" s="72" t="n"/>
      <c r="G1448" s="72" t="n"/>
      <c r="H1448" s="72" t="n"/>
      <c r="I1448" s="72" t="n"/>
      <c r="J1448" s="72" t="n"/>
      <c r="K1448" s="72" t="n"/>
      <c r="L1448" s="72" t="n"/>
      <c r="M1448" s="72" t="n"/>
      <c r="N1448" s="72" t="n"/>
      <c r="O1448" s="72" t="n"/>
      <c r="P1448" s="72" t="n"/>
      <c r="Q1448" s="72" t="n"/>
      <c r="R1448" s="72" t="n"/>
      <c r="S1448" s="72" t="n"/>
    </row>
    <row r="1449">
      <c r="B1449" s="72" t="n"/>
      <c r="C1449" s="72" t="n"/>
      <c r="D1449" s="72" t="n"/>
      <c r="E1449" s="72" t="n"/>
      <c r="F1449" s="72" t="n"/>
      <c r="G1449" s="72" t="n"/>
      <c r="H1449" s="72" t="n"/>
      <c r="I1449" s="72" t="n"/>
      <c r="J1449" s="72" t="n"/>
      <c r="K1449" s="72" t="n"/>
      <c r="L1449" s="72" t="n"/>
      <c r="M1449" s="72" t="n"/>
      <c r="N1449" s="72" t="n"/>
      <c r="O1449" s="72" t="n"/>
      <c r="P1449" s="72" t="n"/>
      <c r="Q1449" s="72" t="n"/>
      <c r="R1449" s="72" t="n"/>
      <c r="S1449" s="72" t="n"/>
    </row>
    <row r="1450">
      <c r="B1450" s="72" t="n"/>
      <c r="C1450" s="72" t="n"/>
      <c r="D1450" s="72" t="n"/>
      <c r="E1450" s="72" t="n"/>
      <c r="F1450" s="72" t="n"/>
      <c r="G1450" s="72" t="n"/>
      <c r="H1450" s="72" t="n"/>
      <c r="I1450" s="72" t="n"/>
      <c r="J1450" s="72" t="n"/>
      <c r="K1450" s="72" t="n"/>
      <c r="L1450" s="72" t="n"/>
      <c r="M1450" s="72" t="n"/>
      <c r="N1450" s="72" t="n"/>
      <c r="O1450" s="72" t="n"/>
      <c r="P1450" s="72" t="n"/>
      <c r="Q1450" s="72" t="n"/>
      <c r="R1450" s="72" t="n"/>
      <c r="S1450" s="72" t="n"/>
    </row>
    <row r="1451">
      <c r="B1451" s="72" t="n"/>
      <c r="C1451" s="72" t="n"/>
      <c r="D1451" s="72" t="n"/>
      <c r="E1451" s="72" t="n"/>
      <c r="F1451" s="72" t="n"/>
      <c r="G1451" s="72" t="n"/>
      <c r="H1451" s="72" t="n"/>
      <c r="I1451" s="72" t="n"/>
      <c r="J1451" s="72" t="n"/>
      <c r="K1451" s="72" t="n"/>
      <c r="L1451" s="72" t="n"/>
      <c r="M1451" s="72" t="n"/>
      <c r="N1451" s="72" t="n"/>
      <c r="O1451" s="72" t="n"/>
      <c r="P1451" s="72" t="n"/>
      <c r="Q1451" s="72" t="n"/>
      <c r="R1451" s="72" t="n"/>
      <c r="S1451" s="72" t="n"/>
    </row>
    <row r="1452">
      <c r="B1452" s="72" t="n"/>
      <c r="C1452" s="72" t="n"/>
      <c r="D1452" s="72" t="n"/>
      <c r="E1452" s="72" t="n"/>
      <c r="F1452" s="72" t="n"/>
      <c r="G1452" s="72" t="n"/>
      <c r="H1452" s="72" t="n"/>
      <c r="I1452" s="72" t="n"/>
      <c r="J1452" s="72" t="n"/>
      <c r="K1452" s="72" t="n"/>
      <c r="L1452" s="72" t="n"/>
      <c r="M1452" s="72" t="n"/>
      <c r="N1452" s="72" t="n"/>
      <c r="O1452" s="72" t="n"/>
      <c r="P1452" s="72" t="n"/>
      <c r="Q1452" s="72" t="n"/>
      <c r="R1452" s="72" t="n"/>
      <c r="S1452" s="72" t="n"/>
    </row>
    <row r="1453">
      <c r="B1453" s="72" t="n"/>
      <c r="C1453" s="72" t="n"/>
      <c r="D1453" s="72" t="n"/>
      <c r="E1453" s="72" t="n"/>
      <c r="F1453" s="72" t="n"/>
      <c r="G1453" s="72" t="n"/>
      <c r="H1453" s="72" t="n"/>
      <c r="I1453" s="72" t="n"/>
      <c r="J1453" s="72" t="n"/>
      <c r="K1453" s="72" t="n"/>
      <c r="L1453" s="72" t="n"/>
      <c r="M1453" s="72" t="n"/>
      <c r="N1453" s="72" t="n"/>
      <c r="O1453" s="72" t="n"/>
      <c r="P1453" s="72" t="n"/>
      <c r="Q1453" s="72" t="n"/>
      <c r="R1453" s="72" t="n"/>
      <c r="S1453" s="72" t="n"/>
    </row>
    <row r="1454">
      <c r="B1454" s="72" t="n"/>
      <c r="C1454" s="72" t="n"/>
      <c r="D1454" s="72" t="n"/>
      <c r="E1454" s="72" t="n"/>
      <c r="F1454" s="72" t="n"/>
      <c r="G1454" s="72" t="n"/>
      <c r="H1454" s="72" t="n"/>
      <c r="I1454" s="72" t="n"/>
      <c r="J1454" s="72" t="n"/>
      <c r="K1454" s="72" t="n"/>
      <c r="L1454" s="72" t="n"/>
      <c r="M1454" s="72" t="n"/>
      <c r="N1454" s="72" t="n"/>
      <c r="O1454" s="72" t="n"/>
      <c r="P1454" s="72" t="n"/>
      <c r="Q1454" s="72" t="n"/>
      <c r="R1454" s="72" t="n"/>
      <c r="S1454" s="72" t="n"/>
    </row>
    <row r="1455">
      <c r="B1455" s="72" t="n"/>
      <c r="C1455" s="72" t="n"/>
      <c r="D1455" s="72" t="n"/>
      <c r="E1455" s="72" t="n"/>
      <c r="F1455" s="72" t="n"/>
      <c r="G1455" s="72" t="n"/>
      <c r="H1455" s="72" t="n"/>
      <c r="I1455" s="72" t="n"/>
      <c r="J1455" s="72" t="n"/>
      <c r="K1455" s="72" t="n"/>
      <c r="L1455" s="72" t="n"/>
      <c r="M1455" s="72" t="n"/>
      <c r="N1455" s="72" t="n"/>
      <c r="O1455" s="72" t="n"/>
      <c r="P1455" s="72" t="n"/>
      <c r="Q1455" s="72" t="n"/>
      <c r="R1455" s="72" t="n"/>
      <c r="S1455" s="72" t="n"/>
    </row>
    <row r="1456">
      <c r="B1456" s="72" t="n"/>
      <c r="C1456" s="72" t="n"/>
      <c r="D1456" s="72" t="n"/>
      <c r="E1456" s="72" t="n"/>
      <c r="F1456" s="72" t="n"/>
      <c r="G1456" s="72" t="n"/>
      <c r="H1456" s="72" t="n"/>
      <c r="I1456" s="72" t="n"/>
      <c r="J1456" s="72" t="n"/>
      <c r="K1456" s="72" t="n"/>
      <c r="L1456" s="72" t="n"/>
      <c r="M1456" s="72" t="n"/>
      <c r="N1456" s="72" t="n"/>
      <c r="O1456" s="72" t="n"/>
      <c r="P1456" s="72" t="n"/>
      <c r="Q1456" s="72" t="n"/>
      <c r="R1456" s="72" t="n"/>
      <c r="S1456" s="72" t="n"/>
    </row>
    <row r="1457">
      <c r="B1457" s="72" t="n"/>
      <c r="C1457" s="72" t="n"/>
      <c r="D1457" s="72" t="n"/>
      <c r="E1457" s="72" t="n"/>
      <c r="F1457" s="72" t="n"/>
      <c r="G1457" s="72" t="n"/>
      <c r="H1457" s="72" t="n"/>
      <c r="I1457" s="72" t="n"/>
      <c r="J1457" s="72" t="n"/>
      <c r="K1457" s="72" t="n"/>
      <c r="L1457" s="72" t="n"/>
      <c r="M1457" s="72" t="n"/>
      <c r="N1457" s="72" t="n"/>
      <c r="O1457" s="72" t="n"/>
      <c r="P1457" s="72" t="n"/>
      <c r="Q1457" s="72" t="n"/>
      <c r="R1457" s="72" t="n"/>
      <c r="S1457" s="72" t="n"/>
    </row>
    <row r="1458">
      <c r="B1458" s="72" t="n"/>
      <c r="C1458" s="72" t="n"/>
      <c r="D1458" s="72" t="n"/>
      <c r="E1458" s="72" t="n"/>
      <c r="F1458" s="72" t="n"/>
      <c r="G1458" s="72" t="n"/>
      <c r="H1458" s="72" t="n"/>
      <c r="I1458" s="72" t="n"/>
      <c r="J1458" s="72" t="n"/>
      <c r="K1458" s="72" t="n"/>
      <c r="L1458" s="72" t="n"/>
      <c r="M1458" s="72" t="n"/>
      <c r="N1458" s="72" t="n"/>
      <c r="O1458" s="72" t="n"/>
      <c r="P1458" s="72" t="n"/>
      <c r="Q1458" s="72" t="n"/>
      <c r="R1458" s="72" t="n"/>
      <c r="S1458" s="72" t="n"/>
    </row>
    <row r="1459">
      <c r="B1459" s="72" t="n"/>
      <c r="C1459" s="72" t="n"/>
      <c r="D1459" s="72" t="n"/>
      <c r="E1459" s="72" t="n"/>
      <c r="F1459" s="72" t="n"/>
      <c r="G1459" s="72" t="n"/>
      <c r="H1459" s="72" t="n"/>
      <c r="I1459" s="72" t="n"/>
      <c r="J1459" s="72" t="n"/>
      <c r="K1459" s="72" t="n"/>
      <c r="L1459" s="72" t="n"/>
      <c r="M1459" s="72" t="n"/>
      <c r="N1459" s="72" t="n"/>
      <c r="O1459" s="72" t="n"/>
      <c r="P1459" s="72" t="n"/>
      <c r="Q1459" s="72" t="n"/>
      <c r="R1459" s="72" t="n"/>
      <c r="S1459" s="72" t="n"/>
    </row>
    <row r="1460">
      <c r="B1460" s="72" t="n"/>
      <c r="C1460" s="72" t="n"/>
      <c r="D1460" s="72" t="n"/>
      <c r="E1460" s="72" t="n"/>
      <c r="F1460" s="72" t="n"/>
      <c r="G1460" s="72" t="n"/>
      <c r="H1460" s="72" t="n"/>
      <c r="I1460" s="72" t="n"/>
      <c r="J1460" s="72" t="n"/>
      <c r="K1460" s="72" t="n"/>
      <c r="L1460" s="72" t="n"/>
      <c r="M1460" s="72" t="n"/>
      <c r="N1460" s="72" t="n"/>
      <c r="O1460" s="72" t="n"/>
      <c r="P1460" s="72" t="n"/>
      <c r="Q1460" s="72" t="n"/>
      <c r="R1460" s="72" t="n"/>
      <c r="S1460" s="72" t="n"/>
    </row>
    <row r="1461">
      <c r="B1461" s="72" t="n"/>
      <c r="C1461" s="72" t="n"/>
      <c r="D1461" s="72" t="n"/>
      <c r="E1461" s="72" t="n"/>
      <c r="F1461" s="72" t="n"/>
      <c r="G1461" s="72" t="n"/>
      <c r="H1461" s="72" t="n"/>
      <c r="I1461" s="72" t="n"/>
      <c r="J1461" s="72" t="n"/>
      <c r="K1461" s="72" t="n"/>
      <c r="L1461" s="72" t="n"/>
      <c r="M1461" s="72" t="n"/>
      <c r="N1461" s="72" t="n"/>
      <c r="O1461" s="72" t="n"/>
      <c r="P1461" s="72" t="n"/>
      <c r="Q1461" s="72" t="n"/>
      <c r="R1461" s="72" t="n"/>
      <c r="S1461" s="72" t="n"/>
    </row>
    <row r="1462">
      <c r="B1462" s="72" t="n"/>
      <c r="C1462" s="72" t="n"/>
      <c r="D1462" s="72" t="n"/>
      <c r="E1462" s="72" t="n"/>
      <c r="F1462" s="72" t="n"/>
      <c r="G1462" s="72" t="n"/>
      <c r="H1462" s="72" t="n"/>
      <c r="I1462" s="72" t="n"/>
      <c r="J1462" s="72" t="n"/>
      <c r="K1462" s="72" t="n"/>
      <c r="L1462" s="72" t="n"/>
      <c r="M1462" s="72" t="n"/>
      <c r="N1462" s="72" t="n"/>
      <c r="O1462" s="72" t="n"/>
      <c r="P1462" s="72" t="n"/>
      <c r="Q1462" s="72" t="n"/>
      <c r="R1462" s="72" t="n"/>
      <c r="S1462" s="72" t="n"/>
    </row>
    <row r="1463">
      <c r="B1463" s="72" t="n"/>
      <c r="C1463" s="72" t="n"/>
      <c r="D1463" s="72" t="n"/>
      <c r="E1463" s="72" t="n"/>
      <c r="F1463" s="72" t="n"/>
      <c r="G1463" s="72" t="n"/>
      <c r="H1463" s="72" t="n"/>
      <c r="I1463" s="72" t="n"/>
      <c r="J1463" s="72" t="n"/>
      <c r="K1463" s="72" t="n"/>
      <c r="L1463" s="72" t="n"/>
      <c r="M1463" s="72" t="n"/>
      <c r="N1463" s="72" t="n"/>
      <c r="O1463" s="72" t="n"/>
      <c r="P1463" s="72" t="n"/>
      <c r="Q1463" s="72" t="n"/>
      <c r="R1463" s="72" t="n"/>
      <c r="S1463" s="72" t="n"/>
    </row>
    <row r="1464">
      <c r="B1464" s="72" t="n"/>
      <c r="C1464" s="72" t="n"/>
      <c r="D1464" s="72" t="n"/>
      <c r="E1464" s="72" t="n"/>
      <c r="F1464" s="72" t="n"/>
      <c r="G1464" s="72" t="n"/>
      <c r="H1464" s="72" t="n"/>
      <c r="I1464" s="72" t="n"/>
      <c r="J1464" s="72" t="n"/>
      <c r="K1464" s="72" t="n"/>
      <c r="L1464" s="72" t="n"/>
      <c r="M1464" s="72" t="n"/>
      <c r="N1464" s="72" t="n"/>
      <c r="O1464" s="72" t="n"/>
      <c r="P1464" s="72" t="n"/>
      <c r="Q1464" s="72" t="n"/>
      <c r="R1464" s="72" t="n"/>
      <c r="S1464" s="72" t="n"/>
    </row>
    <row r="1465">
      <c r="B1465" s="72" t="n"/>
      <c r="C1465" s="72" t="n"/>
      <c r="D1465" s="72" t="n"/>
      <c r="E1465" s="72" t="n"/>
      <c r="F1465" s="72" t="n"/>
      <c r="G1465" s="72" t="n"/>
      <c r="H1465" s="72" t="n"/>
      <c r="I1465" s="72" t="n"/>
      <c r="J1465" s="72" t="n"/>
      <c r="K1465" s="72" t="n"/>
      <c r="L1465" s="72" t="n"/>
      <c r="M1465" s="72" t="n"/>
      <c r="N1465" s="72" t="n"/>
      <c r="O1465" s="72" t="n"/>
      <c r="P1465" s="72" t="n"/>
      <c r="Q1465" s="72" t="n"/>
      <c r="R1465" s="72" t="n"/>
      <c r="S1465" s="72" t="n"/>
    </row>
    <row r="1466">
      <c r="B1466" s="72" t="n"/>
      <c r="C1466" s="72" t="n"/>
      <c r="D1466" s="72" t="n"/>
      <c r="E1466" s="72" t="n"/>
      <c r="F1466" s="72" t="n"/>
      <c r="G1466" s="72" t="n"/>
      <c r="H1466" s="72" t="n"/>
      <c r="I1466" s="72" t="n"/>
      <c r="J1466" s="72" t="n"/>
      <c r="K1466" s="72" t="n"/>
      <c r="L1466" s="72" t="n"/>
      <c r="M1466" s="72" t="n"/>
      <c r="N1466" s="72" t="n"/>
      <c r="O1466" s="72" t="n"/>
      <c r="P1466" s="72" t="n"/>
      <c r="Q1466" s="72" t="n"/>
      <c r="R1466" s="72" t="n"/>
      <c r="S1466" s="72" t="n"/>
    </row>
    <row r="1467">
      <c r="B1467" s="72" t="n"/>
      <c r="C1467" s="72" t="n"/>
      <c r="D1467" s="72" t="n"/>
      <c r="E1467" s="72" t="n"/>
      <c r="F1467" s="72" t="n"/>
      <c r="G1467" s="72" t="n"/>
      <c r="H1467" s="72" t="n"/>
      <c r="I1467" s="72" t="n"/>
      <c r="J1467" s="72" t="n"/>
      <c r="K1467" s="72" t="n"/>
      <c r="L1467" s="72" t="n"/>
      <c r="M1467" s="72" t="n"/>
      <c r="N1467" s="72" t="n"/>
      <c r="O1467" s="72" t="n"/>
      <c r="P1467" s="72" t="n"/>
      <c r="Q1467" s="72" t="n"/>
      <c r="R1467" s="72" t="n"/>
      <c r="S1467" s="72" t="n"/>
    </row>
    <row r="1468">
      <c r="B1468" s="72" t="n"/>
      <c r="C1468" s="72" t="n"/>
      <c r="D1468" s="72" t="n"/>
      <c r="E1468" s="72" t="n"/>
      <c r="F1468" s="72" t="n"/>
      <c r="G1468" s="72" t="n"/>
      <c r="H1468" s="72" t="n"/>
      <c r="I1468" s="72" t="n"/>
      <c r="J1468" s="72" t="n"/>
      <c r="K1468" s="72" t="n"/>
      <c r="L1468" s="72" t="n"/>
      <c r="M1468" s="72" t="n"/>
      <c r="N1468" s="72" t="n"/>
      <c r="O1468" s="72" t="n"/>
      <c r="P1468" s="72" t="n"/>
      <c r="Q1468" s="72" t="n"/>
      <c r="R1468" s="72" t="n"/>
      <c r="S1468" s="72" t="n"/>
    </row>
    <row r="1469">
      <c r="B1469" s="72" t="n"/>
      <c r="C1469" s="72" t="n"/>
      <c r="D1469" s="72" t="n"/>
      <c r="E1469" s="72" t="n"/>
      <c r="F1469" s="72" t="n"/>
      <c r="G1469" s="72" t="n"/>
      <c r="H1469" s="72" t="n"/>
      <c r="I1469" s="72" t="n"/>
      <c r="J1469" s="72" t="n"/>
      <c r="K1469" s="72" t="n"/>
      <c r="L1469" s="72" t="n"/>
      <c r="M1469" s="72" t="n"/>
      <c r="N1469" s="72" t="n"/>
      <c r="O1469" s="72" t="n"/>
      <c r="P1469" s="72" t="n"/>
      <c r="Q1469" s="72" t="n"/>
      <c r="R1469" s="72" t="n"/>
      <c r="S1469" s="72" t="n"/>
    </row>
    <row r="1470">
      <c r="B1470" s="72" t="n"/>
      <c r="C1470" s="72" t="n"/>
      <c r="D1470" s="72" t="n"/>
      <c r="E1470" s="72" t="n"/>
      <c r="F1470" s="72" t="n"/>
      <c r="G1470" s="72" t="n"/>
      <c r="H1470" s="72" t="n"/>
      <c r="I1470" s="72" t="n"/>
      <c r="J1470" s="72" t="n"/>
      <c r="K1470" s="72" t="n"/>
      <c r="L1470" s="72" t="n"/>
      <c r="M1470" s="72" t="n"/>
      <c r="N1470" s="72" t="n"/>
      <c r="O1470" s="72" t="n"/>
      <c r="P1470" s="72" t="n"/>
      <c r="Q1470" s="72" t="n"/>
      <c r="R1470" s="72" t="n"/>
      <c r="S1470" s="72" t="n"/>
    </row>
    <row r="1471">
      <c r="B1471" s="72" t="n"/>
      <c r="C1471" s="72" t="n"/>
      <c r="D1471" s="72" t="n"/>
      <c r="E1471" s="72" t="n"/>
      <c r="F1471" s="72" t="n"/>
      <c r="G1471" s="72" t="n"/>
      <c r="H1471" s="72" t="n"/>
      <c r="I1471" s="72" t="n"/>
      <c r="J1471" s="72" t="n"/>
      <c r="K1471" s="72" t="n"/>
      <c r="L1471" s="72" t="n"/>
      <c r="M1471" s="72" t="n"/>
      <c r="N1471" s="72" t="n"/>
      <c r="O1471" s="72" t="n"/>
      <c r="P1471" s="72" t="n"/>
      <c r="Q1471" s="72" t="n"/>
      <c r="R1471" s="72" t="n"/>
      <c r="S1471" s="72" t="n"/>
    </row>
    <row r="1472">
      <c r="B1472" s="72" t="n"/>
      <c r="C1472" s="72" t="n"/>
      <c r="D1472" s="72" t="n"/>
      <c r="E1472" s="72" t="n"/>
      <c r="F1472" s="72" t="n"/>
      <c r="G1472" s="72" t="n"/>
      <c r="H1472" s="72" t="n"/>
      <c r="I1472" s="72" t="n"/>
      <c r="J1472" s="72" t="n"/>
      <c r="K1472" s="72" t="n"/>
      <c r="L1472" s="72" t="n"/>
      <c r="M1472" s="72" t="n"/>
      <c r="N1472" s="72" t="n"/>
      <c r="O1472" s="72" t="n"/>
      <c r="P1472" s="72" t="n"/>
      <c r="Q1472" s="72" t="n"/>
      <c r="R1472" s="72" t="n"/>
      <c r="S1472" s="72" t="n"/>
    </row>
    <row r="1473">
      <c r="B1473" s="72" t="n"/>
      <c r="C1473" s="72" t="n"/>
      <c r="D1473" s="72" t="n"/>
      <c r="E1473" s="72" t="n"/>
      <c r="F1473" s="72" t="n"/>
      <c r="G1473" s="72" t="n"/>
      <c r="H1473" s="72" t="n"/>
      <c r="I1473" s="72" t="n"/>
      <c r="J1473" s="72" t="n"/>
      <c r="K1473" s="72" t="n"/>
      <c r="L1473" s="72" t="n"/>
      <c r="M1473" s="72" t="n"/>
      <c r="N1473" s="72" t="n"/>
      <c r="O1473" s="72" t="n"/>
      <c r="P1473" s="72" t="n"/>
      <c r="Q1473" s="72" t="n"/>
      <c r="R1473" s="72" t="n"/>
      <c r="S1473" s="72" t="n"/>
    </row>
    <row r="1474">
      <c r="B1474" s="72" t="n"/>
      <c r="C1474" s="72" t="n"/>
      <c r="D1474" s="72" t="n"/>
      <c r="E1474" s="72" t="n"/>
      <c r="F1474" s="72" t="n"/>
      <c r="G1474" s="72" t="n"/>
      <c r="H1474" s="72" t="n"/>
      <c r="I1474" s="72" t="n"/>
      <c r="J1474" s="72" t="n"/>
      <c r="K1474" s="72" t="n"/>
      <c r="L1474" s="72" t="n"/>
      <c r="M1474" s="72" t="n"/>
      <c r="N1474" s="72" t="n"/>
      <c r="O1474" s="72" t="n"/>
      <c r="P1474" s="72" t="n"/>
      <c r="Q1474" s="72" t="n"/>
      <c r="R1474" s="72" t="n"/>
      <c r="S1474" s="72" t="n"/>
    </row>
    <row r="1475">
      <c r="B1475" s="72" t="n"/>
      <c r="C1475" s="72" t="n"/>
      <c r="D1475" s="72" t="n"/>
      <c r="E1475" s="72" t="n"/>
      <c r="F1475" s="72" t="n"/>
      <c r="G1475" s="72" t="n"/>
      <c r="H1475" s="72" t="n"/>
      <c r="I1475" s="72" t="n"/>
      <c r="J1475" s="72" t="n"/>
      <c r="K1475" s="72" t="n"/>
      <c r="L1475" s="72" t="n"/>
      <c r="M1475" s="72" t="n"/>
      <c r="N1475" s="72" t="n"/>
      <c r="O1475" s="72" t="n"/>
      <c r="P1475" s="72" t="n"/>
      <c r="Q1475" s="72" t="n"/>
      <c r="R1475" s="72" t="n"/>
      <c r="S1475" s="72" t="n"/>
    </row>
    <row r="1476">
      <c r="B1476" s="72" t="n"/>
      <c r="C1476" s="72" t="n"/>
      <c r="D1476" s="72" t="n"/>
      <c r="E1476" s="72" t="n"/>
      <c r="F1476" s="72" t="n"/>
      <c r="G1476" s="72" t="n"/>
      <c r="H1476" s="72" t="n"/>
      <c r="I1476" s="72" t="n"/>
      <c r="J1476" s="72" t="n"/>
      <c r="K1476" s="72" t="n"/>
      <c r="L1476" s="72" t="n"/>
      <c r="M1476" s="72" t="n"/>
      <c r="N1476" s="72" t="n"/>
      <c r="O1476" s="72" t="n"/>
      <c r="P1476" s="72" t="n"/>
      <c r="Q1476" s="72" t="n"/>
      <c r="R1476" s="72" t="n"/>
      <c r="S1476" s="72" t="n"/>
    </row>
    <row r="1477">
      <c r="B1477" s="72" t="n"/>
      <c r="C1477" s="72" t="n"/>
      <c r="D1477" s="72" t="n"/>
      <c r="E1477" s="72" t="n"/>
      <c r="F1477" s="72" t="n"/>
      <c r="G1477" s="72" t="n"/>
      <c r="H1477" s="72" t="n"/>
      <c r="I1477" s="72" t="n"/>
      <c r="J1477" s="72" t="n"/>
      <c r="K1477" s="72" t="n"/>
      <c r="L1477" s="72" t="n"/>
      <c r="M1477" s="72" t="n"/>
      <c r="N1477" s="72" t="n"/>
      <c r="O1477" s="72" t="n"/>
      <c r="P1477" s="72" t="n"/>
      <c r="Q1477" s="72" t="n"/>
      <c r="R1477" s="72" t="n"/>
      <c r="S1477" s="72" t="n"/>
    </row>
    <row r="1478">
      <c r="B1478" s="72" t="n"/>
      <c r="C1478" s="72" t="n"/>
      <c r="D1478" s="72" t="n"/>
      <c r="E1478" s="72" t="n"/>
      <c r="F1478" s="72" t="n"/>
      <c r="G1478" s="72" t="n"/>
      <c r="H1478" s="72" t="n"/>
      <c r="I1478" s="72" t="n"/>
      <c r="J1478" s="72" t="n"/>
      <c r="K1478" s="72" t="n"/>
      <c r="L1478" s="72" t="n"/>
      <c r="M1478" s="72" t="n"/>
      <c r="N1478" s="72" t="n"/>
      <c r="O1478" s="72" t="n"/>
      <c r="P1478" s="72" t="n"/>
      <c r="Q1478" s="72" t="n"/>
      <c r="R1478" s="72" t="n"/>
      <c r="S1478" s="72" t="n"/>
    </row>
    <row r="1479">
      <c r="B1479" s="72" t="n"/>
      <c r="C1479" s="72" t="n"/>
      <c r="D1479" s="72" t="n"/>
      <c r="E1479" s="72" t="n"/>
      <c r="F1479" s="72" t="n"/>
      <c r="G1479" s="72" t="n"/>
      <c r="H1479" s="72" t="n"/>
      <c r="I1479" s="72" t="n"/>
      <c r="J1479" s="72" t="n"/>
      <c r="K1479" s="72" t="n"/>
      <c r="L1479" s="72" t="n"/>
      <c r="M1479" s="72" t="n"/>
      <c r="N1479" s="72" t="n"/>
      <c r="O1479" s="72" t="n"/>
      <c r="P1479" s="72" t="n"/>
      <c r="Q1479" s="72" t="n"/>
      <c r="R1479" s="72" t="n"/>
      <c r="S1479" s="72" t="n"/>
    </row>
    <row r="1480">
      <c r="B1480" s="72" t="n"/>
      <c r="C1480" s="72" t="n"/>
      <c r="D1480" s="72" t="n"/>
      <c r="E1480" s="72" t="n"/>
      <c r="F1480" s="72" t="n"/>
      <c r="G1480" s="72" t="n"/>
      <c r="H1480" s="72" t="n"/>
      <c r="I1480" s="72" t="n"/>
      <c r="J1480" s="72" t="n"/>
      <c r="K1480" s="72" t="n"/>
      <c r="L1480" s="72" t="n"/>
      <c r="M1480" s="72" t="n"/>
      <c r="N1480" s="72" t="n"/>
      <c r="O1480" s="72" t="n"/>
      <c r="P1480" s="72" t="n"/>
      <c r="Q1480" s="72" t="n"/>
      <c r="R1480" s="72" t="n"/>
      <c r="S1480" s="72" t="n"/>
    </row>
    <row r="1481">
      <c r="B1481" s="72" t="n"/>
      <c r="C1481" s="72" t="n"/>
      <c r="D1481" s="72" t="n"/>
      <c r="E1481" s="72" t="n"/>
      <c r="F1481" s="72" t="n"/>
      <c r="G1481" s="72" t="n"/>
      <c r="H1481" s="72" t="n"/>
      <c r="I1481" s="72" t="n"/>
      <c r="J1481" s="72" t="n"/>
      <c r="K1481" s="72" t="n"/>
      <c r="L1481" s="72" t="n"/>
      <c r="M1481" s="72" t="n"/>
      <c r="N1481" s="72" t="n"/>
      <c r="O1481" s="72" t="n"/>
      <c r="P1481" s="72" t="n"/>
      <c r="Q1481" s="72" t="n"/>
      <c r="R1481" s="72" t="n"/>
      <c r="S1481" s="72" t="n"/>
    </row>
    <row r="1482">
      <c r="B1482" s="72" t="n"/>
      <c r="C1482" s="72" t="n"/>
      <c r="D1482" s="72" t="n"/>
      <c r="E1482" s="72" t="n"/>
      <c r="F1482" s="72" t="n"/>
      <c r="G1482" s="72" t="n"/>
      <c r="H1482" s="72" t="n"/>
      <c r="I1482" s="72" t="n"/>
      <c r="J1482" s="72" t="n"/>
      <c r="K1482" s="72" t="n"/>
      <c r="L1482" s="72" t="n"/>
      <c r="M1482" s="72" t="n"/>
      <c r="N1482" s="72" t="n"/>
      <c r="O1482" s="72" t="n"/>
      <c r="P1482" s="72" t="n"/>
      <c r="Q1482" s="72" t="n"/>
      <c r="R1482" s="72" t="n"/>
      <c r="S1482" s="72" t="n"/>
    </row>
    <row r="1483">
      <c r="B1483" s="72" t="n"/>
      <c r="C1483" s="72" t="n"/>
      <c r="D1483" s="72" t="n"/>
      <c r="E1483" s="72" t="n"/>
      <c r="F1483" s="72" t="n"/>
      <c r="G1483" s="72" t="n"/>
      <c r="H1483" s="72" t="n"/>
      <c r="I1483" s="72" t="n"/>
      <c r="J1483" s="72" t="n"/>
      <c r="K1483" s="72" t="n"/>
      <c r="L1483" s="72" t="n"/>
      <c r="M1483" s="72" t="n"/>
      <c r="N1483" s="72" t="n"/>
      <c r="O1483" s="72" t="n"/>
      <c r="P1483" s="72" t="n"/>
      <c r="Q1483" s="72" t="n"/>
      <c r="R1483" s="72" t="n"/>
      <c r="S1483" s="72" t="n"/>
    </row>
    <row r="1484">
      <c r="B1484" s="72" t="n"/>
      <c r="C1484" s="72" t="n"/>
      <c r="D1484" s="72" t="n"/>
      <c r="E1484" s="72" t="n"/>
      <c r="F1484" s="72" t="n"/>
      <c r="G1484" s="72" t="n"/>
      <c r="H1484" s="72" t="n"/>
      <c r="I1484" s="72" t="n"/>
      <c r="J1484" s="72" t="n"/>
      <c r="K1484" s="72" t="n"/>
      <c r="L1484" s="72" t="n"/>
      <c r="M1484" s="72" t="n"/>
      <c r="N1484" s="72" t="n"/>
      <c r="O1484" s="72" t="n"/>
      <c r="P1484" s="72" t="n"/>
      <c r="Q1484" s="72" t="n"/>
      <c r="R1484" s="72" t="n"/>
      <c r="S1484" s="72" t="n"/>
    </row>
    <row r="1485">
      <c r="B1485" s="72" t="n"/>
      <c r="C1485" s="72" t="n"/>
      <c r="D1485" s="72" t="n"/>
      <c r="E1485" s="72" t="n"/>
      <c r="F1485" s="72" t="n"/>
      <c r="G1485" s="72" t="n"/>
      <c r="H1485" s="72" t="n"/>
      <c r="I1485" s="72" t="n"/>
      <c r="J1485" s="72" t="n"/>
      <c r="K1485" s="72" t="n"/>
      <c r="L1485" s="72" t="n"/>
      <c r="M1485" s="72" t="n"/>
      <c r="N1485" s="72" t="n"/>
      <c r="O1485" s="72" t="n"/>
      <c r="P1485" s="72" t="n"/>
      <c r="Q1485" s="72" t="n"/>
      <c r="R1485" s="72" t="n"/>
      <c r="S1485" s="72" t="n"/>
    </row>
    <row r="1486">
      <c r="B1486" s="72" t="n"/>
      <c r="C1486" s="72" t="n"/>
      <c r="D1486" s="72" t="n"/>
      <c r="E1486" s="72" t="n"/>
      <c r="F1486" s="72" t="n"/>
      <c r="G1486" s="72" t="n"/>
      <c r="H1486" s="72" t="n"/>
      <c r="I1486" s="72" t="n"/>
      <c r="J1486" s="72" t="n"/>
      <c r="K1486" s="72" t="n"/>
      <c r="L1486" s="72" t="n"/>
      <c r="M1486" s="72" t="n"/>
      <c r="N1486" s="72" t="n"/>
      <c r="O1486" s="72" t="n"/>
      <c r="P1486" s="72" t="n"/>
      <c r="Q1486" s="72" t="n"/>
      <c r="R1486" s="72" t="n"/>
      <c r="S1486" s="72" t="n"/>
    </row>
    <row r="1487">
      <c r="B1487" s="72" t="n"/>
      <c r="C1487" s="72" t="n"/>
      <c r="D1487" s="72" t="n"/>
      <c r="E1487" s="72" t="n"/>
      <c r="F1487" s="72" t="n"/>
      <c r="G1487" s="72" t="n"/>
      <c r="H1487" s="72" t="n"/>
      <c r="I1487" s="72" t="n"/>
      <c r="J1487" s="72" t="n"/>
      <c r="K1487" s="72" t="n"/>
      <c r="L1487" s="72" t="n"/>
      <c r="M1487" s="72" t="n"/>
      <c r="N1487" s="72" t="n"/>
      <c r="O1487" s="72" t="n"/>
      <c r="P1487" s="72" t="n"/>
      <c r="Q1487" s="72" t="n"/>
      <c r="R1487" s="72" t="n"/>
      <c r="S1487" s="72" t="n"/>
    </row>
    <row r="1488">
      <c r="B1488" s="72" t="n"/>
      <c r="C1488" s="72" t="n"/>
      <c r="D1488" s="72" t="n"/>
      <c r="E1488" s="72" t="n"/>
      <c r="F1488" s="72" t="n"/>
      <c r="G1488" s="72" t="n"/>
      <c r="H1488" s="72" t="n"/>
      <c r="I1488" s="72" t="n"/>
      <c r="J1488" s="72" t="n"/>
      <c r="K1488" s="72" t="n"/>
      <c r="L1488" s="72" t="n"/>
      <c r="M1488" s="72" t="n"/>
      <c r="N1488" s="72" t="n"/>
      <c r="O1488" s="72" t="n"/>
      <c r="P1488" s="72" t="n"/>
      <c r="Q1488" s="72" t="n"/>
      <c r="R1488" s="72" t="n"/>
      <c r="S1488" s="72" t="n"/>
    </row>
    <row r="1489">
      <c r="B1489" s="72" t="n"/>
      <c r="C1489" s="72" t="n"/>
      <c r="D1489" s="72" t="n"/>
      <c r="E1489" s="72" t="n"/>
      <c r="F1489" s="72" t="n"/>
      <c r="G1489" s="72" t="n"/>
      <c r="H1489" s="72" t="n"/>
      <c r="I1489" s="72" t="n"/>
      <c r="J1489" s="72" t="n"/>
      <c r="K1489" s="72" t="n"/>
      <c r="L1489" s="72" t="n"/>
      <c r="M1489" s="72" t="n"/>
      <c r="N1489" s="72" t="n"/>
      <c r="O1489" s="72" t="n"/>
      <c r="P1489" s="72" t="n"/>
      <c r="Q1489" s="72" t="n"/>
      <c r="R1489" s="72" t="n"/>
      <c r="S1489" s="72" t="n"/>
    </row>
    <row r="1490">
      <c r="B1490" s="72" t="n"/>
      <c r="C1490" s="72" t="n"/>
      <c r="D1490" s="72" t="n"/>
      <c r="E1490" s="72" t="n"/>
      <c r="F1490" s="72" t="n"/>
      <c r="G1490" s="72" t="n"/>
      <c r="H1490" s="72" t="n"/>
      <c r="I1490" s="72" t="n"/>
      <c r="J1490" s="72" t="n"/>
      <c r="K1490" s="72" t="n"/>
      <c r="L1490" s="72" t="n"/>
      <c r="M1490" s="72" t="n"/>
      <c r="N1490" s="72" t="n"/>
      <c r="O1490" s="72" t="n"/>
      <c r="P1490" s="72" t="n"/>
      <c r="Q1490" s="72" t="n"/>
      <c r="R1490" s="72" t="n"/>
      <c r="S1490" s="72" t="n"/>
    </row>
    <row r="1491">
      <c r="B1491" s="72" t="n"/>
      <c r="C1491" s="72" t="n"/>
      <c r="D1491" s="72" t="n"/>
      <c r="E1491" s="72" t="n"/>
      <c r="F1491" s="72" t="n"/>
      <c r="G1491" s="72" t="n"/>
      <c r="H1491" s="72" t="n"/>
      <c r="I1491" s="72" t="n"/>
      <c r="J1491" s="72" t="n"/>
      <c r="K1491" s="72" t="n"/>
      <c r="L1491" s="72" t="n"/>
      <c r="M1491" s="72" t="n"/>
      <c r="N1491" s="72" t="n"/>
      <c r="O1491" s="72" t="n"/>
      <c r="P1491" s="72" t="n"/>
      <c r="Q1491" s="72" t="n"/>
      <c r="R1491" s="72" t="n"/>
      <c r="S1491" s="72" t="n"/>
    </row>
    <row r="1492">
      <c r="B1492" s="72" t="n"/>
      <c r="C1492" s="72" t="n"/>
      <c r="D1492" s="72" t="n"/>
      <c r="E1492" s="72" t="n"/>
      <c r="F1492" s="72" t="n"/>
      <c r="G1492" s="72" t="n"/>
      <c r="H1492" s="72" t="n"/>
      <c r="I1492" s="72" t="n"/>
      <c r="J1492" s="72" t="n"/>
      <c r="K1492" s="72" t="n"/>
      <c r="L1492" s="72" t="n"/>
      <c r="M1492" s="72" t="n"/>
      <c r="N1492" s="72" t="n"/>
      <c r="O1492" s="72" t="n"/>
      <c r="P1492" s="72" t="n"/>
      <c r="Q1492" s="72" t="n"/>
      <c r="R1492" s="72" t="n"/>
      <c r="S1492" s="72" t="n"/>
    </row>
    <row r="1493">
      <c r="B1493" s="72" t="n"/>
      <c r="C1493" s="72" t="n"/>
      <c r="D1493" s="72" t="n"/>
      <c r="E1493" s="72" t="n"/>
      <c r="F1493" s="72" t="n"/>
      <c r="G1493" s="72" t="n"/>
      <c r="H1493" s="72" t="n"/>
      <c r="I1493" s="72" t="n"/>
      <c r="J1493" s="72" t="n"/>
      <c r="K1493" s="72" t="n"/>
      <c r="L1493" s="72" t="n"/>
      <c r="M1493" s="72" t="n"/>
      <c r="N1493" s="72" t="n"/>
      <c r="O1493" s="72" t="n"/>
      <c r="P1493" s="72" t="n"/>
      <c r="Q1493" s="72" t="n"/>
      <c r="R1493" s="72" t="n"/>
      <c r="S1493" s="72" t="n"/>
    </row>
    <row r="1494">
      <c r="B1494" s="72" t="n"/>
      <c r="C1494" s="72" t="n"/>
      <c r="D1494" s="72" t="n"/>
      <c r="E1494" s="72" t="n"/>
      <c r="F1494" s="72" t="n"/>
      <c r="G1494" s="72" t="n"/>
      <c r="H1494" s="72" t="n"/>
      <c r="I1494" s="72" t="n"/>
      <c r="J1494" s="72" t="n"/>
      <c r="K1494" s="72" t="n"/>
      <c r="L1494" s="72" t="n"/>
      <c r="M1494" s="72" t="n"/>
      <c r="N1494" s="72" t="n"/>
      <c r="O1494" s="72" t="n"/>
      <c r="P1494" s="72" t="n"/>
      <c r="Q1494" s="72" t="n"/>
      <c r="R1494" s="72" t="n"/>
      <c r="S1494" s="72" t="n"/>
    </row>
    <row r="1495">
      <c r="B1495" s="72" t="n"/>
      <c r="C1495" s="72" t="n"/>
      <c r="D1495" s="72" t="n"/>
      <c r="E1495" s="72" t="n"/>
      <c r="F1495" s="72" t="n"/>
      <c r="G1495" s="72" t="n"/>
      <c r="H1495" s="72" t="n"/>
      <c r="I1495" s="72" t="n"/>
      <c r="J1495" s="72" t="n"/>
      <c r="K1495" s="72" t="n"/>
      <c r="L1495" s="72" t="n"/>
      <c r="M1495" s="72" t="n"/>
      <c r="N1495" s="72" t="n"/>
      <c r="O1495" s="72" t="n"/>
      <c r="P1495" s="72" t="n"/>
      <c r="Q1495" s="72" t="n"/>
      <c r="R1495" s="72" t="n"/>
      <c r="S1495" s="72" t="n"/>
    </row>
    <row r="1496">
      <c r="B1496" s="72" t="n"/>
      <c r="C1496" s="72" t="n"/>
      <c r="D1496" s="72" t="n"/>
      <c r="E1496" s="72" t="n"/>
      <c r="F1496" s="72" t="n"/>
      <c r="G1496" s="72" t="n"/>
      <c r="H1496" s="72" t="n"/>
      <c r="I1496" s="72" t="n"/>
      <c r="J1496" s="72" t="n"/>
      <c r="K1496" s="72" t="n"/>
      <c r="L1496" s="72" t="n"/>
      <c r="M1496" s="72" t="n"/>
      <c r="N1496" s="72" t="n"/>
      <c r="O1496" s="72" t="n"/>
      <c r="P1496" s="72" t="n"/>
      <c r="Q1496" s="72" t="n"/>
      <c r="R1496" s="72" t="n"/>
      <c r="S1496" s="72" t="n"/>
    </row>
    <row r="1497">
      <c r="B1497" s="72" t="n"/>
      <c r="C1497" s="72" t="n"/>
      <c r="D1497" s="72" t="n"/>
      <c r="E1497" s="72" t="n"/>
      <c r="F1497" s="72" t="n"/>
      <c r="G1497" s="72" t="n"/>
      <c r="H1497" s="72" t="n"/>
      <c r="I1497" s="72" t="n"/>
      <c r="J1497" s="72" t="n"/>
      <c r="K1497" s="72" t="n"/>
      <c r="L1497" s="72" t="n"/>
      <c r="M1497" s="72" t="n"/>
      <c r="N1497" s="72" t="n"/>
      <c r="O1497" s="72" t="n"/>
      <c r="P1497" s="72" t="n"/>
      <c r="Q1497" s="72" t="n"/>
      <c r="R1497" s="72" t="n"/>
      <c r="S1497" s="72" t="n"/>
    </row>
    <row r="1498">
      <c r="B1498" s="72" t="n"/>
      <c r="C1498" s="72" t="n"/>
      <c r="D1498" s="72" t="n"/>
      <c r="E1498" s="72" t="n"/>
      <c r="F1498" s="72" t="n"/>
      <c r="G1498" s="72" t="n"/>
      <c r="H1498" s="72" t="n"/>
      <c r="I1498" s="72" t="n"/>
      <c r="J1498" s="72" t="n"/>
      <c r="K1498" s="72" t="n"/>
      <c r="L1498" s="72" t="n"/>
      <c r="M1498" s="72" t="n"/>
      <c r="N1498" s="72" t="n"/>
      <c r="O1498" s="72" t="n"/>
      <c r="P1498" s="72" t="n"/>
      <c r="Q1498" s="72" t="n"/>
      <c r="R1498" s="72" t="n"/>
      <c r="S1498" s="72" t="n"/>
    </row>
    <row r="1499">
      <c r="B1499" s="72" t="n"/>
      <c r="C1499" s="72" t="n"/>
      <c r="D1499" s="72" t="n"/>
      <c r="E1499" s="72" t="n"/>
      <c r="F1499" s="72" t="n"/>
      <c r="G1499" s="72" t="n"/>
      <c r="H1499" s="72" t="n"/>
      <c r="I1499" s="72" t="n"/>
      <c r="J1499" s="72" t="n"/>
      <c r="K1499" s="72" t="n"/>
      <c r="L1499" s="72" t="n"/>
      <c r="M1499" s="72" t="n"/>
      <c r="N1499" s="72" t="n"/>
      <c r="O1499" s="72" t="n"/>
      <c r="P1499" s="72" t="n"/>
      <c r="Q1499" s="72" t="n"/>
      <c r="R1499" s="72" t="n"/>
      <c r="S1499" s="72" t="n"/>
    </row>
    <row r="1500">
      <c r="B1500" s="72" t="n"/>
      <c r="C1500" s="72" t="n"/>
      <c r="D1500" s="72" t="n"/>
      <c r="E1500" s="72" t="n"/>
      <c r="F1500" s="72" t="n"/>
      <c r="G1500" s="72" t="n"/>
      <c r="H1500" s="72" t="n"/>
      <c r="I1500" s="72" t="n"/>
      <c r="J1500" s="72" t="n"/>
      <c r="K1500" s="72" t="n"/>
      <c r="L1500" s="72" t="n"/>
      <c r="M1500" s="72" t="n"/>
      <c r="N1500" s="72" t="n"/>
      <c r="O1500" s="72" t="n"/>
      <c r="P1500" s="72" t="n"/>
      <c r="Q1500" s="72" t="n"/>
      <c r="R1500" s="72" t="n"/>
      <c r="S1500" s="72" t="n"/>
    </row>
    <row r="1501">
      <c r="B1501" s="72" t="n"/>
      <c r="C1501" s="72" t="n"/>
      <c r="D1501" s="72" t="n"/>
      <c r="E1501" s="72" t="n"/>
      <c r="F1501" s="72" t="n"/>
      <c r="G1501" s="72" t="n"/>
      <c r="H1501" s="72" t="n"/>
      <c r="I1501" s="72" t="n"/>
      <c r="J1501" s="72" t="n"/>
      <c r="K1501" s="72" t="n"/>
      <c r="L1501" s="72" t="n"/>
      <c r="M1501" s="72" t="n"/>
      <c r="N1501" s="72" t="n"/>
      <c r="O1501" s="72" t="n"/>
      <c r="P1501" s="72" t="n"/>
      <c r="Q1501" s="72" t="n"/>
      <c r="R1501" s="72" t="n"/>
      <c r="S1501" s="72" t="n"/>
    </row>
    <row r="1502">
      <c r="B1502" s="72" t="n"/>
      <c r="C1502" s="72" t="n"/>
      <c r="D1502" s="72" t="n"/>
      <c r="E1502" s="72" t="n"/>
      <c r="F1502" s="72" t="n"/>
      <c r="G1502" s="72" t="n"/>
      <c r="H1502" s="72" t="n"/>
      <c r="I1502" s="72" t="n"/>
      <c r="J1502" s="72" t="n"/>
      <c r="K1502" s="72" t="n"/>
      <c r="L1502" s="72" t="n"/>
      <c r="M1502" s="72" t="n"/>
      <c r="N1502" s="72" t="n"/>
      <c r="O1502" s="72" t="n"/>
      <c r="P1502" s="72" t="n"/>
      <c r="Q1502" s="72" t="n"/>
      <c r="R1502" s="72" t="n"/>
      <c r="S1502" s="72" t="n"/>
    </row>
    <row r="1503">
      <c r="B1503" s="72" t="n"/>
      <c r="C1503" s="72" t="n"/>
      <c r="D1503" s="72" t="n"/>
      <c r="E1503" s="72" t="n"/>
      <c r="F1503" s="72" t="n"/>
      <c r="G1503" s="72" t="n"/>
      <c r="H1503" s="72" t="n"/>
      <c r="I1503" s="72" t="n"/>
      <c r="J1503" s="72" t="n"/>
      <c r="K1503" s="72" t="n"/>
      <c r="L1503" s="72" t="n"/>
      <c r="M1503" s="72" t="n"/>
      <c r="N1503" s="72" t="n"/>
      <c r="O1503" s="72" t="n"/>
      <c r="P1503" s="72" t="n"/>
      <c r="Q1503" s="72" t="n"/>
      <c r="R1503" s="72" t="n"/>
      <c r="S1503" s="72" t="n"/>
    </row>
    <row r="1504">
      <c r="B1504" s="72" t="n"/>
      <c r="C1504" s="72" t="n"/>
      <c r="D1504" s="72" t="n"/>
      <c r="E1504" s="72" t="n"/>
      <c r="F1504" s="72" t="n"/>
      <c r="G1504" s="72" t="n"/>
      <c r="H1504" s="72" t="n"/>
      <c r="I1504" s="72" t="n"/>
      <c r="J1504" s="72" t="n"/>
      <c r="K1504" s="72" t="n"/>
      <c r="L1504" s="72" t="n"/>
      <c r="M1504" s="72" t="n"/>
      <c r="N1504" s="72" t="n"/>
      <c r="O1504" s="72" t="n"/>
      <c r="P1504" s="72" t="n"/>
      <c r="Q1504" s="72" t="n"/>
      <c r="R1504" s="72" t="n"/>
      <c r="S1504" s="72" t="n"/>
    </row>
    <row r="1505">
      <c r="B1505" s="72" t="n"/>
      <c r="C1505" s="72" t="n"/>
      <c r="D1505" s="72" t="n"/>
      <c r="E1505" s="72" t="n"/>
      <c r="F1505" s="72" t="n"/>
      <c r="G1505" s="72" t="n"/>
      <c r="H1505" s="72" t="n"/>
      <c r="I1505" s="72" t="n"/>
      <c r="J1505" s="72" t="n"/>
      <c r="K1505" s="72" t="n"/>
      <c r="L1505" s="72" t="n"/>
      <c r="M1505" s="72" t="n"/>
      <c r="N1505" s="72" t="n"/>
      <c r="O1505" s="72" t="n"/>
      <c r="P1505" s="72" t="n"/>
      <c r="Q1505" s="72" t="n"/>
      <c r="R1505" s="72" t="n"/>
      <c r="S1505" s="72" t="n"/>
    </row>
    <row r="1506">
      <c r="B1506" s="72" t="n"/>
      <c r="C1506" s="72" t="n"/>
      <c r="D1506" s="72" t="n"/>
      <c r="E1506" s="72" t="n"/>
      <c r="F1506" s="72" t="n"/>
      <c r="G1506" s="72" t="n"/>
      <c r="H1506" s="72" t="n"/>
      <c r="I1506" s="72" t="n"/>
      <c r="J1506" s="72" t="n"/>
      <c r="K1506" s="72" t="n"/>
      <c r="L1506" s="72" t="n"/>
      <c r="M1506" s="72" t="n"/>
      <c r="N1506" s="72" t="n"/>
      <c r="O1506" s="72" t="n"/>
      <c r="P1506" s="72" t="n"/>
      <c r="Q1506" s="72" t="n"/>
      <c r="R1506" s="72" t="n"/>
      <c r="S1506" s="72" t="n"/>
    </row>
    <row r="1507">
      <c r="B1507" s="72" t="n"/>
      <c r="C1507" s="72" t="n"/>
      <c r="D1507" s="72" t="n"/>
      <c r="E1507" s="72" t="n"/>
      <c r="F1507" s="72" t="n"/>
      <c r="G1507" s="72" t="n"/>
      <c r="H1507" s="72" t="n"/>
      <c r="I1507" s="72" t="n"/>
      <c r="J1507" s="72" t="n"/>
      <c r="K1507" s="72" t="n"/>
      <c r="L1507" s="72" t="n"/>
      <c r="M1507" s="72" t="n"/>
      <c r="N1507" s="72" t="n"/>
      <c r="O1507" s="72" t="n"/>
      <c r="P1507" s="72" t="n"/>
      <c r="Q1507" s="72" t="n"/>
      <c r="R1507" s="72" t="n"/>
      <c r="S1507" s="72" t="n"/>
    </row>
    <row r="1508">
      <c r="B1508" s="72" t="n"/>
      <c r="C1508" s="72" t="n"/>
      <c r="D1508" s="72" t="n"/>
      <c r="E1508" s="72" t="n"/>
      <c r="F1508" s="72" t="n"/>
      <c r="G1508" s="72" t="n"/>
      <c r="H1508" s="72" t="n"/>
      <c r="I1508" s="72" t="n"/>
      <c r="J1508" s="72" t="n"/>
      <c r="K1508" s="72" t="n"/>
      <c r="L1508" s="72" t="n"/>
      <c r="M1508" s="72" t="n"/>
      <c r="N1508" s="72" t="n"/>
      <c r="O1508" s="72" t="n"/>
      <c r="P1508" s="72" t="n"/>
      <c r="Q1508" s="72" t="n"/>
      <c r="R1508" s="72" t="n"/>
      <c r="S1508" s="72" t="n"/>
    </row>
    <row r="1509">
      <c r="B1509" s="72" t="n"/>
      <c r="C1509" s="72" t="n"/>
      <c r="D1509" s="72" t="n"/>
      <c r="E1509" s="72" t="n"/>
      <c r="F1509" s="72" t="n"/>
      <c r="G1509" s="72" t="n"/>
      <c r="H1509" s="72" t="n"/>
      <c r="I1509" s="72" t="n"/>
      <c r="J1509" s="72" t="n"/>
      <c r="K1509" s="72" t="n"/>
      <c r="L1509" s="72" t="n"/>
      <c r="M1509" s="72" t="n"/>
      <c r="N1509" s="72" t="n"/>
      <c r="O1509" s="72" t="n"/>
      <c r="P1509" s="72" t="n"/>
      <c r="Q1509" s="72" t="n"/>
      <c r="R1509" s="72" t="n"/>
      <c r="S1509" s="72" t="n"/>
    </row>
    <row r="1510">
      <c r="B1510" s="72" t="n"/>
      <c r="C1510" s="72" t="n"/>
      <c r="D1510" s="72" t="n"/>
      <c r="E1510" s="72" t="n"/>
      <c r="F1510" s="72" t="n"/>
      <c r="G1510" s="72" t="n"/>
      <c r="H1510" s="72" t="n"/>
      <c r="I1510" s="72" t="n"/>
      <c r="J1510" s="72" t="n"/>
      <c r="K1510" s="72" t="n"/>
      <c r="L1510" s="72" t="n"/>
      <c r="M1510" s="72" t="n"/>
      <c r="N1510" s="72" t="n"/>
      <c r="O1510" s="72" t="n"/>
      <c r="P1510" s="72" t="n"/>
      <c r="Q1510" s="72" t="n"/>
      <c r="R1510" s="72" t="n"/>
      <c r="S1510" s="72" t="n"/>
    </row>
    <row r="1511">
      <c r="B1511" s="72" t="n"/>
      <c r="C1511" s="72" t="n"/>
      <c r="D1511" s="72" t="n"/>
      <c r="E1511" s="72" t="n"/>
      <c r="F1511" s="72" t="n"/>
      <c r="G1511" s="72" t="n"/>
      <c r="H1511" s="72" t="n"/>
      <c r="I1511" s="72" t="n"/>
      <c r="J1511" s="72" t="n"/>
      <c r="K1511" s="72" t="n"/>
      <c r="L1511" s="72" t="n"/>
      <c r="M1511" s="72" t="n"/>
      <c r="N1511" s="72" t="n"/>
      <c r="O1511" s="72" t="n"/>
      <c r="P1511" s="72" t="n"/>
      <c r="Q1511" s="72" t="n"/>
      <c r="R1511" s="72" t="n"/>
      <c r="S1511" s="72" t="n"/>
    </row>
    <row r="1512">
      <c r="B1512" s="72" t="n"/>
      <c r="C1512" s="72" t="n"/>
      <c r="D1512" s="72" t="n"/>
      <c r="E1512" s="72" t="n"/>
      <c r="F1512" s="72" t="n"/>
      <c r="G1512" s="72" t="n"/>
      <c r="H1512" s="72" t="n"/>
      <c r="I1512" s="72" t="n"/>
      <c r="J1512" s="72" t="n"/>
      <c r="K1512" s="72" t="n"/>
      <c r="L1512" s="72" t="n"/>
      <c r="M1512" s="72" t="n"/>
      <c r="N1512" s="72" t="n"/>
      <c r="O1512" s="72" t="n"/>
      <c r="P1512" s="72" t="n"/>
      <c r="Q1512" s="72" t="n"/>
      <c r="R1512" s="72" t="n"/>
      <c r="S1512" s="72" t="n"/>
    </row>
    <row r="1513">
      <c r="B1513" s="72" t="n"/>
      <c r="C1513" s="72" t="n"/>
      <c r="D1513" s="72" t="n"/>
      <c r="E1513" s="72" t="n"/>
      <c r="F1513" s="72" t="n"/>
      <c r="G1513" s="72" t="n"/>
      <c r="H1513" s="72" t="n"/>
      <c r="I1513" s="72" t="n"/>
      <c r="J1513" s="72" t="n"/>
      <c r="K1513" s="72" t="n"/>
      <c r="L1513" s="72" t="n"/>
      <c r="M1513" s="72" t="n"/>
      <c r="N1513" s="72" t="n"/>
      <c r="O1513" s="72" t="n"/>
      <c r="P1513" s="72" t="n"/>
      <c r="Q1513" s="72" t="n"/>
      <c r="R1513" s="72" t="n"/>
      <c r="S1513" s="72" t="n"/>
    </row>
    <row r="1514">
      <c r="B1514" s="72" t="n"/>
      <c r="C1514" s="72" t="n"/>
      <c r="D1514" s="72" t="n"/>
      <c r="E1514" s="72" t="n"/>
      <c r="F1514" s="72" t="n"/>
      <c r="G1514" s="72" t="n"/>
      <c r="H1514" s="72" t="n"/>
      <c r="I1514" s="72" t="n"/>
      <c r="J1514" s="72" t="n"/>
      <c r="K1514" s="72" t="n"/>
      <c r="L1514" s="72" t="n"/>
      <c r="M1514" s="72" t="n"/>
      <c r="N1514" s="72" t="n"/>
      <c r="O1514" s="72" t="n"/>
      <c r="P1514" s="72" t="n"/>
      <c r="Q1514" s="72" t="n"/>
      <c r="R1514" s="72" t="n"/>
      <c r="S1514" s="72" t="n"/>
    </row>
    <row r="1515">
      <c r="B1515" s="72" t="n"/>
      <c r="C1515" s="72" t="n"/>
      <c r="D1515" s="72" t="n"/>
      <c r="E1515" s="72" t="n"/>
      <c r="F1515" s="72" t="n"/>
      <c r="G1515" s="72" t="n"/>
      <c r="H1515" s="72" t="n"/>
      <c r="I1515" s="72" t="n"/>
      <c r="J1515" s="72" t="n"/>
      <c r="K1515" s="72" t="n"/>
      <c r="L1515" s="72" t="n"/>
      <c r="M1515" s="72" t="n"/>
      <c r="N1515" s="72" t="n"/>
      <c r="O1515" s="72" t="n"/>
      <c r="P1515" s="72" t="n"/>
      <c r="Q1515" s="72" t="n"/>
      <c r="R1515" s="72" t="n"/>
      <c r="S1515" s="72" t="n"/>
    </row>
    <row r="1516">
      <c r="B1516" s="72" t="n"/>
      <c r="C1516" s="72" t="n"/>
      <c r="D1516" s="72" t="n"/>
      <c r="E1516" s="72" t="n"/>
      <c r="F1516" s="72" t="n"/>
      <c r="G1516" s="72" t="n"/>
      <c r="H1516" s="72" t="n"/>
      <c r="I1516" s="72" t="n"/>
      <c r="J1516" s="72" t="n"/>
      <c r="K1516" s="72" t="n"/>
      <c r="L1516" s="72" t="n"/>
      <c r="M1516" s="72" t="n"/>
      <c r="N1516" s="72" t="n"/>
      <c r="O1516" s="72" t="n"/>
      <c r="P1516" s="72" t="n"/>
      <c r="Q1516" s="72" t="n"/>
      <c r="R1516" s="72" t="n"/>
      <c r="S1516" s="72" t="n"/>
    </row>
    <row r="1517">
      <c r="B1517" s="72" t="n"/>
      <c r="C1517" s="72" t="n"/>
      <c r="D1517" s="72" t="n"/>
      <c r="E1517" s="72" t="n"/>
      <c r="F1517" s="72" t="n"/>
      <c r="G1517" s="72" t="n"/>
      <c r="H1517" s="72" t="n"/>
      <c r="I1517" s="72" t="n"/>
      <c r="J1517" s="72" t="n"/>
      <c r="K1517" s="72" t="n"/>
      <c r="L1517" s="72" t="n"/>
      <c r="M1517" s="72" t="n"/>
      <c r="N1517" s="72" t="n"/>
      <c r="O1517" s="72" t="n"/>
      <c r="P1517" s="72" t="n"/>
      <c r="Q1517" s="72" t="n"/>
      <c r="R1517" s="72" t="n"/>
      <c r="S1517" s="72" t="n"/>
    </row>
    <row r="1518">
      <c r="B1518" s="72" t="n"/>
      <c r="C1518" s="72" t="n"/>
      <c r="D1518" s="72" t="n"/>
      <c r="E1518" s="72" t="n"/>
      <c r="F1518" s="72" t="n"/>
      <c r="G1518" s="72" t="n"/>
      <c r="H1518" s="72" t="n"/>
      <c r="I1518" s="72" t="n"/>
      <c r="J1518" s="72" t="n"/>
      <c r="K1518" s="72" t="n"/>
      <c r="L1518" s="72" t="n"/>
      <c r="M1518" s="72" t="n"/>
      <c r="N1518" s="72" t="n"/>
      <c r="O1518" s="72" t="n"/>
      <c r="P1518" s="72" t="n"/>
      <c r="Q1518" s="72" t="n"/>
      <c r="R1518" s="72" t="n"/>
      <c r="S1518" s="72" t="n"/>
    </row>
    <row r="1519">
      <c r="B1519" s="72" t="n"/>
      <c r="C1519" s="72" t="n"/>
      <c r="D1519" s="72" t="n"/>
      <c r="E1519" s="72" t="n"/>
      <c r="F1519" s="72" t="n"/>
      <c r="G1519" s="72" t="n"/>
      <c r="H1519" s="72" t="n"/>
      <c r="I1519" s="72" t="n"/>
      <c r="J1519" s="72" t="n"/>
      <c r="K1519" s="72" t="n"/>
      <c r="L1519" s="72" t="n"/>
      <c r="M1519" s="72" t="n"/>
      <c r="N1519" s="72" t="n"/>
      <c r="O1519" s="72" t="n"/>
      <c r="P1519" s="72" t="n"/>
      <c r="Q1519" s="72" t="n"/>
      <c r="R1519" s="72" t="n"/>
      <c r="S1519" s="72" t="n"/>
    </row>
    <row r="1520">
      <c r="B1520" s="72" t="n"/>
      <c r="C1520" s="72" t="n"/>
      <c r="D1520" s="72" t="n"/>
      <c r="E1520" s="72" t="n"/>
      <c r="F1520" s="72" t="n"/>
      <c r="G1520" s="72" t="n"/>
      <c r="H1520" s="72" t="n"/>
      <c r="I1520" s="72" t="n"/>
      <c r="J1520" s="72" t="n"/>
      <c r="K1520" s="72" t="n"/>
      <c r="L1520" s="72" t="n"/>
      <c r="M1520" s="72" t="n"/>
      <c r="N1520" s="72" t="n"/>
      <c r="O1520" s="72" t="n"/>
      <c r="P1520" s="72" t="n"/>
      <c r="Q1520" s="72" t="n"/>
      <c r="R1520" s="72" t="n"/>
      <c r="S1520" s="72" t="n"/>
    </row>
    <row r="1521">
      <c r="B1521" s="72" t="n"/>
      <c r="C1521" s="72" t="n"/>
      <c r="D1521" s="72" t="n"/>
      <c r="E1521" s="72" t="n"/>
      <c r="F1521" s="72" t="n"/>
      <c r="G1521" s="72" t="n"/>
      <c r="H1521" s="72" t="n"/>
      <c r="I1521" s="72" t="n"/>
      <c r="J1521" s="72" t="n"/>
      <c r="K1521" s="72" t="n"/>
      <c r="L1521" s="72" t="n"/>
      <c r="M1521" s="72" t="n"/>
      <c r="N1521" s="72" t="n"/>
      <c r="O1521" s="72" t="n"/>
      <c r="P1521" s="72" t="n"/>
      <c r="Q1521" s="72" t="n"/>
      <c r="R1521" s="72" t="n"/>
      <c r="S1521" s="72" t="n"/>
    </row>
    <row r="1522">
      <c r="B1522" s="72" t="n"/>
      <c r="C1522" s="72" t="n"/>
      <c r="D1522" s="72" t="n"/>
      <c r="E1522" s="72" t="n"/>
      <c r="F1522" s="72" t="n"/>
      <c r="G1522" s="72" t="n"/>
      <c r="H1522" s="72" t="n"/>
      <c r="I1522" s="72" t="n"/>
      <c r="J1522" s="72" t="n"/>
      <c r="K1522" s="72" t="n"/>
      <c r="L1522" s="72" t="n"/>
      <c r="M1522" s="72" t="n"/>
      <c r="N1522" s="72" t="n"/>
      <c r="O1522" s="72" t="n"/>
      <c r="P1522" s="72" t="n"/>
      <c r="Q1522" s="72" t="n"/>
      <c r="R1522" s="72" t="n"/>
      <c r="S1522" s="72" t="n"/>
    </row>
    <row r="1523">
      <c r="B1523" s="72" t="n"/>
      <c r="C1523" s="72" t="n"/>
      <c r="D1523" s="72" t="n"/>
      <c r="E1523" s="72" t="n"/>
      <c r="F1523" s="72" t="n"/>
      <c r="G1523" s="72" t="n"/>
      <c r="H1523" s="72" t="n"/>
      <c r="I1523" s="72" t="n"/>
      <c r="J1523" s="72" t="n"/>
      <c r="K1523" s="72" t="n"/>
      <c r="L1523" s="72" t="n"/>
      <c r="M1523" s="72" t="n"/>
      <c r="N1523" s="72" t="n"/>
      <c r="O1523" s="72" t="n"/>
      <c r="P1523" s="72" t="n"/>
      <c r="Q1523" s="72" t="n"/>
      <c r="R1523" s="72" t="n"/>
      <c r="S1523" s="72" t="n"/>
    </row>
    <row r="1524">
      <c r="B1524" s="72" t="n"/>
      <c r="C1524" s="72" t="n"/>
      <c r="D1524" s="72" t="n"/>
      <c r="E1524" s="72" t="n"/>
      <c r="F1524" s="72" t="n"/>
      <c r="G1524" s="72" t="n"/>
      <c r="H1524" s="72" t="n"/>
      <c r="I1524" s="72" t="n"/>
      <c r="J1524" s="72" t="n"/>
      <c r="K1524" s="72" t="n"/>
      <c r="L1524" s="72" t="n"/>
      <c r="M1524" s="72" t="n"/>
      <c r="N1524" s="72" t="n"/>
      <c r="O1524" s="72" t="n"/>
      <c r="P1524" s="72" t="n"/>
      <c r="Q1524" s="72" t="n"/>
      <c r="R1524" s="72" t="n"/>
      <c r="S1524" s="72" t="n"/>
    </row>
    <row r="1525">
      <c r="B1525" s="72" t="n"/>
      <c r="C1525" s="72" t="n"/>
      <c r="D1525" s="72" t="n"/>
      <c r="E1525" s="72" t="n"/>
      <c r="F1525" s="72" t="n"/>
      <c r="G1525" s="72" t="n"/>
      <c r="H1525" s="72" t="n"/>
      <c r="I1525" s="72" t="n"/>
      <c r="J1525" s="72" t="n"/>
      <c r="K1525" s="72" t="n"/>
      <c r="L1525" s="72" t="n"/>
      <c r="M1525" s="72" t="n"/>
      <c r="N1525" s="72" t="n"/>
      <c r="O1525" s="72" t="n"/>
      <c r="P1525" s="72" t="n"/>
      <c r="Q1525" s="72" t="n"/>
      <c r="R1525" s="72" t="n"/>
      <c r="S1525" s="72" t="n"/>
    </row>
    <row r="1526">
      <c r="B1526" s="72" t="n"/>
      <c r="C1526" s="72" t="n"/>
      <c r="D1526" s="72" t="n"/>
      <c r="E1526" s="72" t="n"/>
      <c r="F1526" s="72" t="n"/>
      <c r="G1526" s="72" t="n"/>
      <c r="H1526" s="72" t="n"/>
      <c r="I1526" s="72" t="n"/>
      <c r="J1526" s="72" t="n"/>
      <c r="K1526" s="72" t="n"/>
      <c r="L1526" s="72" t="n"/>
      <c r="M1526" s="72" t="n"/>
      <c r="N1526" s="72" t="n"/>
      <c r="O1526" s="72" t="n"/>
      <c r="P1526" s="72" t="n"/>
      <c r="Q1526" s="72" t="n"/>
      <c r="R1526" s="72" t="n"/>
      <c r="S1526" s="72" t="n"/>
    </row>
    <row r="1527">
      <c r="B1527" s="72" t="n"/>
      <c r="C1527" s="72" t="n"/>
      <c r="D1527" s="72" t="n"/>
      <c r="E1527" s="72" t="n"/>
      <c r="F1527" s="72" t="n"/>
      <c r="G1527" s="72" t="n"/>
      <c r="H1527" s="72" t="n"/>
      <c r="I1527" s="72" t="n"/>
      <c r="J1527" s="72" t="n"/>
      <c r="K1527" s="72" t="n"/>
      <c r="L1527" s="72" t="n"/>
      <c r="M1527" s="72" t="n"/>
      <c r="N1527" s="72" t="n"/>
      <c r="O1527" s="72" t="n"/>
      <c r="P1527" s="72" t="n"/>
      <c r="Q1527" s="72" t="n"/>
      <c r="R1527" s="72" t="n"/>
      <c r="S1527" s="72" t="n"/>
    </row>
    <row r="1528">
      <c r="B1528" s="72" t="n"/>
      <c r="C1528" s="72" t="n"/>
      <c r="D1528" s="72" t="n"/>
      <c r="E1528" s="72" t="n"/>
      <c r="F1528" s="72" t="n"/>
      <c r="G1528" s="72" t="n"/>
      <c r="H1528" s="72" t="n"/>
      <c r="I1528" s="72" t="n"/>
      <c r="J1528" s="72" t="n"/>
      <c r="K1528" s="72" t="n"/>
      <c r="L1528" s="72" t="n"/>
      <c r="M1528" s="72" t="n"/>
      <c r="N1528" s="72" t="n"/>
      <c r="O1528" s="72" t="n"/>
      <c r="P1528" s="72" t="n"/>
      <c r="Q1528" s="72" t="n"/>
      <c r="R1528" s="72" t="n"/>
      <c r="S1528" s="72" t="n"/>
    </row>
    <row r="1529">
      <c r="B1529" s="72" t="n"/>
      <c r="C1529" s="72" t="n"/>
      <c r="D1529" s="72" t="n"/>
      <c r="E1529" s="72" t="n"/>
      <c r="F1529" s="72" t="n"/>
      <c r="G1529" s="72" t="n"/>
      <c r="H1529" s="72" t="n"/>
      <c r="I1529" s="72" t="n"/>
      <c r="J1529" s="72" t="n"/>
      <c r="K1529" s="72" t="n"/>
      <c r="L1529" s="72" t="n"/>
      <c r="M1529" s="72" t="n"/>
      <c r="N1529" s="72" t="n"/>
      <c r="O1529" s="72" t="n"/>
      <c r="P1529" s="72" t="n"/>
      <c r="Q1529" s="72" t="n"/>
      <c r="R1529" s="72" t="n"/>
      <c r="S1529" s="72" t="n"/>
    </row>
    <row r="1530">
      <c r="B1530" s="72" t="n"/>
      <c r="C1530" s="72" t="n"/>
      <c r="D1530" s="72" t="n"/>
      <c r="E1530" s="72" t="n"/>
      <c r="F1530" s="72" t="n"/>
      <c r="G1530" s="72" t="n"/>
      <c r="H1530" s="72" t="n"/>
      <c r="I1530" s="72" t="n"/>
      <c r="J1530" s="72" t="n"/>
      <c r="K1530" s="72" t="n"/>
      <c r="L1530" s="72" t="n"/>
      <c r="M1530" s="72" t="n"/>
      <c r="N1530" s="72" t="n"/>
      <c r="O1530" s="72" t="n"/>
      <c r="P1530" s="72" t="n"/>
      <c r="Q1530" s="72" t="n"/>
      <c r="R1530" s="72" t="n"/>
      <c r="S1530" s="72" t="n"/>
    </row>
    <row r="1531">
      <c r="B1531" s="72" t="n"/>
      <c r="C1531" s="72" t="n"/>
      <c r="D1531" s="72" t="n"/>
      <c r="E1531" s="72" t="n"/>
      <c r="F1531" s="72" t="n"/>
      <c r="G1531" s="72" t="n"/>
      <c r="H1531" s="72" t="n"/>
      <c r="I1531" s="72" t="n"/>
      <c r="J1531" s="72" t="n"/>
      <c r="K1531" s="72" t="n"/>
      <c r="L1531" s="72" t="n"/>
      <c r="M1531" s="72" t="n"/>
      <c r="N1531" s="72" t="n"/>
      <c r="O1531" s="72" t="n"/>
      <c r="P1531" s="72" t="n"/>
      <c r="Q1531" s="72" t="n"/>
      <c r="R1531" s="72" t="n"/>
      <c r="S1531" s="72" t="n"/>
    </row>
    <row r="1532">
      <c r="B1532" s="72" t="n"/>
      <c r="C1532" s="72" t="n"/>
      <c r="D1532" s="72" t="n"/>
      <c r="E1532" s="72" t="n"/>
      <c r="F1532" s="72" t="n"/>
      <c r="G1532" s="72" t="n"/>
      <c r="H1532" s="72" t="n"/>
      <c r="I1532" s="72" t="n"/>
      <c r="J1532" s="72" t="n"/>
      <c r="K1532" s="72" t="n"/>
      <c r="L1532" s="72" t="n"/>
      <c r="M1532" s="72" t="n"/>
      <c r="N1532" s="72" t="n"/>
      <c r="O1532" s="72" t="n"/>
      <c r="P1532" s="72" t="n"/>
      <c r="Q1532" s="72" t="n"/>
      <c r="R1532" s="72" t="n"/>
      <c r="S1532" s="72" t="n"/>
    </row>
    <row r="1533">
      <c r="B1533" s="72" t="n"/>
      <c r="C1533" s="72" t="n"/>
      <c r="D1533" s="72" t="n"/>
      <c r="E1533" s="72" t="n"/>
      <c r="F1533" s="72" t="n"/>
      <c r="G1533" s="72" t="n"/>
      <c r="H1533" s="72" t="n"/>
      <c r="I1533" s="72" t="n"/>
      <c r="J1533" s="72" t="n"/>
      <c r="K1533" s="72" t="n"/>
      <c r="L1533" s="72" t="n"/>
      <c r="M1533" s="72" t="n"/>
      <c r="N1533" s="72" t="n"/>
      <c r="O1533" s="72" t="n"/>
      <c r="P1533" s="72" t="n"/>
      <c r="Q1533" s="72" t="n"/>
      <c r="R1533" s="72" t="n"/>
      <c r="S1533" s="72" t="n"/>
    </row>
    <row r="1534">
      <c r="B1534" s="72" t="n"/>
      <c r="C1534" s="72" t="n"/>
      <c r="D1534" s="72" t="n"/>
      <c r="E1534" s="72" t="n"/>
      <c r="F1534" s="72" t="n"/>
      <c r="G1534" s="72" t="n"/>
      <c r="H1534" s="72" t="n"/>
      <c r="I1534" s="72" t="n"/>
      <c r="J1534" s="72" t="n"/>
      <c r="K1534" s="72" t="n"/>
      <c r="L1534" s="72" t="n"/>
      <c r="M1534" s="72" t="n"/>
      <c r="N1534" s="72" t="n"/>
      <c r="O1534" s="72" t="n"/>
      <c r="P1534" s="72" t="n"/>
      <c r="Q1534" s="72" t="n"/>
      <c r="R1534" s="72" t="n"/>
      <c r="S1534" s="72" t="n"/>
    </row>
    <row r="1535">
      <c r="B1535" s="72" t="n"/>
      <c r="C1535" s="72" t="n"/>
      <c r="D1535" s="72" t="n"/>
      <c r="E1535" s="72" t="n"/>
      <c r="F1535" s="72" t="n"/>
      <c r="G1535" s="72" t="n"/>
      <c r="H1535" s="72" t="n"/>
      <c r="I1535" s="72" t="n"/>
      <c r="J1535" s="72" t="n"/>
      <c r="K1535" s="72" t="n"/>
      <c r="L1535" s="72" t="n"/>
      <c r="M1535" s="72" t="n"/>
      <c r="N1535" s="72" t="n"/>
      <c r="O1535" s="72" t="n"/>
      <c r="P1535" s="72" t="n"/>
      <c r="Q1535" s="72" t="n"/>
      <c r="R1535" s="72" t="n"/>
      <c r="S1535" s="72" t="n"/>
    </row>
    <row r="1536">
      <c r="B1536" s="72" t="n"/>
      <c r="C1536" s="72" t="n"/>
      <c r="D1536" s="72" t="n"/>
      <c r="E1536" s="72" t="n"/>
      <c r="F1536" s="72" t="n"/>
      <c r="G1536" s="72" t="n"/>
      <c r="H1536" s="72" t="n"/>
      <c r="I1536" s="72" t="n"/>
      <c r="J1536" s="72" t="n"/>
      <c r="K1536" s="72" t="n"/>
      <c r="L1536" s="72" t="n"/>
      <c r="M1536" s="72" t="n"/>
      <c r="N1536" s="72" t="n"/>
      <c r="O1536" s="72" t="n"/>
      <c r="P1536" s="72" t="n"/>
      <c r="Q1536" s="72" t="n"/>
      <c r="R1536" s="72" t="n"/>
      <c r="S1536" s="72" t="n"/>
    </row>
    <row r="1537">
      <c r="B1537" s="72" t="n"/>
      <c r="C1537" s="72" t="n"/>
      <c r="D1537" s="72" t="n"/>
      <c r="E1537" s="72" t="n"/>
      <c r="F1537" s="72" t="n"/>
      <c r="G1537" s="72" t="n"/>
      <c r="H1537" s="72" t="n"/>
      <c r="I1537" s="72" t="n"/>
      <c r="J1537" s="72" t="n"/>
      <c r="K1537" s="72" t="n"/>
      <c r="L1537" s="72" t="n"/>
      <c r="M1537" s="72" t="n"/>
      <c r="N1537" s="72" t="n"/>
      <c r="O1537" s="72" t="n"/>
      <c r="P1537" s="72" t="n"/>
      <c r="Q1537" s="72" t="n"/>
      <c r="R1537" s="72" t="n"/>
      <c r="S1537" s="72" t="n"/>
    </row>
    <row r="1538">
      <c r="B1538" s="72" t="n"/>
      <c r="C1538" s="72" t="n"/>
      <c r="D1538" s="72" t="n"/>
      <c r="E1538" s="72" t="n"/>
      <c r="F1538" s="72" t="n"/>
      <c r="G1538" s="72" t="n"/>
      <c r="H1538" s="72" t="n"/>
      <c r="I1538" s="72" t="n"/>
      <c r="J1538" s="72" t="n"/>
      <c r="K1538" s="72" t="n"/>
      <c r="L1538" s="72" t="n"/>
      <c r="M1538" s="72" t="n"/>
      <c r="N1538" s="72" t="n"/>
      <c r="O1538" s="72" t="n"/>
      <c r="P1538" s="72" t="n"/>
      <c r="Q1538" s="72" t="n"/>
      <c r="R1538" s="72" t="n"/>
      <c r="S1538" s="72" t="n"/>
    </row>
    <row r="1539">
      <c r="B1539" s="72" t="n"/>
      <c r="C1539" s="72" t="n"/>
      <c r="D1539" s="72" t="n"/>
      <c r="E1539" s="72" t="n"/>
      <c r="F1539" s="72" t="n"/>
      <c r="G1539" s="72" t="n"/>
      <c r="H1539" s="72" t="n"/>
      <c r="I1539" s="72" t="n"/>
      <c r="J1539" s="72" t="n"/>
      <c r="K1539" s="72" t="n"/>
      <c r="L1539" s="72" t="n"/>
      <c r="M1539" s="72" t="n"/>
      <c r="N1539" s="72" t="n"/>
      <c r="O1539" s="72" t="n"/>
      <c r="P1539" s="72" t="n"/>
      <c r="Q1539" s="72" t="n"/>
      <c r="R1539" s="72" t="n"/>
      <c r="S1539" s="72" t="n"/>
    </row>
    <row r="1540">
      <c r="B1540" s="72" t="n"/>
      <c r="C1540" s="72" t="n"/>
      <c r="D1540" s="72" t="n"/>
      <c r="E1540" s="72" t="n"/>
      <c r="F1540" s="72" t="n"/>
      <c r="G1540" s="72" t="n"/>
      <c r="H1540" s="72" t="n"/>
      <c r="I1540" s="72" t="n"/>
      <c r="J1540" s="72" t="n"/>
      <c r="K1540" s="72" t="n"/>
      <c r="L1540" s="72" t="n"/>
      <c r="M1540" s="72" t="n"/>
      <c r="N1540" s="72" t="n"/>
      <c r="O1540" s="72" t="n"/>
      <c r="P1540" s="72" t="n"/>
      <c r="Q1540" s="72" t="n"/>
      <c r="R1540" s="72" t="n"/>
      <c r="S1540" s="72" t="n"/>
    </row>
    <row r="1541">
      <c r="B1541" s="72" t="n"/>
      <c r="C1541" s="72" t="n"/>
      <c r="D1541" s="72" t="n"/>
      <c r="E1541" s="72" t="n"/>
      <c r="F1541" s="72" t="n"/>
      <c r="G1541" s="72" t="n"/>
      <c r="H1541" s="72" t="n"/>
      <c r="I1541" s="72" t="n"/>
      <c r="J1541" s="72" t="n"/>
      <c r="K1541" s="72" t="n"/>
      <c r="L1541" s="72" t="n"/>
      <c r="M1541" s="72" t="n"/>
      <c r="N1541" s="72" t="n"/>
      <c r="O1541" s="72" t="n"/>
      <c r="P1541" s="72" t="n"/>
      <c r="Q1541" s="72" t="n"/>
      <c r="R1541" s="72" t="n"/>
      <c r="S1541" s="72" t="n"/>
    </row>
    <row r="1542">
      <c r="B1542" s="72" t="n"/>
      <c r="C1542" s="72" t="n"/>
      <c r="D1542" s="72" t="n"/>
      <c r="E1542" s="72" t="n"/>
      <c r="F1542" s="72" t="n"/>
      <c r="G1542" s="72" t="n"/>
      <c r="H1542" s="72" t="n"/>
      <c r="I1542" s="72" t="n"/>
      <c r="J1542" s="72" t="n"/>
      <c r="K1542" s="72" t="n"/>
      <c r="L1542" s="72" t="n"/>
      <c r="M1542" s="72" t="n"/>
      <c r="N1542" s="72" t="n"/>
      <c r="O1542" s="72" t="n"/>
      <c r="P1542" s="72" t="n"/>
      <c r="Q1542" s="72" t="n"/>
      <c r="R1542" s="72" t="n"/>
      <c r="S1542" s="72" t="n"/>
    </row>
    <row r="1543">
      <c r="B1543" s="72" t="n"/>
      <c r="C1543" s="72" t="n"/>
      <c r="D1543" s="72" t="n"/>
      <c r="E1543" s="72" t="n"/>
      <c r="F1543" s="72" t="n"/>
      <c r="G1543" s="72" t="n"/>
      <c r="H1543" s="72" t="n"/>
      <c r="I1543" s="72" t="n"/>
      <c r="J1543" s="72" t="n"/>
      <c r="K1543" s="72" t="n"/>
      <c r="L1543" s="72" t="n"/>
      <c r="M1543" s="72" t="n"/>
      <c r="N1543" s="72" t="n"/>
      <c r="O1543" s="72" t="n"/>
      <c r="P1543" s="72" t="n"/>
      <c r="Q1543" s="72" t="n"/>
      <c r="R1543" s="72" t="n"/>
      <c r="S1543" s="72" t="n"/>
    </row>
    <row r="1544">
      <c r="B1544" s="72" t="n"/>
      <c r="C1544" s="72" t="n"/>
      <c r="D1544" s="72" t="n"/>
      <c r="E1544" s="72" t="n"/>
      <c r="F1544" s="72" t="n"/>
      <c r="G1544" s="72" t="n"/>
      <c r="H1544" s="72" t="n"/>
      <c r="I1544" s="72" t="n"/>
      <c r="J1544" s="72" t="n"/>
      <c r="K1544" s="72" t="n"/>
      <c r="L1544" s="72" t="n"/>
      <c r="M1544" s="72" t="n"/>
      <c r="N1544" s="72" t="n"/>
      <c r="O1544" s="72" t="n"/>
      <c r="P1544" s="72" t="n"/>
      <c r="Q1544" s="72" t="n"/>
      <c r="R1544" s="72" t="n"/>
      <c r="S1544" s="72" t="n"/>
    </row>
    <row r="1545">
      <c r="B1545" s="72" t="n"/>
      <c r="C1545" s="72" t="n"/>
      <c r="D1545" s="72" t="n"/>
      <c r="E1545" s="72" t="n"/>
      <c r="F1545" s="72" t="n"/>
      <c r="G1545" s="72" t="n"/>
      <c r="H1545" s="72" t="n"/>
      <c r="I1545" s="72" t="n"/>
      <c r="J1545" s="72" t="n"/>
      <c r="K1545" s="72" t="n"/>
      <c r="L1545" s="72" t="n"/>
      <c r="M1545" s="72" t="n"/>
      <c r="N1545" s="72" t="n"/>
      <c r="O1545" s="72" t="n"/>
      <c r="P1545" s="72" t="n"/>
      <c r="Q1545" s="72" t="n"/>
      <c r="R1545" s="72" t="n"/>
      <c r="S1545" s="72" t="n"/>
    </row>
    <row r="1546">
      <c r="B1546" s="72" t="n"/>
      <c r="C1546" s="72" t="n"/>
      <c r="D1546" s="72" t="n"/>
      <c r="E1546" s="72" t="n"/>
      <c r="F1546" s="72" t="n"/>
      <c r="G1546" s="72" t="n"/>
      <c r="H1546" s="72" t="n"/>
      <c r="I1546" s="72" t="n"/>
      <c r="J1546" s="72" t="n"/>
      <c r="K1546" s="72" t="n"/>
      <c r="L1546" s="72" t="n"/>
      <c r="M1546" s="72" t="n"/>
      <c r="N1546" s="72" t="n"/>
      <c r="O1546" s="72" t="n"/>
      <c r="P1546" s="72" t="n"/>
      <c r="Q1546" s="72" t="n"/>
      <c r="R1546" s="72" t="n"/>
      <c r="S1546" s="72" t="n"/>
    </row>
    <row r="1547">
      <c r="B1547" s="72" t="n"/>
      <c r="C1547" s="72" t="n"/>
      <c r="D1547" s="72" t="n"/>
      <c r="E1547" s="72" t="n"/>
      <c r="F1547" s="72" t="n"/>
      <c r="G1547" s="72" t="n"/>
      <c r="H1547" s="72" t="n"/>
      <c r="I1547" s="72" t="n"/>
      <c r="J1547" s="72" t="n"/>
      <c r="K1547" s="72" t="n"/>
      <c r="L1547" s="72" t="n"/>
      <c r="M1547" s="72" t="n"/>
      <c r="N1547" s="72" t="n"/>
      <c r="O1547" s="72" t="n"/>
      <c r="P1547" s="72" t="n"/>
      <c r="Q1547" s="72" t="n"/>
      <c r="R1547" s="72" t="n"/>
      <c r="S1547" s="72" t="n"/>
    </row>
    <row r="1548">
      <c r="B1548" s="72" t="n"/>
      <c r="C1548" s="72" t="n"/>
      <c r="D1548" s="72" t="n"/>
      <c r="E1548" s="72" t="n"/>
      <c r="F1548" s="72" t="n"/>
      <c r="G1548" s="72" t="n"/>
      <c r="H1548" s="72" t="n"/>
      <c r="I1548" s="72" t="n"/>
      <c r="J1548" s="72" t="n"/>
      <c r="K1548" s="72" t="n"/>
      <c r="L1548" s="72" t="n"/>
      <c r="M1548" s="72" t="n"/>
      <c r="N1548" s="72" t="n"/>
      <c r="O1548" s="72" t="n"/>
      <c r="P1548" s="72" t="n"/>
      <c r="Q1548" s="72" t="n"/>
      <c r="R1548" s="72" t="n"/>
      <c r="S1548" s="72" t="n"/>
    </row>
    <row r="1549">
      <c r="B1549" s="72" t="n"/>
      <c r="C1549" s="72" t="n"/>
      <c r="D1549" s="72" t="n"/>
      <c r="E1549" s="72" t="n"/>
      <c r="F1549" s="72" t="n"/>
      <c r="G1549" s="72" t="n"/>
      <c r="H1549" s="72" t="n"/>
      <c r="I1549" s="72" t="n"/>
      <c r="J1549" s="72" t="n"/>
      <c r="K1549" s="72" t="n"/>
      <c r="L1549" s="72" t="n"/>
      <c r="M1549" s="72" t="n"/>
      <c r="N1549" s="72" t="n"/>
      <c r="O1549" s="72" t="n"/>
      <c r="P1549" s="72" t="n"/>
      <c r="Q1549" s="72" t="n"/>
      <c r="R1549" s="72" t="n"/>
      <c r="S1549" s="72" t="n"/>
    </row>
    <row r="1550">
      <c r="B1550" s="72" t="n"/>
      <c r="C1550" s="72" t="n"/>
      <c r="D1550" s="72" t="n"/>
      <c r="E1550" s="72" t="n"/>
      <c r="F1550" s="72" t="n"/>
      <c r="G1550" s="72" t="n"/>
      <c r="H1550" s="72" t="n"/>
      <c r="I1550" s="72" t="n"/>
      <c r="J1550" s="72" t="n"/>
      <c r="K1550" s="72" t="n"/>
      <c r="L1550" s="72" t="n"/>
      <c r="M1550" s="72" t="n"/>
      <c r="N1550" s="72" t="n"/>
      <c r="O1550" s="72" t="n"/>
      <c r="P1550" s="72" t="n"/>
      <c r="Q1550" s="72" t="n"/>
      <c r="R1550" s="72" t="n"/>
      <c r="S1550" s="72" t="n"/>
    </row>
    <row r="1551">
      <c r="B1551" s="72" t="n"/>
      <c r="C1551" s="72" t="n"/>
      <c r="D1551" s="72" t="n"/>
      <c r="E1551" s="72" t="n"/>
      <c r="F1551" s="72" t="n"/>
      <c r="G1551" s="72" t="n"/>
      <c r="H1551" s="72" t="n"/>
      <c r="I1551" s="72" t="n"/>
      <c r="J1551" s="72" t="n"/>
      <c r="K1551" s="72" t="n"/>
      <c r="L1551" s="72" t="n"/>
      <c r="M1551" s="72" t="n"/>
      <c r="N1551" s="72" t="n"/>
      <c r="O1551" s="72" t="n"/>
      <c r="P1551" s="72" t="n"/>
      <c r="Q1551" s="72" t="n"/>
      <c r="R1551" s="72" t="n"/>
      <c r="S1551" s="72" t="n"/>
    </row>
    <row r="1552">
      <c r="B1552" s="72" t="n"/>
      <c r="C1552" s="72" t="n"/>
      <c r="D1552" s="72" t="n"/>
      <c r="E1552" s="72" t="n"/>
      <c r="F1552" s="72" t="n"/>
      <c r="G1552" s="72" t="n"/>
      <c r="H1552" s="72" t="n"/>
      <c r="I1552" s="72" t="n"/>
      <c r="J1552" s="72" t="n"/>
      <c r="K1552" s="72" t="n"/>
      <c r="L1552" s="72" t="n"/>
      <c r="M1552" s="72" t="n"/>
      <c r="N1552" s="72" t="n"/>
      <c r="O1552" s="72" t="n"/>
      <c r="P1552" s="72" t="n"/>
      <c r="Q1552" s="72" t="n"/>
      <c r="R1552" s="72" t="n"/>
      <c r="S1552" s="72" t="n"/>
    </row>
    <row r="1553">
      <c r="B1553" s="72" t="n"/>
      <c r="C1553" s="72" t="n"/>
      <c r="D1553" s="72" t="n"/>
      <c r="E1553" s="72" t="n"/>
      <c r="F1553" s="72" t="n"/>
      <c r="G1553" s="72" t="n"/>
      <c r="H1553" s="72" t="n"/>
      <c r="I1553" s="72" t="n"/>
      <c r="J1553" s="72" t="n"/>
      <c r="K1553" s="72" t="n"/>
      <c r="L1553" s="72" t="n"/>
      <c r="M1553" s="72" t="n"/>
      <c r="N1553" s="72" t="n"/>
      <c r="O1553" s="72" t="n"/>
      <c r="P1553" s="72" t="n"/>
      <c r="Q1553" s="72" t="n"/>
      <c r="R1553" s="72" t="n"/>
      <c r="S1553" s="72" t="n"/>
    </row>
    <row r="1554">
      <c r="B1554" s="72" t="n"/>
      <c r="C1554" s="72" t="n"/>
      <c r="D1554" s="72" t="n"/>
      <c r="E1554" s="72" t="n"/>
      <c r="F1554" s="72" t="n"/>
      <c r="G1554" s="72" t="n"/>
      <c r="H1554" s="72" t="n"/>
      <c r="I1554" s="72" t="n"/>
      <c r="J1554" s="72" t="n"/>
      <c r="K1554" s="72" t="n"/>
      <c r="L1554" s="72" t="n"/>
      <c r="M1554" s="72" t="n"/>
      <c r="N1554" s="72" t="n"/>
      <c r="O1554" s="72" t="n"/>
      <c r="P1554" s="72" t="n"/>
      <c r="Q1554" s="72" t="n"/>
      <c r="R1554" s="72" t="n"/>
      <c r="S1554" s="72" t="n"/>
    </row>
    <row r="1555">
      <c r="B1555" s="72" t="n"/>
      <c r="C1555" s="72" t="n"/>
      <c r="D1555" s="72" t="n"/>
      <c r="E1555" s="72" t="n"/>
      <c r="F1555" s="72" t="n"/>
      <c r="G1555" s="72" t="n"/>
      <c r="H1555" s="72" t="n"/>
      <c r="I1555" s="72" t="n"/>
      <c r="J1555" s="72" t="n"/>
      <c r="K1555" s="72" t="n"/>
      <c r="L1555" s="72" t="n"/>
      <c r="M1555" s="72" t="n"/>
      <c r="N1555" s="72" t="n"/>
      <c r="O1555" s="72" t="n"/>
      <c r="P1555" s="72" t="n"/>
      <c r="Q1555" s="72" t="n"/>
      <c r="R1555" s="72" t="n"/>
      <c r="S1555" s="72" t="n"/>
    </row>
    <row r="1556">
      <c r="B1556" s="72" t="n"/>
      <c r="C1556" s="72" t="n"/>
      <c r="D1556" s="72" t="n"/>
      <c r="E1556" s="72" t="n"/>
      <c r="F1556" s="72" t="n"/>
      <c r="G1556" s="72" t="n"/>
      <c r="H1556" s="72" t="n"/>
      <c r="I1556" s="72" t="n"/>
      <c r="J1556" s="72" t="n"/>
      <c r="K1556" s="72" t="n"/>
      <c r="L1556" s="72" t="n"/>
      <c r="M1556" s="72" t="n"/>
      <c r="N1556" s="72" t="n"/>
      <c r="O1556" s="72" t="n"/>
      <c r="P1556" s="72" t="n"/>
      <c r="Q1556" s="72" t="n"/>
      <c r="R1556" s="72" t="n"/>
      <c r="S1556" s="72" t="n"/>
    </row>
    <row r="1557">
      <c r="B1557" s="72" t="n"/>
      <c r="C1557" s="72" t="n"/>
      <c r="D1557" s="72" t="n"/>
      <c r="E1557" s="72" t="n"/>
      <c r="F1557" s="72" t="n"/>
      <c r="G1557" s="72" t="n"/>
      <c r="H1557" s="72" t="n"/>
      <c r="I1557" s="72" t="n"/>
      <c r="J1557" s="72" t="n"/>
      <c r="K1557" s="72" t="n"/>
      <c r="L1557" s="72" t="n"/>
      <c r="M1557" s="72" t="n"/>
      <c r="N1557" s="72" t="n"/>
      <c r="O1557" s="72" t="n"/>
      <c r="P1557" s="72" t="n"/>
      <c r="Q1557" s="72" t="n"/>
      <c r="R1557" s="72" t="n"/>
      <c r="S1557" s="72" t="n"/>
    </row>
    <row r="1558">
      <c r="B1558" s="72" t="n"/>
      <c r="C1558" s="72" t="n"/>
      <c r="D1558" s="72" t="n"/>
      <c r="E1558" s="72" t="n"/>
      <c r="F1558" s="72" t="n"/>
      <c r="G1558" s="72" t="n"/>
      <c r="H1558" s="72" t="n"/>
      <c r="I1558" s="72" t="n"/>
      <c r="J1558" s="72" t="n"/>
      <c r="K1558" s="72" t="n"/>
      <c r="L1558" s="72" t="n"/>
      <c r="M1558" s="72" t="n"/>
      <c r="N1558" s="72" t="n"/>
      <c r="O1558" s="72" t="n"/>
      <c r="P1558" s="72" t="n"/>
      <c r="Q1558" s="72" t="n"/>
      <c r="R1558" s="72" t="n"/>
      <c r="S1558" s="72" t="n"/>
    </row>
    <row r="1559">
      <c r="B1559" s="72" t="n"/>
      <c r="C1559" s="72" t="n"/>
      <c r="D1559" s="72" t="n"/>
      <c r="E1559" s="72" t="n"/>
      <c r="F1559" s="72" t="n"/>
      <c r="G1559" s="72" t="n"/>
      <c r="H1559" s="72" t="n"/>
      <c r="I1559" s="72" t="n"/>
      <c r="J1559" s="72" t="n"/>
      <c r="K1559" s="72" t="n"/>
      <c r="L1559" s="72" t="n"/>
      <c r="M1559" s="72" t="n"/>
      <c r="N1559" s="72" t="n"/>
      <c r="O1559" s="72" t="n"/>
      <c r="P1559" s="72" t="n"/>
      <c r="Q1559" s="72" t="n"/>
      <c r="R1559" s="72" t="n"/>
      <c r="S1559" s="72" t="n"/>
    </row>
    <row r="1560">
      <c r="B1560" s="72" t="n"/>
      <c r="C1560" s="72" t="n"/>
      <c r="D1560" s="72" t="n"/>
      <c r="E1560" s="72" t="n"/>
      <c r="F1560" s="72" t="n"/>
      <c r="G1560" s="72" t="n"/>
      <c r="H1560" s="72" t="n"/>
      <c r="I1560" s="72" t="n"/>
      <c r="J1560" s="72" t="n"/>
      <c r="K1560" s="72" t="n"/>
      <c r="L1560" s="72" t="n"/>
      <c r="M1560" s="72" t="n"/>
      <c r="N1560" s="72" t="n"/>
      <c r="O1560" s="72" t="n"/>
      <c r="P1560" s="72" t="n"/>
      <c r="Q1560" s="72" t="n"/>
      <c r="R1560" s="72" t="n"/>
      <c r="S1560" s="72" t="n"/>
    </row>
    <row r="1561">
      <c r="B1561" s="72" t="n"/>
      <c r="C1561" s="72" t="n"/>
      <c r="D1561" s="72" t="n"/>
      <c r="E1561" s="72" t="n"/>
      <c r="F1561" s="72" t="n"/>
      <c r="G1561" s="72" t="n"/>
      <c r="H1561" s="72" t="n"/>
      <c r="I1561" s="72" t="n"/>
      <c r="J1561" s="72" t="n"/>
      <c r="K1561" s="72" t="n"/>
      <c r="L1561" s="72" t="n"/>
      <c r="M1561" s="72" t="n"/>
      <c r="N1561" s="72" t="n"/>
      <c r="O1561" s="72" t="n"/>
      <c r="P1561" s="72" t="n"/>
      <c r="Q1561" s="72" t="n"/>
      <c r="R1561" s="72" t="n"/>
      <c r="S1561" s="72" t="n"/>
    </row>
    <row r="1562">
      <c r="B1562" s="72" t="n"/>
      <c r="C1562" s="72" t="n"/>
      <c r="D1562" s="72" t="n"/>
      <c r="E1562" s="72" t="n"/>
      <c r="F1562" s="72" t="n"/>
      <c r="G1562" s="72" t="n"/>
      <c r="H1562" s="72" t="n"/>
      <c r="I1562" s="72" t="n"/>
      <c r="J1562" s="72" t="n"/>
      <c r="K1562" s="72" t="n"/>
      <c r="L1562" s="72" t="n"/>
      <c r="M1562" s="72" t="n"/>
      <c r="N1562" s="72" t="n"/>
      <c r="O1562" s="72" t="n"/>
      <c r="P1562" s="72" t="n"/>
      <c r="Q1562" s="72" t="n"/>
      <c r="R1562" s="72" t="n"/>
      <c r="S1562" s="72" t="n"/>
    </row>
    <row r="1563">
      <c r="B1563" s="72" t="n"/>
      <c r="C1563" s="72" t="n"/>
      <c r="D1563" s="72" t="n"/>
      <c r="E1563" s="72" t="n"/>
      <c r="F1563" s="72" t="n"/>
      <c r="G1563" s="72" t="n"/>
      <c r="H1563" s="72" t="n"/>
      <c r="I1563" s="72" t="n"/>
      <c r="J1563" s="72" t="n"/>
      <c r="K1563" s="72" t="n"/>
      <c r="L1563" s="72" t="n"/>
      <c r="M1563" s="72" t="n"/>
      <c r="N1563" s="72" t="n"/>
      <c r="O1563" s="72" t="n"/>
      <c r="P1563" s="72" t="n"/>
      <c r="Q1563" s="72" t="n"/>
      <c r="R1563" s="72" t="n"/>
      <c r="S1563" s="72" t="n"/>
    </row>
    <row r="1564">
      <c r="B1564" s="72" t="n"/>
      <c r="C1564" s="72" t="n"/>
      <c r="D1564" s="72" t="n"/>
      <c r="E1564" s="72" t="n"/>
      <c r="F1564" s="72" t="n"/>
      <c r="G1564" s="72" t="n"/>
      <c r="H1564" s="72" t="n"/>
      <c r="I1564" s="72" t="n"/>
      <c r="J1564" s="72" t="n"/>
      <c r="K1564" s="72" t="n"/>
      <c r="L1564" s="72" t="n"/>
      <c r="M1564" s="72" t="n"/>
      <c r="N1564" s="72" t="n"/>
      <c r="O1564" s="72" t="n"/>
      <c r="P1564" s="72" t="n"/>
      <c r="Q1564" s="72" t="n"/>
      <c r="R1564" s="72" t="n"/>
      <c r="S1564" s="72" t="n"/>
    </row>
    <row r="1565">
      <c r="B1565" s="72" t="n"/>
      <c r="C1565" s="72" t="n"/>
      <c r="D1565" s="72" t="n"/>
      <c r="E1565" s="72" t="n"/>
      <c r="F1565" s="72" t="n"/>
      <c r="G1565" s="72" t="n"/>
      <c r="H1565" s="72" t="n"/>
      <c r="I1565" s="72" t="n"/>
      <c r="J1565" s="72" t="n"/>
      <c r="K1565" s="72" t="n"/>
      <c r="L1565" s="72" t="n"/>
      <c r="M1565" s="72" t="n"/>
      <c r="N1565" s="72" t="n"/>
      <c r="O1565" s="72" t="n"/>
      <c r="P1565" s="72" t="n"/>
      <c r="Q1565" s="72" t="n"/>
      <c r="R1565" s="72" t="n"/>
      <c r="S1565" s="72" t="n"/>
    </row>
    <row r="1566">
      <c r="B1566" s="72" t="n"/>
      <c r="C1566" s="72" t="n"/>
      <c r="D1566" s="72" t="n"/>
      <c r="E1566" s="72" t="n"/>
      <c r="F1566" s="72" t="n"/>
      <c r="G1566" s="72" t="n"/>
      <c r="H1566" s="72" t="n"/>
      <c r="I1566" s="72" t="n"/>
      <c r="J1566" s="72" t="n"/>
      <c r="K1566" s="72" t="n"/>
      <c r="L1566" s="72" t="n"/>
      <c r="M1566" s="72" t="n"/>
      <c r="N1566" s="72" t="n"/>
      <c r="O1566" s="72" t="n"/>
      <c r="P1566" s="72" t="n"/>
      <c r="Q1566" s="72" t="n"/>
      <c r="R1566" s="72" t="n"/>
      <c r="S1566" s="72" t="n"/>
    </row>
    <row r="1567">
      <c r="B1567" s="72" t="n"/>
      <c r="C1567" s="72" t="n"/>
      <c r="D1567" s="72" t="n"/>
      <c r="E1567" s="72" t="n"/>
      <c r="F1567" s="72" t="n"/>
      <c r="G1567" s="72" t="n"/>
      <c r="H1567" s="72" t="n"/>
      <c r="I1567" s="72" t="n"/>
      <c r="J1567" s="72" t="n"/>
      <c r="K1567" s="72" t="n"/>
      <c r="L1567" s="72" t="n"/>
      <c r="M1567" s="72" t="n"/>
      <c r="N1567" s="72" t="n"/>
      <c r="O1567" s="72" t="n"/>
      <c r="P1567" s="72" t="n"/>
      <c r="Q1567" s="72" t="n"/>
      <c r="R1567" s="72" t="n"/>
      <c r="S1567" s="72" t="n"/>
    </row>
    <row r="1568">
      <c r="B1568" s="72" t="n"/>
      <c r="C1568" s="72" t="n"/>
      <c r="D1568" s="72" t="n"/>
      <c r="E1568" s="72" t="n"/>
      <c r="F1568" s="72" t="n"/>
      <c r="G1568" s="72" t="n"/>
      <c r="H1568" s="72" t="n"/>
      <c r="I1568" s="72" t="n"/>
      <c r="J1568" s="72" t="n"/>
      <c r="K1568" s="72" t="n"/>
      <c r="L1568" s="72" t="n"/>
      <c r="M1568" s="72" t="n"/>
      <c r="N1568" s="72" t="n"/>
      <c r="O1568" s="72" t="n"/>
      <c r="P1568" s="72" t="n"/>
      <c r="Q1568" s="72" t="n"/>
      <c r="R1568" s="72" t="n"/>
      <c r="S1568" s="72" t="n"/>
    </row>
    <row r="1569">
      <c r="B1569" s="72" t="n"/>
      <c r="C1569" s="72" t="n"/>
      <c r="D1569" s="72" t="n"/>
      <c r="E1569" s="72" t="n"/>
      <c r="F1569" s="72" t="n"/>
      <c r="G1569" s="72" t="n"/>
      <c r="H1569" s="72" t="n"/>
      <c r="I1569" s="72" t="n"/>
      <c r="J1569" s="72" t="n"/>
      <c r="K1569" s="72" t="n"/>
      <c r="L1569" s="72" t="n"/>
      <c r="M1569" s="72" t="n"/>
      <c r="N1569" s="72" t="n"/>
      <c r="O1569" s="72" t="n"/>
      <c r="P1569" s="72" t="n"/>
      <c r="Q1569" s="72" t="n"/>
      <c r="R1569" s="72" t="n"/>
      <c r="S1569" s="72" t="n"/>
    </row>
    <row r="1570">
      <c r="B1570" s="72" t="n"/>
      <c r="C1570" s="72" t="n"/>
      <c r="D1570" s="72" t="n"/>
      <c r="E1570" s="72" t="n"/>
      <c r="F1570" s="72" t="n"/>
      <c r="G1570" s="72" t="n"/>
      <c r="H1570" s="72" t="n"/>
      <c r="I1570" s="72" t="n"/>
      <c r="J1570" s="72" t="n"/>
      <c r="K1570" s="72" t="n"/>
      <c r="L1570" s="72" t="n"/>
      <c r="M1570" s="72" t="n"/>
      <c r="N1570" s="72" t="n"/>
      <c r="O1570" s="72" t="n"/>
      <c r="P1570" s="72" t="n"/>
      <c r="Q1570" s="72" t="n"/>
      <c r="R1570" s="72" t="n"/>
      <c r="S1570" s="72" t="n"/>
    </row>
    <row r="1571">
      <c r="B1571" s="72" t="n"/>
      <c r="C1571" s="72" t="n"/>
      <c r="D1571" s="72" t="n"/>
      <c r="E1571" s="72" t="n"/>
      <c r="F1571" s="72" t="n"/>
      <c r="G1571" s="72" t="n"/>
      <c r="H1571" s="72" t="n"/>
      <c r="I1571" s="72" t="n"/>
      <c r="J1571" s="72" t="n"/>
      <c r="K1571" s="72" t="n"/>
      <c r="L1571" s="72" t="n"/>
      <c r="M1571" s="72" t="n"/>
      <c r="N1571" s="72" t="n"/>
      <c r="O1571" s="72" t="n"/>
      <c r="P1571" s="72" t="n"/>
      <c r="Q1571" s="72" t="n"/>
      <c r="R1571" s="72" t="n"/>
      <c r="S1571" s="72" t="n"/>
    </row>
    <row r="1572">
      <c r="B1572" s="72" t="n"/>
      <c r="C1572" s="72" t="n"/>
      <c r="D1572" s="72" t="n"/>
      <c r="E1572" s="72" t="n"/>
      <c r="F1572" s="72" t="n"/>
      <c r="G1572" s="72" t="n"/>
      <c r="H1572" s="72" t="n"/>
      <c r="I1572" s="72" t="n"/>
      <c r="J1572" s="72" t="n"/>
      <c r="K1572" s="72" t="n"/>
      <c r="L1572" s="72" t="n"/>
      <c r="M1572" s="72" t="n"/>
      <c r="N1572" s="72" t="n"/>
      <c r="O1572" s="72" t="n"/>
      <c r="P1572" s="72" t="n"/>
      <c r="Q1572" s="72" t="n"/>
      <c r="R1572" s="72" t="n"/>
      <c r="S1572" s="72" t="n"/>
    </row>
    <row r="1573">
      <c r="B1573" s="72" t="n"/>
      <c r="C1573" s="72" t="n"/>
      <c r="D1573" s="72" t="n"/>
      <c r="E1573" s="72" t="n"/>
      <c r="F1573" s="72" t="n"/>
      <c r="G1573" s="72" t="n"/>
      <c r="H1573" s="72" t="n"/>
      <c r="I1573" s="72" t="n"/>
      <c r="J1573" s="72" t="n"/>
      <c r="K1573" s="72" t="n"/>
      <c r="L1573" s="72" t="n"/>
      <c r="M1573" s="72" t="n"/>
      <c r="N1573" s="72" t="n"/>
      <c r="O1573" s="72" t="n"/>
      <c r="P1573" s="72" t="n"/>
      <c r="Q1573" s="72" t="n"/>
      <c r="R1573" s="72" t="n"/>
      <c r="S1573" s="72" t="n"/>
    </row>
    <row r="1574">
      <c r="B1574" s="72" t="n"/>
      <c r="C1574" s="72" t="n"/>
      <c r="D1574" s="72" t="n"/>
      <c r="E1574" s="72" t="n"/>
      <c r="F1574" s="72" t="n"/>
      <c r="G1574" s="72" t="n"/>
      <c r="H1574" s="72" t="n"/>
      <c r="I1574" s="72" t="n"/>
      <c r="J1574" s="72" t="n"/>
      <c r="K1574" s="72" t="n"/>
      <c r="L1574" s="72" t="n"/>
      <c r="M1574" s="72" t="n"/>
      <c r="N1574" s="72" t="n"/>
      <c r="O1574" s="72" t="n"/>
      <c r="P1574" s="72" t="n"/>
      <c r="Q1574" s="72" t="n"/>
      <c r="R1574" s="72" t="n"/>
      <c r="S1574" s="72" t="n"/>
    </row>
    <row r="1575">
      <c r="B1575" s="72" t="n"/>
      <c r="C1575" s="72" t="n"/>
      <c r="D1575" s="72" t="n"/>
      <c r="E1575" s="72" t="n"/>
      <c r="F1575" s="72" t="n"/>
      <c r="G1575" s="72" t="n"/>
      <c r="H1575" s="72" t="n"/>
      <c r="I1575" s="72" t="n"/>
      <c r="J1575" s="72" t="n"/>
      <c r="K1575" s="72" t="n"/>
      <c r="L1575" s="72" t="n"/>
      <c r="M1575" s="72" t="n"/>
      <c r="N1575" s="72" t="n"/>
      <c r="O1575" s="72" t="n"/>
      <c r="P1575" s="72" t="n"/>
      <c r="Q1575" s="72" t="n"/>
      <c r="R1575" s="72" t="n"/>
      <c r="S1575" s="72" t="n"/>
    </row>
    <row r="1576">
      <c r="B1576" s="72" t="n"/>
      <c r="C1576" s="72" t="n"/>
      <c r="D1576" s="72" t="n"/>
      <c r="E1576" s="72" t="n"/>
      <c r="F1576" s="72" t="n"/>
      <c r="G1576" s="72" t="n"/>
      <c r="H1576" s="72" t="n"/>
      <c r="I1576" s="72" t="n"/>
      <c r="J1576" s="72" t="n"/>
      <c r="K1576" s="72" t="n"/>
      <c r="L1576" s="72" t="n"/>
      <c r="M1576" s="72" t="n"/>
      <c r="N1576" s="72" t="n"/>
      <c r="O1576" s="72" t="n"/>
      <c r="P1576" s="72" t="n"/>
      <c r="Q1576" s="72" t="n"/>
      <c r="R1576" s="72" t="n"/>
      <c r="S1576" s="72" t="n"/>
    </row>
    <row r="1577">
      <c r="B1577" s="72" t="n"/>
      <c r="C1577" s="72" t="n"/>
      <c r="D1577" s="72" t="n"/>
      <c r="E1577" s="72" t="n"/>
      <c r="F1577" s="72" t="n"/>
      <c r="G1577" s="72" t="n"/>
      <c r="H1577" s="72" t="n"/>
      <c r="I1577" s="72" t="n"/>
      <c r="J1577" s="72" t="n"/>
      <c r="K1577" s="72" t="n"/>
      <c r="L1577" s="72" t="n"/>
      <c r="M1577" s="72" t="n"/>
      <c r="N1577" s="72" t="n"/>
      <c r="O1577" s="72" t="n"/>
      <c r="P1577" s="72" t="n"/>
      <c r="Q1577" s="72" t="n"/>
      <c r="R1577" s="72" t="n"/>
      <c r="S1577" s="72" t="n"/>
    </row>
    <row r="1578">
      <c r="B1578" s="72" t="n"/>
      <c r="C1578" s="72" t="n"/>
      <c r="D1578" s="72" t="n"/>
      <c r="E1578" s="72" t="n"/>
      <c r="F1578" s="72" t="n"/>
      <c r="G1578" s="72" t="n"/>
      <c r="H1578" s="72" t="n"/>
      <c r="I1578" s="72" t="n"/>
      <c r="J1578" s="72" t="n"/>
      <c r="K1578" s="72" t="n"/>
      <c r="L1578" s="72" t="n"/>
      <c r="M1578" s="72" t="n"/>
      <c r="N1578" s="72" t="n"/>
      <c r="O1578" s="72" t="n"/>
      <c r="P1578" s="72" t="n"/>
      <c r="Q1578" s="72" t="n"/>
      <c r="R1578" s="72" t="n"/>
      <c r="S1578" s="72" t="n"/>
    </row>
    <row r="1579">
      <c r="B1579" s="72" t="n"/>
      <c r="C1579" s="72" t="n"/>
      <c r="D1579" s="72" t="n"/>
      <c r="E1579" s="72" t="n"/>
      <c r="F1579" s="72" t="n"/>
      <c r="G1579" s="72" t="n"/>
      <c r="H1579" s="72" t="n"/>
      <c r="I1579" s="72" t="n"/>
      <c r="J1579" s="72" t="n"/>
      <c r="K1579" s="72" t="n"/>
      <c r="L1579" s="72" t="n"/>
      <c r="M1579" s="72" t="n"/>
      <c r="N1579" s="72" t="n"/>
      <c r="O1579" s="72" t="n"/>
      <c r="P1579" s="72" t="n"/>
      <c r="Q1579" s="72" t="n"/>
      <c r="R1579" s="72" t="n"/>
      <c r="S1579" s="72" t="n"/>
    </row>
    <row r="1580">
      <c r="B1580" s="72" t="n"/>
      <c r="C1580" s="72" t="n"/>
      <c r="D1580" s="72" t="n"/>
      <c r="E1580" s="72" t="n"/>
      <c r="F1580" s="72" t="n"/>
      <c r="G1580" s="72" t="n"/>
      <c r="H1580" s="72" t="n"/>
      <c r="I1580" s="72" t="n"/>
      <c r="J1580" s="72" t="n"/>
      <c r="K1580" s="72" t="n"/>
      <c r="L1580" s="72" t="n"/>
      <c r="M1580" s="72" t="n"/>
      <c r="N1580" s="72" t="n"/>
      <c r="O1580" s="72" t="n"/>
      <c r="P1580" s="72" t="n"/>
      <c r="Q1580" s="72" t="n"/>
      <c r="R1580" s="72" t="n"/>
      <c r="S1580" s="72" t="n"/>
    </row>
    <row r="1581">
      <c r="B1581" s="72" t="n"/>
      <c r="C1581" s="72" t="n"/>
      <c r="D1581" s="72" t="n"/>
      <c r="E1581" s="72" t="n"/>
      <c r="F1581" s="72" t="n"/>
      <c r="G1581" s="72" t="n"/>
      <c r="H1581" s="72" t="n"/>
      <c r="I1581" s="72" t="n"/>
      <c r="J1581" s="72" t="n"/>
      <c r="K1581" s="72" t="n"/>
      <c r="L1581" s="72" t="n"/>
      <c r="M1581" s="72" t="n"/>
      <c r="N1581" s="72" t="n"/>
      <c r="O1581" s="72" t="n"/>
      <c r="P1581" s="72" t="n"/>
      <c r="Q1581" s="72" t="n"/>
      <c r="R1581" s="72" t="n"/>
      <c r="S1581" s="72" t="n"/>
    </row>
    <row r="1582">
      <c r="B1582" s="72" t="n"/>
      <c r="C1582" s="72" t="n"/>
      <c r="D1582" s="72" t="n"/>
      <c r="E1582" s="72" t="n"/>
      <c r="F1582" s="72" t="n"/>
      <c r="G1582" s="72" t="n"/>
      <c r="H1582" s="72" t="n"/>
      <c r="I1582" s="72" t="n"/>
      <c r="J1582" s="72" t="n"/>
      <c r="K1582" s="72" t="n"/>
      <c r="L1582" s="72" t="n"/>
      <c r="M1582" s="72" t="n"/>
      <c r="N1582" s="72" t="n"/>
      <c r="O1582" s="72" t="n"/>
      <c r="P1582" s="72" t="n"/>
      <c r="Q1582" s="72" t="n"/>
      <c r="R1582" s="72" t="n"/>
      <c r="S1582" s="72" t="n"/>
    </row>
    <row r="1583">
      <c r="B1583" s="72" t="n"/>
      <c r="C1583" s="72" t="n"/>
      <c r="D1583" s="72" t="n"/>
      <c r="E1583" s="72" t="n"/>
      <c r="F1583" s="72" t="n"/>
      <c r="G1583" s="72" t="n"/>
      <c r="H1583" s="72" t="n"/>
      <c r="I1583" s="72" t="n"/>
      <c r="J1583" s="72" t="n"/>
      <c r="K1583" s="72" t="n"/>
      <c r="L1583" s="72" t="n"/>
      <c r="M1583" s="72" t="n"/>
      <c r="N1583" s="72" t="n"/>
      <c r="O1583" s="72" t="n"/>
      <c r="P1583" s="72" t="n"/>
      <c r="Q1583" s="72" t="n"/>
      <c r="R1583" s="72" t="n"/>
      <c r="S1583" s="72" t="n"/>
    </row>
    <row r="1584">
      <c r="B1584" s="72" t="n"/>
      <c r="C1584" s="72" t="n"/>
      <c r="D1584" s="72" t="n"/>
      <c r="E1584" s="72" t="n"/>
      <c r="F1584" s="72" t="n"/>
      <c r="G1584" s="72" t="n"/>
      <c r="H1584" s="72" t="n"/>
      <c r="I1584" s="72" t="n"/>
      <c r="J1584" s="72" t="n"/>
      <c r="K1584" s="72" t="n"/>
      <c r="L1584" s="72" t="n"/>
      <c r="M1584" s="72" t="n"/>
      <c r="N1584" s="72" t="n"/>
      <c r="O1584" s="72" t="n"/>
      <c r="P1584" s="72" t="n"/>
      <c r="Q1584" s="72" t="n"/>
      <c r="R1584" s="72" t="n"/>
      <c r="S1584" s="72" t="n"/>
    </row>
    <row r="1585">
      <c r="B1585" s="72" t="n"/>
      <c r="C1585" s="72" t="n"/>
      <c r="D1585" s="72" t="n"/>
      <c r="E1585" s="72" t="n"/>
      <c r="F1585" s="72" t="n"/>
      <c r="G1585" s="72" t="n"/>
      <c r="H1585" s="72" t="n"/>
      <c r="I1585" s="72" t="n"/>
      <c r="J1585" s="72" t="n"/>
      <c r="K1585" s="72" t="n"/>
      <c r="L1585" s="72" t="n"/>
      <c r="M1585" s="72" t="n"/>
      <c r="N1585" s="72" t="n"/>
      <c r="O1585" s="72" t="n"/>
      <c r="P1585" s="72" t="n"/>
      <c r="Q1585" s="72" t="n"/>
      <c r="R1585" s="72" t="n"/>
      <c r="S1585" s="72" t="n"/>
    </row>
    <row r="1586">
      <c r="B1586" s="72" t="n"/>
      <c r="C1586" s="72" t="n"/>
      <c r="D1586" s="72" t="n"/>
      <c r="E1586" s="72" t="n"/>
      <c r="F1586" s="72" t="n"/>
      <c r="G1586" s="72" t="n"/>
      <c r="H1586" s="72" t="n"/>
      <c r="I1586" s="72" t="n"/>
      <c r="J1586" s="72" t="n"/>
      <c r="K1586" s="72" t="n"/>
      <c r="L1586" s="72" t="n"/>
      <c r="M1586" s="72" t="n"/>
      <c r="N1586" s="72" t="n"/>
      <c r="O1586" s="72" t="n"/>
      <c r="P1586" s="72" t="n"/>
      <c r="Q1586" s="72" t="n"/>
      <c r="R1586" s="72" t="n"/>
      <c r="S1586" s="72" t="n"/>
    </row>
    <row r="1587">
      <c r="B1587" s="72" t="n"/>
      <c r="C1587" s="72" t="n"/>
      <c r="D1587" s="72" t="n"/>
      <c r="E1587" s="72" t="n"/>
      <c r="F1587" s="72" t="n"/>
      <c r="G1587" s="72" t="n"/>
      <c r="H1587" s="72" t="n"/>
      <c r="I1587" s="72" t="n"/>
      <c r="J1587" s="72" t="n"/>
      <c r="K1587" s="72" t="n"/>
      <c r="L1587" s="72" t="n"/>
      <c r="M1587" s="72" t="n"/>
      <c r="N1587" s="72" t="n"/>
      <c r="O1587" s="72" t="n"/>
      <c r="P1587" s="72" t="n"/>
      <c r="Q1587" s="72" t="n"/>
      <c r="R1587" s="72" t="n"/>
      <c r="S1587" s="72" t="n"/>
    </row>
    <row r="1588">
      <c r="B1588" s="72" t="n"/>
      <c r="C1588" s="72" t="n"/>
      <c r="D1588" s="72" t="n"/>
      <c r="E1588" s="72" t="n"/>
      <c r="F1588" s="72" t="n"/>
      <c r="G1588" s="72" t="n"/>
      <c r="H1588" s="72" t="n"/>
      <c r="I1588" s="72" t="n"/>
      <c r="J1588" s="72" t="n"/>
      <c r="K1588" s="72" t="n"/>
      <c r="L1588" s="72" t="n"/>
      <c r="M1588" s="72" t="n"/>
      <c r="N1588" s="72" t="n"/>
      <c r="O1588" s="72" t="n"/>
      <c r="P1588" s="72" t="n"/>
      <c r="Q1588" s="72" t="n"/>
      <c r="R1588" s="72" t="n"/>
      <c r="S1588" s="72" t="n"/>
    </row>
    <row r="1589">
      <c r="B1589" s="72" t="n"/>
      <c r="C1589" s="72" t="n"/>
      <c r="D1589" s="72" t="n"/>
      <c r="E1589" s="72" t="n"/>
      <c r="F1589" s="72" t="n"/>
      <c r="G1589" s="72" t="n"/>
      <c r="H1589" s="72" t="n"/>
      <c r="I1589" s="72" t="n"/>
      <c r="J1589" s="72" t="n"/>
      <c r="K1589" s="72" t="n"/>
      <c r="L1589" s="72" t="n"/>
      <c r="M1589" s="72" t="n"/>
      <c r="N1589" s="72" t="n"/>
      <c r="O1589" s="72" t="n"/>
      <c r="P1589" s="72" t="n"/>
      <c r="Q1589" s="72" t="n"/>
      <c r="R1589" s="72" t="n"/>
      <c r="S1589" s="72" t="n"/>
    </row>
    <row r="1590">
      <c r="B1590" s="72" t="n"/>
      <c r="C1590" s="72" t="n"/>
      <c r="D1590" s="72" t="n"/>
      <c r="E1590" s="72" t="n"/>
      <c r="F1590" s="72" t="n"/>
      <c r="G1590" s="72" t="n"/>
      <c r="H1590" s="72" t="n"/>
      <c r="I1590" s="72" t="n"/>
      <c r="J1590" s="72" t="n"/>
      <c r="K1590" s="72" t="n"/>
      <c r="L1590" s="72" t="n"/>
      <c r="M1590" s="72" t="n"/>
      <c r="N1590" s="72" t="n"/>
      <c r="O1590" s="72" t="n"/>
      <c r="P1590" s="72" t="n"/>
      <c r="Q1590" s="72" t="n"/>
      <c r="R1590" s="72" t="n"/>
      <c r="S1590" s="72" t="n"/>
    </row>
    <row r="1591">
      <c r="B1591" s="72" t="n"/>
      <c r="C1591" s="72" t="n"/>
      <c r="D1591" s="72" t="n"/>
      <c r="E1591" s="72" t="n"/>
      <c r="F1591" s="72" t="n"/>
      <c r="G1591" s="72" t="n"/>
      <c r="H1591" s="72" t="n"/>
      <c r="I1591" s="72" t="n"/>
      <c r="J1591" s="72" t="n"/>
      <c r="K1591" s="72" t="n"/>
      <c r="L1591" s="72" t="n"/>
      <c r="M1591" s="72" t="n"/>
      <c r="N1591" s="72" t="n"/>
      <c r="O1591" s="72" t="n"/>
      <c r="P1591" s="72" t="n"/>
      <c r="Q1591" s="72" t="n"/>
      <c r="R1591" s="72" t="n"/>
      <c r="S1591" s="72" t="n"/>
    </row>
    <row r="1592">
      <c r="B1592" s="72" t="n"/>
      <c r="C1592" s="72" t="n"/>
      <c r="D1592" s="72" t="n"/>
      <c r="E1592" s="72" t="n"/>
      <c r="F1592" s="72" t="n"/>
      <c r="G1592" s="72" t="n"/>
      <c r="H1592" s="72" t="n"/>
      <c r="I1592" s="72" t="n"/>
      <c r="J1592" s="72" t="n"/>
      <c r="K1592" s="72" t="n"/>
      <c r="L1592" s="72" t="n"/>
      <c r="M1592" s="72" t="n"/>
      <c r="N1592" s="72" t="n"/>
      <c r="O1592" s="72" t="n"/>
      <c r="P1592" s="72" t="n"/>
      <c r="Q1592" s="72" t="n"/>
      <c r="R1592" s="72" t="n"/>
      <c r="S1592" s="72" t="n"/>
    </row>
    <row r="1593">
      <c r="B1593" s="72" t="n"/>
      <c r="C1593" s="72" t="n"/>
      <c r="D1593" s="72" t="n"/>
      <c r="E1593" s="72" t="n"/>
      <c r="F1593" s="72" t="n"/>
      <c r="G1593" s="72" t="n"/>
      <c r="H1593" s="72" t="n"/>
      <c r="I1593" s="72" t="n"/>
      <c r="J1593" s="72" t="n"/>
      <c r="K1593" s="72" t="n"/>
      <c r="L1593" s="72" t="n"/>
      <c r="M1593" s="72" t="n"/>
      <c r="N1593" s="72" t="n"/>
      <c r="O1593" s="72" t="n"/>
      <c r="P1593" s="72" t="n"/>
      <c r="Q1593" s="72" t="n"/>
      <c r="R1593" s="72" t="n"/>
      <c r="S1593" s="72" t="n"/>
    </row>
    <row r="1594">
      <c r="B1594" s="72" t="n"/>
      <c r="C1594" s="72" t="n"/>
      <c r="D1594" s="72" t="n"/>
      <c r="E1594" s="72" t="n"/>
      <c r="F1594" s="72" t="n"/>
      <c r="G1594" s="72" t="n"/>
      <c r="H1594" s="72" t="n"/>
      <c r="I1594" s="72" t="n"/>
      <c r="J1594" s="72" t="n"/>
      <c r="K1594" s="72" t="n"/>
      <c r="L1594" s="72" t="n"/>
      <c r="M1594" s="72" t="n"/>
      <c r="N1594" s="72" t="n"/>
      <c r="O1594" s="72" t="n"/>
      <c r="P1594" s="72" t="n"/>
      <c r="Q1594" s="72" t="n"/>
      <c r="R1594" s="72" t="n"/>
      <c r="S1594" s="72" t="n"/>
    </row>
    <row r="1595">
      <c r="B1595" s="72" t="n"/>
      <c r="C1595" s="72" t="n"/>
      <c r="D1595" s="72" t="n"/>
      <c r="E1595" s="72" t="n"/>
      <c r="F1595" s="72" t="n"/>
      <c r="G1595" s="72" t="n"/>
      <c r="H1595" s="72" t="n"/>
      <c r="I1595" s="72" t="n"/>
      <c r="J1595" s="72" t="n"/>
      <c r="K1595" s="72" t="n"/>
      <c r="L1595" s="72" t="n"/>
      <c r="M1595" s="72" t="n"/>
      <c r="N1595" s="72" t="n"/>
      <c r="O1595" s="72" t="n"/>
      <c r="P1595" s="72" t="n"/>
      <c r="Q1595" s="72" t="n"/>
      <c r="R1595" s="72" t="n"/>
      <c r="S1595" s="72" t="n"/>
    </row>
    <row r="1596">
      <c r="B1596" s="72" t="n"/>
      <c r="C1596" s="72" t="n"/>
      <c r="D1596" s="72" t="n"/>
      <c r="E1596" s="72" t="n"/>
      <c r="F1596" s="72" t="n"/>
      <c r="G1596" s="72" t="n"/>
      <c r="H1596" s="72" t="n"/>
      <c r="I1596" s="72" t="n"/>
      <c r="J1596" s="72" t="n"/>
      <c r="K1596" s="72" t="n"/>
      <c r="L1596" s="72" t="n"/>
      <c r="M1596" s="72" t="n"/>
      <c r="N1596" s="72" t="n"/>
      <c r="O1596" s="72" t="n"/>
      <c r="P1596" s="72" t="n"/>
      <c r="Q1596" s="72" t="n"/>
      <c r="R1596" s="72" t="n"/>
      <c r="S1596" s="72" t="n"/>
    </row>
    <row r="1597">
      <c r="B1597" s="72" t="n"/>
      <c r="C1597" s="72" t="n"/>
      <c r="D1597" s="72" t="n"/>
      <c r="E1597" s="72" t="n"/>
      <c r="F1597" s="72" t="n"/>
      <c r="G1597" s="72" t="n"/>
      <c r="H1597" s="72" t="n"/>
      <c r="I1597" s="72" t="n"/>
      <c r="J1597" s="72" t="n"/>
      <c r="K1597" s="72" t="n"/>
      <c r="L1597" s="72" t="n"/>
      <c r="M1597" s="72" t="n"/>
      <c r="N1597" s="72" t="n"/>
      <c r="O1597" s="72" t="n"/>
      <c r="P1597" s="72" t="n"/>
      <c r="Q1597" s="72" t="n"/>
      <c r="R1597" s="72" t="n"/>
      <c r="S1597" s="72" t="n"/>
    </row>
    <row r="1598">
      <c r="B1598" s="72" t="n"/>
      <c r="C1598" s="72" t="n"/>
      <c r="D1598" s="72" t="n"/>
      <c r="E1598" s="72" t="n"/>
      <c r="F1598" s="72" t="n"/>
      <c r="G1598" s="72" t="n"/>
      <c r="H1598" s="72" t="n"/>
      <c r="I1598" s="72" t="n"/>
      <c r="J1598" s="72" t="n"/>
      <c r="K1598" s="72" t="n"/>
      <c r="L1598" s="72" t="n"/>
      <c r="M1598" s="72" t="n"/>
      <c r="N1598" s="72" t="n"/>
      <c r="O1598" s="72" t="n"/>
      <c r="P1598" s="72" t="n"/>
      <c r="Q1598" s="72" t="n"/>
      <c r="R1598" s="72" t="n"/>
      <c r="S1598" s="72" t="n"/>
    </row>
    <row r="1599">
      <c r="B1599" s="72" t="n"/>
      <c r="C1599" s="72" t="n"/>
      <c r="D1599" s="72" t="n"/>
      <c r="E1599" s="72" t="n"/>
      <c r="F1599" s="72" t="n"/>
      <c r="G1599" s="72" t="n"/>
      <c r="H1599" s="72" t="n"/>
      <c r="I1599" s="72" t="n"/>
      <c r="J1599" s="72" t="n"/>
      <c r="K1599" s="72" t="n"/>
      <c r="L1599" s="72" t="n"/>
      <c r="M1599" s="72" t="n"/>
      <c r="N1599" s="72" t="n"/>
      <c r="O1599" s="72" t="n"/>
      <c r="P1599" s="72" t="n"/>
      <c r="Q1599" s="72" t="n"/>
      <c r="R1599" s="72" t="n"/>
      <c r="S1599" s="72" t="n"/>
    </row>
    <row r="1600">
      <c r="B1600" s="72" t="n"/>
      <c r="C1600" s="72" t="n"/>
      <c r="D1600" s="72" t="n"/>
      <c r="E1600" s="72" t="n"/>
      <c r="F1600" s="72" t="n"/>
      <c r="G1600" s="72" t="n"/>
      <c r="H1600" s="72" t="n"/>
      <c r="I1600" s="72" t="n"/>
      <c r="J1600" s="72" t="n"/>
      <c r="K1600" s="72" t="n"/>
      <c r="L1600" s="72" t="n"/>
      <c r="M1600" s="72" t="n"/>
      <c r="N1600" s="72" t="n"/>
      <c r="O1600" s="72" t="n"/>
      <c r="P1600" s="72" t="n"/>
      <c r="Q1600" s="72" t="n"/>
      <c r="R1600" s="72" t="n"/>
      <c r="S1600" s="72" t="n"/>
    </row>
    <row r="1601">
      <c r="B1601" s="72" t="n"/>
      <c r="C1601" s="72" t="n"/>
      <c r="D1601" s="72" t="n"/>
      <c r="E1601" s="72" t="n"/>
      <c r="F1601" s="72" t="n"/>
      <c r="G1601" s="72" t="n"/>
      <c r="H1601" s="72" t="n"/>
      <c r="I1601" s="72" t="n"/>
      <c r="J1601" s="72" t="n"/>
      <c r="K1601" s="72" t="n"/>
      <c r="L1601" s="72" t="n"/>
      <c r="M1601" s="72" t="n"/>
      <c r="N1601" s="72" t="n"/>
      <c r="O1601" s="72" t="n"/>
      <c r="P1601" s="72" t="n"/>
      <c r="Q1601" s="72" t="n"/>
      <c r="R1601" s="72" t="n"/>
      <c r="S1601" s="72" t="n"/>
    </row>
    <row r="1602">
      <c r="B1602" s="72" t="n"/>
      <c r="C1602" s="72" t="n"/>
      <c r="D1602" s="72" t="n"/>
      <c r="E1602" s="72" t="n"/>
      <c r="F1602" s="72" t="n"/>
      <c r="G1602" s="72" t="n"/>
      <c r="H1602" s="72" t="n"/>
      <c r="I1602" s="72" t="n"/>
      <c r="J1602" s="72" t="n"/>
      <c r="K1602" s="72" t="n"/>
      <c r="L1602" s="72" t="n"/>
      <c r="M1602" s="72" t="n"/>
      <c r="N1602" s="72" t="n"/>
      <c r="O1602" s="72" t="n"/>
      <c r="P1602" s="72" t="n"/>
      <c r="Q1602" s="72" t="n"/>
      <c r="R1602" s="72" t="n"/>
      <c r="S1602" s="72" t="n"/>
    </row>
    <row r="1603">
      <c r="B1603" s="72" t="n"/>
      <c r="C1603" s="72" t="n"/>
      <c r="D1603" s="72" t="n"/>
      <c r="E1603" s="72" t="n"/>
      <c r="F1603" s="72" t="n"/>
      <c r="G1603" s="72" t="n"/>
      <c r="H1603" s="72" t="n"/>
      <c r="I1603" s="72" t="n"/>
      <c r="J1603" s="72" t="n"/>
      <c r="K1603" s="72" t="n"/>
      <c r="L1603" s="72" t="n"/>
      <c r="M1603" s="72" t="n"/>
      <c r="N1603" s="72" t="n"/>
      <c r="O1603" s="72" t="n"/>
      <c r="P1603" s="72" t="n"/>
      <c r="Q1603" s="72" t="n"/>
      <c r="R1603" s="72" t="n"/>
      <c r="S1603" s="72" t="n"/>
    </row>
    <row r="1604">
      <c r="B1604" s="72" t="n"/>
      <c r="C1604" s="72" t="n"/>
      <c r="D1604" s="72" t="n"/>
      <c r="E1604" s="72" t="n"/>
      <c r="F1604" s="72" t="n"/>
      <c r="G1604" s="72" t="n"/>
      <c r="H1604" s="72" t="n"/>
      <c r="I1604" s="72" t="n"/>
      <c r="J1604" s="72" t="n"/>
      <c r="K1604" s="72" t="n"/>
      <c r="L1604" s="72" t="n"/>
      <c r="M1604" s="72" t="n"/>
      <c r="N1604" s="72" t="n"/>
      <c r="O1604" s="72" t="n"/>
      <c r="P1604" s="72" t="n"/>
      <c r="Q1604" s="72" t="n"/>
      <c r="R1604" s="72" t="n"/>
      <c r="S1604" s="72" t="n"/>
    </row>
    <row r="1605">
      <c r="B1605" s="72" t="n"/>
      <c r="C1605" s="72" t="n"/>
      <c r="D1605" s="72" t="n"/>
      <c r="E1605" s="72" t="n"/>
      <c r="F1605" s="72" t="n"/>
      <c r="G1605" s="72" t="n"/>
      <c r="H1605" s="72" t="n"/>
      <c r="I1605" s="72" t="n"/>
      <c r="J1605" s="72" t="n"/>
      <c r="K1605" s="72" t="n"/>
      <c r="L1605" s="72" t="n"/>
      <c r="M1605" s="72" t="n"/>
      <c r="N1605" s="72" t="n"/>
      <c r="O1605" s="72" t="n"/>
      <c r="P1605" s="72" t="n"/>
      <c r="Q1605" s="72" t="n"/>
      <c r="R1605" s="72" t="n"/>
      <c r="S1605" s="72" t="n"/>
    </row>
    <row r="1606">
      <c r="B1606" s="72" t="n"/>
      <c r="C1606" s="72" t="n"/>
      <c r="D1606" s="72" t="n"/>
      <c r="E1606" s="72" t="n"/>
      <c r="F1606" s="72" t="n"/>
      <c r="G1606" s="72" t="n"/>
      <c r="H1606" s="72" t="n"/>
      <c r="I1606" s="72" t="n"/>
      <c r="J1606" s="72" t="n"/>
      <c r="K1606" s="72" t="n"/>
      <c r="L1606" s="72" t="n"/>
      <c r="M1606" s="72" t="n"/>
      <c r="N1606" s="72" t="n"/>
      <c r="O1606" s="72" t="n"/>
      <c r="P1606" s="72" t="n"/>
      <c r="Q1606" s="72" t="n"/>
      <c r="R1606" s="72" t="n"/>
      <c r="S1606" s="72" t="n"/>
    </row>
    <row r="1607">
      <c r="B1607" s="72" t="n"/>
      <c r="C1607" s="72" t="n"/>
      <c r="D1607" s="72" t="n"/>
      <c r="E1607" s="72" t="n"/>
      <c r="F1607" s="72" t="n"/>
      <c r="G1607" s="72" t="n"/>
      <c r="H1607" s="72" t="n"/>
      <c r="I1607" s="72" t="n"/>
      <c r="J1607" s="72" t="n"/>
      <c r="K1607" s="72" t="n"/>
      <c r="L1607" s="72" t="n"/>
      <c r="M1607" s="72" t="n"/>
      <c r="N1607" s="72" t="n"/>
      <c r="O1607" s="72" t="n"/>
      <c r="P1607" s="72" t="n"/>
      <c r="Q1607" s="72" t="n"/>
      <c r="R1607" s="72" t="n"/>
      <c r="S1607" s="72" t="n"/>
    </row>
    <row r="1608">
      <c r="B1608" s="72" t="n"/>
      <c r="C1608" s="72" t="n"/>
      <c r="D1608" s="72" t="n"/>
      <c r="E1608" s="72" t="n"/>
      <c r="F1608" s="72" t="n"/>
      <c r="G1608" s="72" t="n"/>
      <c r="H1608" s="72" t="n"/>
      <c r="I1608" s="72" t="n"/>
      <c r="J1608" s="72" t="n"/>
      <c r="K1608" s="72" t="n"/>
      <c r="L1608" s="72" t="n"/>
      <c r="M1608" s="72" t="n"/>
      <c r="N1608" s="72" t="n"/>
      <c r="O1608" s="72" t="n"/>
      <c r="P1608" s="72" t="n"/>
      <c r="Q1608" s="72" t="n"/>
      <c r="R1608" s="72" t="n"/>
      <c r="S1608" s="72" t="n"/>
    </row>
    <row r="1609">
      <c r="B1609" s="72" t="n"/>
      <c r="C1609" s="72" t="n"/>
      <c r="D1609" s="72" t="n"/>
      <c r="E1609" s="72" t="n"/>
      <c r="F1609" s="72" t="n"/>
      <c r="G1609" s="72" t="n"/>
      <c r="H1609" s="72" t="n"/>
      <c r="I1609" s="72" t="n"/>
      <c r="J1609" s="72" t="n"/>
      <c r="K1609" s="72" t="n"/>
      <c r="L1609" s="72" t="n"/>
      <c r="M1609" s="72" t="n"/>
      <c r="N1609" s="72" t="n"/>
      <c r="O1609" s="72" t="n"/>
      <c r="P1609" s="72" t="n"/>
      <c r="Q1609" s="72" t="n"/>
      <c r="R1609" s="72" t="n"/>
      <c r="S1609" s="72" t="n"/>
    </row>
    <row r="1610">
      <c r="B1610" s="72" t="n"/>
      <c r="C1610" s="72" t="n"/>
      <c r="D1610" s="72" t="n"/>
      <c r="E1610" s="72" t="n"/>
      <c r="F1610" s="72" t="n"/>
      <c r="G1610" s="72" t="n"/>
      <c r="H1610" s="72" t="n"/>
      <c r="I1610" s="72" t="n"/>
      <c r="J1610" s="72" t="n"/>
      <c r="K1610" s="72" t="n"/>
      <c r="L1610" s="72" t="n"/>
      <c r="M1610" s="72" t="n"/>
      <c r="N1610" s="72" t="n"/>
      <c r="O1610" s="72" t="n"/>
      <c r="P1610" s="72" t="n"/>
      <c r="Q1610" s="72" t="n"/>
      <c r="R1610" s="72" t="n"/>
      <c r="S1610" s="72" t="n"/>
    </row>
    <row r="1611">
      <c r="B1611" s="72" t="n"/>
      <c r="C1611" s="72" t="n"/>
      <c r="D1611" s="72" t="n"/>
      <c r="E1611" s="72" t="n"/>
      <c r="F1611" s="72" t="n"/>
      <c r="G1611" s="72" t="n"/>
      <c r="H1611" s="72" t="n"/>
      <c r="I1611" s="72" t="n"/>
      <c r="J1611" s="72" t="n"/>
      <c r="K1611" s="72" t="n"/>
      <c r="L1611" s="72" t="n"/>
      <c r="M1611" s="72" t="n"/>
      <c r="N1611" s="72" t="n"/>
      <c r="O1611" s="72" t="n"/>
      <c r="P1611" s="72" t="n"/>
      <c r="Q1611" s="72" t="n"/>
      <c r="R1611" s="72" t="n"/>
      <c r="S1611" s="72" t="n"/>
    </row>
    <row r="1612">
      <c r="B1612" s="72" t="n"/>
      <c r="C1612" s="72" t="n"/>
      <c r="D1612" s="72" t="n"/>
      <c r="E1612" s="72" t="n"/>
      <c r="F1612" s="72" t="n"/>
      <c r="G1612" s="72" t="n"/>
      <c r="H1612" s="72" t="n"/>
      <c r="I1612" s="72" t="n"/>
      <c r="J1612" s="72" t="n"/>
      <c r="K1612" s="72" t="n"/>
      <c r="L1612" s="72" t="n"/>
      <c r="M1612" s="72" t="n"/>
      <c r="N1612" s="72" t="n"/>
      <c r="O1612" s="72" t="n"/>
      <c r="P1612" s="72" t="n"/>
      <c r="Q1612" s="72" t="n"/>
      <c r="R1612" s="72" t="n"/>
      <c r="S1612" s="72" t="n"/>
    </row>
    <row r="1613">
      <c r="B1613" s="72" t="n"/>
      <c r="C1613" s="72" t="n"/>
      <c r="D1613" s="72" t="n"/>
      <c r="E1613" s="72" t="n"/>
      <c r="F1613" s="72" t="n"/>
      <c r="G1613" s="72" t="n"/>
      <c r="H1613" s="72" t="n"/>
      <c r="I1613" s="72" t="n"/>
      <c r="J1613" s="72" t="n"/>
      <c r="K1613" s="72" t="n"/>
      <c r="L1613" s="72" t="n"/>
      <c r="M1613" s="72" t="n"/>
      <c r="N1613" s="72" t="n"/>
      <c r="O1613" s="72" t="n"/>
      <c r="P1613" s="72" t="n"/>
      <c r="Q1613" s="72" t="n"/>
      <c r="R1613" s="72" t="n"/>
      <c r="S1613" s="72" t="n"/>
    </row>
    <row r="1614">
      <c r="B1614" s="72" t="n"/>
      <c r="C1614" s="72" t="n"/>
      <c r="D1614" s="72" t="n"/>
      <c r="E1614" s="72" t="n"/>
      <c r="F1614" s="72" t="n"/>
      <c r="G1614" s="72" t="n"/>
      <c r="H1614" s="72" t="n"/>
      <c r="I1614" s="72" t="n"/>
      <c r="J1614" s="72" t="n"/>
      <c r="K1614" s="72" t="n"/>
      <c r="L1614" s="72" t="n"/>
      <c r="M1614" s="72" t="n"/>
      <c r="N1614" s="72" t="n"/>
      <c r="O1614" s="72" t="n"/>
      <c r="P1614" s="72" t="n"/>
      <c r="Q1614" s="72" t="n"/>
      <c r="R1614" s="72" t="n"/>
      <c r="S1614" s="72" t="n"/>
    </row>
    <row r="1615">
      <c r="B1615" s="72" t="n"/>
      <c r="C1615" s="72" t="n"/>
      <c r="D1615" s="72" t="n"/>
      <c r="E1615" s="72" t="n"/>
      <c r="F1615" s="72" t="n"/>
      <c r="G1615" s="72" t="n"/>
      <c r="H1615" s="72" t="n"/>
      <c r="I1615" s="72" t="n"/>
      <c r="J1615" s="72" t="n"/>
      <c r="K1615" s="72" t="n"/>
      <c r="L1615" s="72" t="n"/>
      <c r="M1615" s="72" t="n"/>
      <c r="N1615" s="72" t="n"/>
      <c r="O1615" s="72" t="n"/>
      <c r="P1615" s="72" t="n"/>
      <c r="Q1615" s="72" t="n"/>
      <c r="R1615" s="72" t="n"/>
      <c r="S1615" s="72" t="n"/>
    </row>
    <row r="1616">
      <c r="B1616" s="72" t="n"/>
      <c r="C1616" s="72" t="n"/>
      <c r="D1616" s="72" t="n"/>
      <c r="E1616" s="72" t="n"/>
      <c r="F1616" s="72" t="n"/>
      <c r="G1616" s="72" t="n"/>
      <c r="H1616" s="72" t="n"/>
      <c r="I1616" s="72" t="n"/>
      <c r="J1616" s="72" t="n"/>
      <c r="K1616" s="72" t="n"/>
      <c r="L1616" s="72" t="n"/>
      <c r="M1616" s="72" t="n"/>
      <c r="N1616" s="72" t="n"/>
      <c r="O1616" s="72" t="n"/>
      <c r="P1616" s="72" t="n"/>
      <c r="Q1616" s="72" t="n"/>
      <c r="R1616" s="72" t="n"/>
      <c r="S1616" s="72" t="n"/>
    </row>
    <row r="1617">
      <c r="B1617" s="72" t="n"/>
      <c r="C1617" s="72" t="n"/>
      <c r="D1617" s="72" t="n"/>
      <c r="E1617" s="72" t="n"/>
      <c r="F1617" s="72" t="n"/>
      <c r="G1617" s="72" t="n"/>
      <c r="H1617" s="72" t="n"/>
      <c r="I1617" s="72" t="n"/>
      <c r="J1617" s="72" t="n"/>
      <c r="K1617" s="72" t="n"/>
      <c r="L1617" s="72" t="n"/>
      <c r="M1617" s="72" t="n"/>
      <c r="N1617" s="72" t="n"/>
      <c r="O1617" s="72" t="n"/>
      <c r="P1617" s="72" t="n"/>
      <c r="Q1617" s="72" t="n"/>
      <c r="R1617" s="72" t="n"/>
      <c r="S1617" s="72" t="n"/>
    </row>
    <row r="1618">
      <c r="B1618" s="72" t="n"/>
      <c r="C1618" s="72" t="n"/>
      <c r="D1618" s="72" t="n"/>
      <c r="E1618" s="72" t="n"/>
      <c r="F1618" s="72" t="n"/>
      <c r="G1618" s="72" t="n"/>
      <c r="H1618" s="72" t="n"/>
      <c r="I1618" s="72" t="n"/>
      <c r="J1618" s="72" t="n"/>
      <c r="K1618" s="72" t="n"/>
      <c r="L1618" s="72" t="n"/>
      <c r="M1618" s="72" t="n"/>
      <c r="N1618" s="72" t="n"/>
      <c r="O1618" s="72" t="n"/>
      <c r="P1618" s="72" t="n"/>
      <c r="Q1618" s="72" t="n"/>
      <c r="R1618" s="72" t="n"/>
      <c r="S1618" s="72" t="n"/>
    </row>
    <row r="1619">
      <c r="B1619" s="72" t="n"/>
      <c r="C1619" s="72" t="n"/>
      <c r="D1619" s="72" t="n"/>
      <c r="E1619" s="72" t="n"/>
      <c r="F1619" s="72" t="n"/>
      <c r="G1619" s="72" t="n"/>
      <c r="H1619" s="72" t="n"/>
      <c r="I1619" s="72" t="n"/>
      <c r="J1619" s="72" t="n"/>
      <c r="K1619" s="72" t="n"/>
      <c r="L1619" s="72" t="n"/>
      <c r="M1619" s="72" t="n"/>
      <c r="N1619" s="72" t="n"/>
      <c r="O1619" s="72" t="n"/>
      <c r="P1619" s="72" t="n"/>
      <c r="Q1619" s="72" t="n"/>
      <c r="R1619" s="72" t="n"/>
      <c r="S1619" s="72" t="n"/>
    </row>
    <row r="1620">
      <c r="B1620" s="72" t="n"/>
      <c r="C1620" s="72" t="n"/>
      <c r="D1620" s="72" t="n"/>
      <c r="E1620" s="72" t="n"/>
      <c r="F1620" s="72" t="n"/>
      <c r="G1620" s="72" t="n"/>
      <c r="H1620" s="72" t="n"/>
      <c r="I1620" s="72" t="n"/>
      <c r="J1620" s="72" t="n"/>
      <c r="K1620" s="72" t="n"/>
      <c r="L1620" s="72" t="n"/>
      <c r="M1620" s="72" t="n"/>
      <c r="N1620" s="72" t="n"/>
      <c r="O1620" s="72" t="n"/>
      <c r="P1620" s="72" t="n"/>
      <c r="Q1620" s="72" t="n"/>
      <c r="R1620" s="72" t="n"/>
      <c r="S1620" s="72" t="n"/>
    </row>
    <row r="1621">
      <c r="B1621" s="72" t="n"/>
      <c r="C1621" s="72" t="n"/>
      <c r="D1621" s="72" t="n"/>
      <c r="E1621" s="72" t="n"/>
      <c r="F1621" s="72" t="n"/>
      <c r="G1621" s="72" t="n"/>
      <c r="H1621" s="72" t="n"/>
      <c r="I1621" s="72" t="n"/>
      <c r="J1621" s="72" t="n"/>
      <c r="K1621" s="72" t="n"/>
      <c r="L1621" s="72" t="n"/>
      <c r="M1621" s="72" t="n"/>
      <c r="N1621" s="72" t="n"/>
      <c r="O1621" s="72" t="n"/>
      <c r="P1621" s="72" t="n"/>
      <c r="Q1621" s="72" t="n"/>
      <c r="R1621" s="72" t="n"/>
      <c r="S1621" s="72" t="n"/>
    </row>
    <row r="1622">
      <c r="B1622" s="72" t="n"/>
      <c r="C1622" s="72" t="n"/>
      <c r="D1622" s="72" t="n"/>
      <c r="E1622" s="72" t="n"/>
      <c r="F1622" s="72" t="n"/>
      <c r="G1622" s="72" t="n"/>
      <c r="H1622" s="72" t="n"/>
      <c r="I1622" s="72" t="n"/>
      <c r="J1622" s="72" t="n"/>
      <c r="K1622" s="72" t="n"/>
      <c r="L1622" s="72" t="n"/>
      <c r="M1622" s="72" t="n"/>
      <c r="N1622" s="72" t="n"/>
      <c r="O1622" s="72" t="n"/>
      <c r="P1622" s="72" t="n"/>
      <c r="Q1622" s="72" t="n"/>
      <c r="R1622" s="72" t="n"/>
      <c r="S1622" s="72" t="n"/>
    </row>
    <row r="1623">
      <c r="B1623" s="72" t="n"/>
      <c r="C1623" s="72" t="n"/>
      <c r="D1623" s="72" t="n"/>
      <c r="E1623" s="72" t="n"/>
      <c r="F1623" s="72" t="n"/>
      <c r="G1623" s="72" t="n"/>
      <c r="H1623" s="72" t="n"/>
      <c r="I1623" s="72" t="n"/>
      <c r="J1623" s="72" t="n"/>
      <c r="K1623" s="72" t="n"/>
      <c r="L1623" s="72" t="n"/>
      <c r="M1623" s="72" t="n"/>
      <c r="N1623" s="72" t="n"/>
      <c r="O1623" s="72" t="n"/>
      <c r="P1623" s="72" t="n"/>
      <c r="Q1623" s="72" t="n"/>
      <c r="R1623" s="72" t="n"/>
      <c r="S1623" s="72" t="n"/>
    </row>
    <row r="1624">
      <c r="B1624" s="72" t="n"/>
      <c r="C1624" s="72" t="n"/>
      <c r="D1624" s="72" t="n"/>
      <c r="E1624" s="72" t="n"/>
      <c r="F1624" s="72" t="n"/>
      <c r="G1624" s="72" t="n"/>
      <c r="H1624" s="72" t="n"/>
      <c r="I1624" s="72" t="n"/>
      <c r="J1624" s="72" t="n"/>
      <c r="K1624" s="72" t="n"/>
      <c r="L1624" s="72" t="n"/>
      <c r="M1624" s="72" t="n"/>
      <c r="N1624" s="72" t="n"/>
      <c r="O1624" s="72" t="n"/>
      <c r="P1624" s="72" t="n"/>
      <c r="Q1624" s="72" t="n"/>
      <c r="R1624" s="72" t="n"/>
      <c r="S1624" s="72" t="n"/>
    </row>
    <row r="1625">
      <c r="B1625" s="72" t="n"/>
      <c r="C1625" s="72" t="n"/>
      <c r="D1625" s="72" t="n"/>
      <c r="E1625" s="72" t="n"/>
      <c r="F1625" s="72" t="n"/>
      <c r="G1625" s="72" t="n"/>
      <c r="H1625" s="72" t="n"/>
      <c r="I1625" s="72" t="n"/>
      <c r="J1625" s="72" t="n"/>
      <c r="K1625" s="72" t="n"/>
      <c r="L1625" s="72" t="n"/>
      <c r="M1625" s="72" t="n"/>
      <c r="N1625" s="72" t="n"/>
      <c r="O1625" s="72" t="n"/>
      <c r="P1625" s="72" t="n"/>
      <c r="Q1625" s="72" t="n"/>
      <c r="R1625" s="72" t="n"/>
      <c r="S1625" s="72" t="n"/>
    </row>
    <row r="1626">
      <c r="B1626" s="72" t="n"/>
      <c r="C1626" s="72" t="n"/>
      <c r="D1626" s="72" t="n"/>
      <c r="E1626" s="72" t="n"/>
      <c r="F1626" s="72" t="n"/>
      <c r="G1626" s="72" t="n"/>
      <c r="H1626" s="72" t="n"/>
      <c r="I1626" s="72" t="n"/>
      <c r="J1626" s="72" t="n"/>
      <c r="K1626" s="72" t="n"/>
      <c r="L1626" s="72" t="n"/>
      <c r="M1626" s="72" t="n"/>
      <c r="N1626" s="72" t="n"/>
      <c r="O1626" s="72" t="n"/>
      <c r="P1626" s="72" t="n"/>
      <c r="Q1626" s="72" t="n"/>
      <c r="R1626" s="72" t="n"/>
      <c r="S1626" s="72" t="n"/>
    </row>
    <row r="1627">
      <c r="B1627" s="72" t="n"/>
      <c r="C1627" s="72" t="n"/>
      <c r="D1627" s="72" t="n"/>
      <c r="E1627" s="72" t="n"/>
      <c r="F1627" s="72" t="n"/>
      <c r="G1627" s="72" t="n"/>
      <c r="H1627" s="72" t="n"/>
      <c r="I1627" s="72" t="n"/>
      <c r="J1627" s="72" t="n"/>
      <c r="K1627" s="72" t="n"/>
      <c r="L1627" s="72" t="n"/>
      <c r="M1627" s="72" t="n"/>
      <c r="N1627" s="72" t="n"/>
      <c r="O1627" s="72" t="n"/>
      <c r="P1627" s="72" t="n"/>
      <c r="Q1627" s="72" t="n"/>
      <c r="R1627" s="72" t="n"/>
      <c r="S1627" s="72" t="n"/>
    </row>
    <row r="1628">
      <c r="B1628" s="72" t="n"/>
      <c r="C1628" s="72" t="n"/>
      <c r="D1628" s="72" t="n"/>
      <c r="E1628" s="72" t="n"/>
      <c r="F1628" s="72" t="n"/>
      <c r="G1628" s="72" t="n"/>
      <c r="H1628" s="72" t="n"/>
      <c r="I1628" s="72" t="n"/>
      <c r="J1628" s="72" t="n"/>
      <c r="K1628" s="72" t="n"/>
      <c r="L1628" s="72" t="n"/>
      <c r="M1628" s="72" t="n"/>
      <c r="N1628" s="72" t="n"/>
      <c r="O1628" s="72" t="n"/>
      <c r="P1628" s="72" t="n"/>
      <c r="Q1628" s="72" t="n"/>
      <c r="R1628" s="72" t="n"/>
      <c r="S1628" s="72" t="n"/>
    </row>
    <row r="1629">
      <c r="B1629" s="72" t="n"/>
      <c r="C1629" s="72" t="n"/>
      <c r="D1629" s="72" t="n"/>
      <c r="E1629" s="72" t="n"/>
      <c r="F1629" s="72" t="n"/>
      <c r="G1629" s="72" t="n"/>
      <c r="H1629" s="72" t="n"/>
      <c r="I1629" s="72" t="n"/>
      <c r="J1629" s="72" t="n"/>
      <c r="K1629" s="72" t="n"/>
      <c r="L1629" s="72" t="n"/>
      <c r="M1629" s="72" t="n"/>
      <c r="N1629" s="72" t="n"/>
      <c r="O1629" s="72" t="n"/>
      <c r="P1629" s="72" t="n"/>
      <c r="Q1629" s="72" t="n"/>
      <c r="R1629" s="72" t="n"/>
      <c r="S1629" s="72" t="n"/>
    </row>
    <row r="1630">
      <c r="B1630" s="72" t="n"/>
      <c r="C1630" s="72" t="n"/>
      <c r="D1630" s="72" t="n"/>
      <c r="E1630" s="72" t="n"/>
      <c r="F1630" s="72" t="n"/>
      <c r="G1630" s="72" t="n"/>
      <c r="H1630" s="72" t="n"/>
      <c r="I1630" s="72" t="n"/>
      <c r="J1630" s="72" t="n"/>
      <c r="K1630" s="72" t="n"/>
      <c r="L1630" s="72" t="n"/>
      <c r="M1630" s="72" t="n"/>
      <c r="N1630" s="72" t="n"/>
      <c r="O1630" s="72" t="n"/>
      <c r="P1630" s="72" t="n"/>
      <c r="Q1630" s="72" t="n"/>
      <c r="R1630" s="72" t="n"/>
      <c r="S1630" s="72" t="n"/>
    </row>
    <row r="1631">
      <c r="B1631" s="72" t="n"/>
      <c r="C1631" s="72" t="n"/>
      <c r="D1631" s="72" t="n"/>
      <c r="E1631" s="72" t="n"/>
      <c r="F1631" s="72" t="n"/>
      <c r="G1631" s="72" t="n"/>
      <c r="H1631" s="72" t="n"/>
      <c r="I1631" s="72" t="n"/>
      <c r="J1631" s="72" t="n"/>
      <c r="K1631" s="72" t="n"/>
      <c r="L1631" s="72" t="n"/>
      <c r="M1631" s="72" t="n"/>
      <c r="N1631" s="72" t="n"/>
      <c r="O1631" s="72" t="n"/>
      <c r="P1631" s="72" t="n"/>
      <c r="Q1631" s="72" t="n"/>
      <c r="R1631" s="72" t="n"/>
      <c r="S1631" s="72" t="n"/>
    </row>
    <row r="1632">
      <c r="B1632" s="72" t="n"/>
      <c r="C1632" s="72" t="n"/>
      <c r="D1632" s="72" t="n"/>
      <c r="E1632" s="72" t="n"/>
      <c r="F1632" s="72" t="n"/>
      <c r="G1632" s="72" t="n"/>
      <c r="H1632" s="72" t="n"/>
      <c r="I1632" s="72" t="n"/>
      <c r="J1632" s="72" t="n"/>
      <c r="K1632" s="72" t="n"/>
      <c r="L1632" s="72" t="n"/>
      <c r="M1632" s="72" t="n"/>
      <c r="N1632" s="72" t="n"/>
      <c r="O1632" s="72" t="n"/>
      <c r="P1632" s="72" t="n"/>
      <c r="Q1632" s="72" t="n"/>
      <c r="R1632" s="72" t="n"/>
      <c r="S1632" s="72" t="n"/>
    </row>
    <row r="1633">
      <c r="B1633" s="72" t="n"/>
      <c r="C1633" s="72" t="n"/>
      <c r="D1633" s="72" t="n"/>
      <c r="E1633" s="72" t="n"/>
      <c r="F1633" s="72" t="n"/>
      <c r="G1633" s="72" t="n"/>
      <c r="H1633" s="72" t="n"/>
      <c r="I1633" s="72" t="n"/>
      <c r="J1633" s="72" t="n"/>
      <c r="K1633" s="72" t="n"/>
      <c r="L1633" s="72" t="n"/>
      <c r="M1633" s="72" t="n"/>
      <c r="N1633" s="72" t="n"/>
      <c r="O1633" s="72" t="n"/>
      <c r="P1633" s="72" t="n"/>
      <c r="Q1633" s="72" t="n"/>
      <c r="R1633" s="72" t="n"/>
      <c r="S1633" s="72" t="n"/>
    </row>
    <row r="1634">
      <c r="B1634" s="72" t="n"/>
      <c r="C1634" s="72" t="n"/>
      <c r="D1634" s="72" t="n"/>
      <c r="E1634" s="72" t="n"/>
      <c r="F1634" s="72" t="n"/>
      <c r="G1634" s="72" t="n"/>
      <c r="H1634" s="72" t="n"/>
      <c r="I1634" s="72" t="n"/>
      <c r="J1634" s="72" t="n"/>
      <c r="K1634" s="72" t="n"/>
      <c r="L1634" s="72" t="n"/>
      <c r="M1634" s="72" t="n"/>
      <c r="N1634" s="72" t="n"/>
      <c r="O1634" s="72" t="n"/>
      <c r="P1634" s="72" t="n"/>
      <c r="Q1634" s="72" t="n"/>
      <c r="R1634" s="72" t="n"/>
      <c r="S1634" s="72" t="n"/>
    </row>
    <row r="1635">
      <c r="B1635" s="72" t="n"/>
      <c r="C1635" s="72" t="n"/>
      <c r="D1635" s="72" t="n"/>
      <c r="E1635" s="72" t="n"/>
      <c r="F1635" s="72" t="n"/>
      <c r="G1635" s="72" t="n"/>
      <c r="H1635" s="72" t="n"/>
      <c r="I1635" s="72" t="n"/>
      <c r="J1635" s="72" t="n"/>
      <c r="K1635" s="72" t="n"/>
      <c r="L1635" s="72" t="n"/>
      <c r="M1635" s="72" t="n"/>
      <c r="N1635" s="72" t="n"/>
      <c r="O1635" s="72" t="n"/>
      <c r="P1635" s="72" t="n"/>
      <c r="Q1635" s="72" t="n"/>
      <c r="R1635" s="72" t="n"/>
      <c r="S1635" s="72" t="n"/>
    </row>
    <row r="1636">
      <c r="B1636" s="72" t="n"/>
      <c r="C1636" s="72" t="n"/>
      <c r="D1636" s="72" t="n"/>
      <c r="E1636" s="72" t="n"/>
      <c r="F1636" s="72" t="n"/>
      <c r="G1636" s="72" t="n"/>
      <c r="H1636" s="72" t="n"/>
      <c r="I1636" s="72" t="n"/>
      <c r="J1636" s="72" t="n"/>
      <c r="K1636" s="72" t="n"/>
      <c r="L1636" s="72" t="n"/>
      <c r="M1636" s="72" t="n"/>
      <c r="N1636" s="72" t="n"/>
      <c r="O1636" s="72" t="n"/>
      <c r="P1636" s="72" t="n"/>
      <c r="Q1636" s="72" t="n"/>
      <c r="R1636" s="72" t="n"/>
      <c r="S1636" s="72" t="n"/>
    </row>
    <row r="1637">
      <c r="B1637" s="72" t="n"/>
      <c r="C1637" s="72" t="n"/>
      <c r="D1637" s="72" t="n"/>
      <c r="E1637" s="72" t="n"/>
      <c r="F1637" s="72" t="n"/>
      <c r="G1637" s="72" t="n"/>
      <c r="H1637" s="72" t="n"/>
      <c r="I1637" s="72" t="n"/>
      <c r="J1637" s="72" t="n"/>
      <c r="K1637" s="72" t="n"/>
      <c r="L1637" s="72" t="n"/>
      <c r="M1637" s="72" t="n"/>
      <c r="N1637" s="72" t="n"/>
      <c r="O1637" s="72" t="n"/>
      <c r="P1637" s="72" t="n"/>
      <c r="Q1637" s="72" t="n"/>
      <c r="R1637" s="72" t="n"/>
      <c r="S1637" s="72" t="n"/>
    </row>
    <row r="1638">
      <c r="B1638" s="72" t="n"/>
      <c r="C1638" s="72" t="n"/>
      <c r="D1638" s="72" t="n"/>
      <c r="E1638" s="72" t="n"/>
      <c r="F1638" s="72" t="n"/>
      <c r="G1638" s="72" t="n"/>
      <c r="H1638" s="72" t="n"/>
      <c r="I1638" s="72" t="n"/>
      <c r="J1638" s="72" t="n"/>
      <c r="K1638" s="72" t="n"/>
      <c r="L1638" s="72" t="n"/>
      <c r="M1638" s="72" t="n"/>
      <c r="N1638" s="72" t="n"/>
      <c r="O1638" s="72" t="n"/>
      <c r="P1638" s="72" t="n"/>
      <c r="Q1638" s="72" t="n"/>
      <c r="R1638" s="72" t="n"/>
      <c r="S1638" s="72" t="n"/>
    </row>
    <row r="1639">
      <c r="B1639" s="72" t="n"/>
      <c r="C1639" s="72" t="n"/>
      <c r="D1639" s="72" t="n"/>
      <c r="E1639" s="72" t="n"/>
      <c r="F1639" s="72" t="n"/>
      <c r="G1639" s="72" t="n"/>
      <c r="H1639" s="72" t="n"/>
      <c r="I1639" s="72" t="n"/>
      <c r="J1639" s="72" t="n"/>
      <c r="K1639" s="72" t="n"/>
      <c r="L1639" s="72" t="n"/>
      <c r="M1639" s="72" t="n"/>
      <c r="N1639" s="72" t="n"/>
      <c r="O1639" s="72" t="n"/>
      <c r="P1639" s="72" t="n"/>
      <c r="Q1639" s="72" t="n"/>
      <c r="R1639" s="72" t="n"/>
      <c r="S1639" s="72" t="n"/>
    </row>
    <row r="1640">
      <c r="B1640" s="72" t="n"/>
      <c r="C1640" s="72" t="n"/>
      <c r="D1640" s="72" t="n"/>
      <c r="E1640" s="72" t="n"/>
      <c r="F1640" s="72" t="n"/>
      <c r="G1640" s="72" t="n"/>
      <c r="H1640" s="72" t="n"/>
      <c r="I1640" s="72" t="n"/>
      <c r="J1640" s="72" t="n"/>
      <c r="K1640" s="72" t="n"/>
      <c r="L1640" s="72" t="n"/>
      <c r="M1640" s="72" t="n"/>
      <c r="N1640" s="72" t="n"/>
      <c r="O1640" s="72" t="n"/>
      <c r="P1640" s="72" t="n"/>
      <c r="Q1640" s="72" t="n"/>
      <c r="R1640" s="72" t="n"/>
      <c r="S1640" s="72" t="n"/>
    </row>
    <row r="1641">
      <c r="B1641" s="72" t="n"/>
      <c r="C1641" s="72" t="n"/>
      <c r="D1641" s="72" t="n"/>
      <c r="E1641" s="72" t="n"/>
      <c r="F1641" s="72" t="n"/>
      <c r="G1641" s="72" t="n"/>
      <c r="H1641" s="72" t="n"/>
      <c r="I1641" s="72" t="n"/>
      <c r="J1641" s="72" t="n"/>
      <c r="K1641" s="72" t="n"/>
      <c r="L1641" s="72" t="n"/>
      <c r="M1641" s="72" t="n"/>
      <c r="N1641" s="72" t="n"/>
      <c r="O1641" s="72" t="n"/>
      <c r="P1641" s="72" t="n"/>
      <c r="Q1641" s="72" t="n"/>
      <c r="R1641" s="72" t="n"/>
      <c r="S1641" s="72" t="n"/>
    </row>
    <row r="1642">
      <c r="B1642" s="72" t="n"/>
      <c r="C1642" s="72" t="n"/>
      <c r="D1642" s="72" t="n"/>
      <c r="E1642" s="72" t="n"/>
      <c r="F1642" s="72" t="n"/>
      <c r="G1642" s="72" t="n"/>
      <c r="H1642" s="72" t="n"/>
      <c r="I1642" s="72" t="n"/>
      <c r="J1642" s="72" t="n"/>
      <c r="K1642" s="72" t="n"/>
      <c r="L1642" s="72" t="n"/>
      <c r="M1642" s="72" t="n"/>
      <c r="N1642" s="72" t="n"/>
      <c r="O1642" s="72" t="n"/>
      <c r="P1642" s="72" t="n"/>
      <c r="Q1642" s="72" t="n"/>
      <c r="R1642" s="72" t="n"/>
      <c r="S1642" s="72" t="n"/>
    </row>
    <row r="1643">
      <c r="B1643" s="72" t="n"/>
      <c r="C1643" s="72" t="n"/>
      <c r="D1643" s="72" t="n"/>
      <c r="E1643" s="72" t="n"/>
      <c r="F1643" s="72" t="n"/>
      <c r="G1643" s="72" t="n"/>
      <c r="H1643" s="72" t="n"/>
      <c r="I1643" s="72" t="n"/>
      <c r="J1643" s="72" t="n"/>
      <c r="K1643" s="72" t="n"/>
      <c r="L1643" s="72" t="n"/>
      <c r="M1643" s="72" t="n"/>
      <c r="N1643" s="72" t="n"/>
      <c r="O1643" s="72" t="n"/>
      <c r="P1643" s="72" t="n"/>
      <c r="Q1643" s="72" t="n"/>
      <c r="R1643" s="72" t="n"/>
      <c r="S1643" s="72" t="n"/>
    </row>
    <row r="1644">
      <c r="B1644" s="72" t="n"/>
      <c r="C1644" s="72" t="n"/>
      <c r="D1644" s="72" t="n"/>
      <c r="E1644" s="72" t="n"/>
      <c r="F1644" s="72" t="n"/>
      <c r="G1644" s="72" t="n"/>
      <c r="H1644" s="72" t="n"/>
      <c r="I1644" s="72" t="n"/>
      <c r="J1644" s="72" t="n"/>
      <c r="K1644" s="72" t="n"/>
      <c r="L1644" s="72" t="n"/>
      <c r="M1644" s="72" t="n"/>
      <c r="N1644" s="72" t="n"/>
      <c r="O1644" s="72" t="n"/>
      <c r="P1644" s="72" t="n"/>
      <c r="Q1644" s="72" t="n"/>
      <c r="R1644" s="72" t="n"/>
      <c r="S1644" s="72" t="n"/>
    </row>
    <row r="1645">
      <c r="B1645" s="72" t="n"/>
      <c r="C1645" s="72" t="n"/>
      <c r="D1645" s="72" t="n"/>
      <c r="E1645" s="72" t="n"/>
      <c r="F1645" s="72" t="n"/>
      <c r="G1645" s="72" t="n"/>
      <c r="H1645" s="72" t="n"/>
      <c r="I1645" s="72" t="n"/>
      <c r="J1645" s="72" t="n"/>
      <c r="K1645" s="72" t="n"/>
      <c r="L1645" s="72" t="n"/>
      <c r="M1645" s="72" t="n"/>
      <c r="N1645" s="72" t="n"/>
      <c r="O1645" s="72" t="n"/>
      <c r="P1645" s="72" t="n"/>
      <c r="Q1645" s="72" t="n"/>
      <c r="R1645" s="72" t="n"/>
      <c r="S1645" s="72" t="n"/>
    </row>
    <row r="1646">
      <c r="B1646" s="72" t="n"/>
      <c r="C1646" s="72" t="n"/>
      <c r="D1646" s="72" t="n"/>
      <c r="E1646" s="72" t="n"/>
      <c r="F1646" s="72" t="n"/>
      <c r="G1646" s="72" t="n"/>
      <c r="H1646" s="72" t="n"/>
      <c r="I1646" s="72" t="n"/>
      <c r="J1646" s="72" t="n"/>
      <c r="K1646" s="72" t="n"/>
      <c r="L1646" s="72" t="n"/>
      <c r="M1646" s="72" t="n"/>
      <c r="N1646" s="72" t="n"/>
      <c r="O1646" s="72" t="n"/>
      <c r="P1646" s="72" t="n"/>
      <c r="Q1646" s="72" t="n"/>
      <c r="R1646" s="72" t="n"/>
      <c r="S1646" s="72" t="n"/>
    </row>
    <row r="1647">
      <c r="B1647" s="72" t="n"/>
      <c r="C1647" s="72" t="n"/>
      <c r="D1647" s="72" t="n"/>
      <c r="E1647" s="72" t="n"/>
      <c r="F1647" s="72" t="n"/>
      <c r="G1647" s="72" t="n"/>
      <c r="H1647" s="72" t="n"/>
      <c r="I1647" s="72" t="n"/>
      <c r="J1647" s="72" t="n"/>
      <c r="K1647" s="72" t="n"/>
      <c r="L1647" s="72" t="n"/>
      <c r="M1647" s="72" t="n"/>
      <c r="N1647" s="72" t="n"/>
      <c r="O1647" s="72" t="n"/>
      <c r="P1647" s="72" t="n"/>
      <c r="Q1647" s="72" t="n"/>
      <c r="R1647" s="72" t="n"/>
      <c r="S1647" s="72" t="n"/>
    </row>
    <row r="1648">
      <c r="B1648" s="72" t="n"/>
      <c r="C1648" s="72" t="n"/>
      <c r="D1648" s="72" t="n"/>
      <c r="E1648" s="72" t="n"/>
      <c r="F1648" s="72" t="n"/>
      <c r="G1648" s="72" t="n"/>
      <c r="H1648" s="72" t="n"/>
      <c r="I1648" s="72" t="n"/>
      <c r="J1648" s="72" t="n"/>
      <c r="K1648" s="72" t="n"/>
      <c r="L1648" s="72" t="n"/>
      <c r="M1648" s="72" t="n"/>
      <c r="N1648" s="72" t="n"/>
      <c r="O1648" s="72" t="n"/>
      <c r="P1648" s="72" t="n"/>
      <c r="Q1648" s="72" t="n"/>
      <c r="R1648" s="72" t="n"/>
      <c r="S1648" s="72" t="n"/>
    </row>
    <row r="1649">
      <c r="B1649" s="72" t="n"/>
      <c r="C1649" s="72" t="n"/>
      <c r="D1649" s="72" t="n"/>
      <c r="E1649" s="72" t="n"/>
      <c r="F1649" s="72" t="n"/>
      <c r="G1649" s="72" t="n"/>
      <c r="H1649" s="72" t="n"/>
      <c r="I1649" s="72" t="n"/>
      <c r="J1649" s="72" t="n"/>
      <c r="K1649" s="72" t="n"/>
      <c r="L1649" s="72" t="n"/>
      <c r="M1649" s="72" t="n"/>
      <c r="N1649" s="72" t="n"/>
      <c r="O1649" s="72" t="n"/>
      <c r="P1649" s="72" t="n"/>
      <c r="Q1649" s="72" t="n"/>
      <c r="R1649" s="72" t="n"/>
      <c r="S1649" s="72" t="n"/>
    </row>
    <row r="1650">
      <c r="B1650" s="72" t="n"/>
      <c r="C1650" s="72" t="n"/>
      <c r="D1650" s="72" t="n"/>
      <c r="E1650" s="72" t="n"/>
      <c r="F1650" s="72" t="n"/>
      <c r="G1650" s="72" t="n"/>
      <c r="H1650" s="72" t="n"/>
      <c r="I1650" s="72" t="n"/>
      <c r="J1650" s="72" t="n"/>
      <c r="K1650" s="72" t="n"/>
      <c r="L1650" s="72" t="n"/>
      <c r="M1650" s="72" t="n"/>
      <c r="N1650" s="72" t="n"/>
      <c r="O1650" s="72" t="n"/>
      <c r="P1650" s="72" t="n"/>
      <c r="Q1650" s="72" t="n"/>
      <c r="R1650" s="72" t="n"/>
      <c r="S1650" s="72" t="n"/>
    </row>
    <row r="1651">
      <c r="B1651" s="72" t="n"/>
      <c r="C1651" s="72" t="n"/>
      <c r="D1651" s="72" t="n"/>
      <c r="E1651" s="72" t="n"/>
      <c r="F1651" s="72" t="n"/>
      <c r="G1651" s="72" t="n"/>
      <c r="H1651" s="72" t="n"/>
      <c r="I1651" s="72" t="n"/>
      <c r="J1651" s="72" t="n"/>
      <c r="K1651" s="72" t="n"/>
      <c r="L1651" s="72" t="n"/>
      <c r="M1651" s="72" t="n"/>
      <c r="N1651" s="72" t="n"/>
      <c r="O1651" s="72" t="n"/>
      <c r="P1651" s="72" t="n"/>
      <c r="Q1651" s="72" t="n"/>
      <c r="R1651" s="72" t="n"/>
      <c r="S1651" s="72" t="n"/>
    </row>
    <row r="1652">
      <c r="B1652" s="72" t="n"/>
      <c r="C1652" s="72" t="n"/>
      <c r="D1652" s="72" t="n"/>
      <c r="E1652" s="72" t="n"/>
      <c r="F1652" s="72" t="n"/>
      <c r="G1652" s="72" t="n"/>
      <c r="H1652" s="72" t="n"/>
      <c r="I1652" s="72" t="n"/>
      <c r="J1652" s="72" t="n"/>
      <c r="K1652" s="72" t="n"/>
      <c r="L1652" s="72" t="n"/>
      <c r="M1652" s="72" t="n"/>
      <c r="N1652" s="72" t="n"/>
      <c r="O1652" s="72" t="n"/>
      <c r="P1652" s="72" t="n"/>
      <c r="Q1652" s="72" t="n"/>
      <c r="R1652" s="72" t="n"/>
      <c r="S1652" s="72" t="n"/>
    </row>
    <row r="1653">
      <c r="B1653" s="72" t="n"/>
      <c r="C1653" s="72" t="n"/>
      <c r="D1653" s="72" t="n"/>
      <c r="E1653" s="72" t="n"/>
      <c r="F1653" s="72" t="n"/>
      <c r="G1653" s="72" t="n"/>
      <c r="H1653" s="72" t="n"/>
      <c r="I1653" s="72" t="n"/>
      <c r="J1653" s="72" t="n"/>
      <c r="K1653" s="72" t="n"/>
      <c r="L1653" s="72" t="n"/>
      <c r="M1653" s="72" t="n"/>
      <c r="N1653" s="72" t="n"/>
      <c r="O1653" s="72" t="n"/>
      <c r="P1653" s="72" t="n"/>
      <c r="Q1653" s="72" t="n"/>
      <c r="R1653" s="72" t="n"/>
      <c r="S1653" s="72" t="n"/>
    </row>
    <row r="1654">
      <c r="B1654" s="72" t="n"/>
      <c r="C1654" s="72" t="n"/>
      <c r="D1654" s="72" t="n"/>
      <c r="E1654" s="72" t="n"/>
      <c r="F1654" s="72" t="n"/>
      <c r="G1654" s="72" t="n"/>
      <c r="H1654" s="72" t="n"/>
      <c r="I1654" s="72" t="n"/>
      <c r="J1654" s="72" t="n"/>
      <c r="K1654" s="72" t="n"/>
      <c r="L1654" s="72" t="n"/>
      <c r="M1654" s="72" t="n"/>
      <c r="N1654" s="72" t="n"/>
      <c r="O1654" s="72" t="n"/>
      <c r="P1654" s="72" t="n"/>
      <c r="Q1654" s="72" t="n"/>
      <c r="R1654" s="72" t="n"/>
      <c r="S1654" s="72" t="n"/>
    </row>
    <row r="1655">
      <c r="B1655" s="72" t="n"/>
      <c r="C1655" s="72" t="n"/>
      <c r="D1655" s="72" t="n"/>
      <c r="E1655" s="72" t="n"/>
      <c r="F1655" s="72" t="n"/>
      <c r="G1655" s="72" t="n"/>
      <c r="H1655" s="72" t="n"/>
      <c r="I1655" s="72" t="n"/>
      <c r="J1655" s="72" t="n"/>
      <c r="K1655" s="72" t="n"/>
      <c r="L1655" s="72" t="n"/>
      <c r="M1655" s="72" t="n"/>
      <c r="N1655" s="72" t="n"/>
      <c r="O1655" s="72" t="n"/>
      <c r="P1655" s="72" t="n"/>
      <c r="Q1655" s="72" t="n"/>
      <c r="R1655" s="72" t="n"/>
      <c r="S1655" s="72" t="n"/>
    </row>
    <row r="1656">
      <c r="B1656" s="72" t="n"/>
      <c r="C1656" s="72" t="n"/>
      <c r="D1656" s="72" t="n"/>
      <c r="E1656" s="72" t="n"/>
      <c r="F1656" s="72" t="n"/>
      <c r="G1656" s="72" t="n"/>
      <c r="H1656" s="72" t="n"/>
      <c r="I1656" s="72" t="n"/>
      <c r="J1656" s="72" t="n"/>
      <c r="K1656" s="72" t="n"/>
      <c r="L1656" s="72" t="n"/>
      <c r="M1656" s="72" t="n"/>
      <c r="N1656" s="72" t="n"/>
      <c r="O1656" s="72" t="n"/>
      <c r="P1656" s="72" t="n"/>
      <c r="Q1656" s="72" t="n"/>
      <c r="R1656" s="72" t="n"/>
      <c r="S1656" s="72" t="n"/>
    </row>
    <row r="1657">
      <c r="B1657" s="72" t="n"/>
      <c r="C1657" s="72" t="n"/>
      <c r="D1657" s="72" t="n"/>
      <c r="E1657" s="72" t="n"/>
      <c r="F1657" s="72" t="n"/>
      <c r="G1657" s="72" t="n"/>
      <c r="H1657" s="72" t="n"/>
      <c r="I1657" s="72" t="n"/>
      <c r="J1657" s="72" t="n"/>
      <c r="K1657" s="72" t="n"/>
      <c r="L1657" s="72" t="n"/>
      <c r="M1657" s="72" t="n"/>
      <c r="N1657" s="72" t="n"/>
      <c r="O1657" s="72" t="n"/>
      <c r="P1657" s="72" t="n"/>
      <c r="Q1657" s="72" t="n"/>
      <c r="R1657" s="72" t="n"/>
      <c r="S1657" s="72" t="n"/>
    </row>
    <row r="1658">
      <c r="B1658" s="72" t="n"/>
      <c r="C1658" s="72" t="n"/>
      <c r="D1658" s="72" t="n"/>
      <c r="E1658" s="72" t="n"/>
      <c r="F1658" s="72" t="n"/>
      <c r="G1658" s="72" t="n"/>
      <c r="H1658" s="72" t="n"/>
      <c r="I1658" s="72" t="n"/>
      <c r="J1658" s="72" t="n"/>
      <c r="K1658" s="72" t="n"/>
      <c r="L1658" s="72" t="n"/>
      <c r="M1658" s="72" t="n"/>
      <c r="N1658" s="72" t="n"/>
      <c r="O1658" s="72" t="n"/>
      <c r="P1658" s="72" t="n"/>
      <c r="Q1658" s="72" t="n"/>
      <c r="R1658" s="72" t="n"/>
      <c r="S1658" s="72" t="n"/>
    </row>
    <row r="1659">
      <c r="B1659" s="72" t="n"/>
      <c r="C1659" s="72" t="n"/>
      <c r="D1659" s="72" t="n"/>
      <c r="E1659" s="72" t="n"/>
      <c r="F1659" s="72" t="n"/>
      <c r="G1659" s="72" t="n"/>
      <c r="H1659" s="72" t="n"/>
      <c r="I1659" s="72" t="n"/>
      <c r="J1659" s="72" t="n"/>
      <c r="K1659" s="72" t="n"/>
      <c r="L1659" s="72" t="n"/>
      <c r="M1659" s="72" t="n"/>
      <c r="N1659" s="72" t="n"/>
      <c r="O1659" s="72" t="n"/>
      <c r="P1659" s="72" t="n"/>
      <c r="Q1659" s="72" t="n"/>
      <c r="R1659" s="72" t="n"/>
      <c r="S1659" s="72" t="n"/>
    </row>
    <row r="1660">
      <c r="B1660" s="72" t="n"/>
      <c r="C1660" s="72" t="n"/>
      <c r="D1660" s="72" t="n"/>
      <c r="E1660" s="72" t="n"/>
      <c r="F1660" s="72" t="n"/>
      <c r="G1660" s="72" t="n"/>
      <c r="H1660" s="72" t="n"/>
      <c r="I1660" s="72" t="n"/>
      <c r="J1660" s="72" t="n"/>
      <c r="K1660" s="72" t="n"/>
      <c r="L1660" s="72" t="n"/>
      <c r="M1660" s="72" t="n"/>
      <c r="N1660" s="72" t="n"/>
      <c r="O1660" s="72" t="n"/>
      <c r="P1660" s="72" t="n"/>
      <c r="Q1660" s="72" t="n"/>
      <c r="R1660" s="72" t="n"/>
      <c r="S1660" s="72" t="n"/>
    </row>
    <row r="1661">
      <c r="B1661" s="72" t="n"/>
      <c r="C1661" s="72" t="n"/>
      <c r="D1661" s="72" t="n"/>
      <c r="E1661" s="72" t="n"/>
      <c r="F1661" s="72" t="n"/>
      <c r="G1661" s="72" t="n"/>
      <c r="H1661" s="72" t="n"/>
      <c r="I1661" s="72" t="n"/>
      <c r="J1661" s="72" t="n"/>
      <c r="K1661" s="72" t="n"/>
      <c r="L1661" s="72" t="n"/>
      <c r="M1661" s="72" t="n"/>
      <c r="N1661" s="72" t="n"/>
      <c r="O1661" s="72" t="n"/>
      <c r="P1661" s="72" t="n"/>
      <c r="Q1661" s="72" t="n"/>
      <c r="R1661" s="72" t="n"/>
      <c r="S1661" s="72" t="n"/>
    </row>
    <row r="1662">
      <c r="B1662" s="72" t="n"/>
      <c r="C1662" s="72" t="n"/>
      <c r="D1662" s="72" t="n"/>
      <c r="E1662" s="72" t="n"/>
      <c r="F1662" s="72" t="n"/>
      <c r="G1662" s="72" t="n"/>
      <c r="H1662" s="72" t="n"/>
      <c r="I1662" s="72" t="n"/>
      <c r="J1662" s="72" t="n"/>
      <c r="K1662" s="72" t="n"/>
      <c r="L1662" s="72" t="n"/>
      <c r="M1662" s="72" t="n"/>
      <c r="N1662" s="72" t="n"/>
      <c r="O1662" s="72" t="n"/>
      <c r="P1662" s="72" t="n"/>
      <c r="Q1662" s="72" t="n"/>
      <c r="R1662" s="72" t="n"/>
      <c r="S1662" s="72" t="n"/>
    </row>
    <row r="1663">
      <c r="B1663" s="72" t="n"/>
      <c r="C1663" s="72" t="n"/>
      <c r="D1663" s="72" t="n"/>
      <c r="E1663" s="72" t="n"/>
      <c r="F1663" s="72" t="n"/>
      <c r="G1663" s="72" t="n"/>
      <c r="H1663" s="72" t="n"/>
      <c r="I1663" s="72" t="n"/>
      <c r="J1663" s="72" t="n"/>
      <c r="K1663" s="72" t="n"/>
      <c r="L1663" s="72" t="n"/>
      <c r="M1663" s="72" t="n"/>
      <c r="N1663" s="72" t="n"/>
      <c r="O1663" s="72" t="n"/>
      <c r="P1663" s="72" t="n"/>
      <c r="Q1663" s="72" t="n"/>
      <c r="R1663" s="72" t="n"/>
      <c r="S1663" s="72" t="n"/>
    </row>
    <row r="1664">
      <c r="B1664" s="72" t="n"/>
      <c r="C1664" s="72" t="n"/>
      <c r="D1664" s="72" t="n"/>
      <c r="E1664" s="72" t="n"/>
      <c r="F1664" s="72" t="n"/>
      <c r="G1664" s="72" t="n"/>
      <c r="H1664" s="72" t="n"/>
      <c r="I1664" s="72" t="n"/>
      <c r="J1664" s="72" t="n"/>
      <c r="K1664" s="72" t="n"/>
      <c r="L1664" s="72" t="n"/>
      <c r="M1664" s="72" t="n"/>
      <c r="N1664" s="72" t="n"/>
      <c r="O1664" s="72" t="n"/>
      <c r="P1664" s="72" t="n"/>
      <c r="Q1664" s="72" t="n"/>
      <c r="R1664" s="72" t="n"/>
      <c r="S1664" s="72" t="n"/>
    </row>
    <row r="1665">
      <c r="B1665" s="72" t="n"/>
      <c r="C1665" s="72" t="n"/>
      <c r="D1665" s="72" t="n"/>
      <c r="E1665" s="72" t="n"/>
      <c r="F1665" s="72" t="n"/>
      <c r="G1665" s="72" t="n"/>
      <c r="H1665" s="72" t="n"/>
      <c r="I1665" s="72" t="n"/>
      <c r="J1665" s="72" t="n"/>
      <c r="K1665" s="72" t="n"/>
      <c r="L1665" s="72" t="n"/>
      <c r="M1665" s="72" t="n"/>
      <c r="N1665" s="72" t="n"/>
      <c r="O1665" s="72" t="n"/>
      <c r="P1665" s="72" t="n"/>
      <c r="Q1665" s="72" t="n"/>
      <c r="R1665" s="72" t="n"/>
      <c r="S1665" s="72" t="n"/>
    </row>
    <row r="1666">
      <c r="B1666" s="72" t="n"/>
      <c r="C1666" s="72" t="n"/>
      <c r="D1666" s="72" t="n"/>
      <c r="E1666" s="72" t="n"/>
      <c r="F1666" s="72" t="n"/>
      <c r="G1666" s="72" t="n"/>
      <c r="H1666" s="72" t="n"/>
      <c r="I1666" s="72" t="n"/>
      <c r="J1666" s="72" t="n"/>
      <c r="K1666" s="72" t="n"/>
      <c r="L1666" s="72" t="n"/>
      <c r="M1666" s="72" t="n"/>
      <c r="N1666" s="72" t="n"/>
      <c r="O1666" s="72" t="n"/>
      <c r="P1666" s="72" t="n"/>
      <c r="Q1666" s="72" t="n"/>
      <c r="R1666" s="72" t="n"/>
      <c r="S1666" s="72" t="n"/>
    </row>
    <row r="1667">
      <c r="B1667" s="72" t="n"/>
      <c r="C1667" s="72" t="n"/>
      <c r="D1667" s="72" t="n"/>
      <c r="E1667" s="72" t="n"/>
      <c r="F1667" s="72" t="n"/>
      <c r="G1667" s="72" t="n"/>
      <c r="H1667" s="72" t="n"/>
      <c r="I1667" s="72" t="n"/>
      <c r="J1667" s="72" t="n"/>
      <c r="K1667" s="72" t="n"/>
      <c r="L1667" s="72" t="n"/>
      <c r="M1667" s="72" t="n"/>
      <c r="N1667" s="72" t="n"/>
      <c r="O1667" s="72" t="n"/>
      <c r="P1667" s="72" t="n"/>
      <c r="Q1667" s="72" t="n"/>
      <c r="R1667" s="72" t="n"/>
      <c r="S1667" s="72" t="n"/>
    </row>
    <row r="1668">
      <c r="B1668" s="72" t="n"/>
      <c r="C1668" s="72" t="n"/>
      <c r="D1668" s="72" t="n"/>
      <c r="E1668" s="72" t="n"/>
      <c r="F1668" s="72" t="n"/>
      <c r="G1668" s="72" t="n"/>
      <c r="H1668" s="72" t="n"/>
      <c r="I1668" s="72" t="n"/>
      <c r="J1668" s="72" t="n"/>
      <c r="K1668" s="72" t="n"/>
      <c r="L1668" s="72" t="n"/>
      <c r="M1668" s="72" t="n"/>
      <c r="N1668" s="72" t="n"/>
      <c r="O1668" s="72" t="n"/>
      <c r="P1668" s="72" t="n"/>
      <c r="Q1668" s="72" t="n"/>
      <c r="R1668" s="72" t="n"/>
      <c r="S1668" s="72" t="n"/>
    </row>
    <row r="1669">
      <c r="B1669" s="72" t="n"/>
      <c r="C1669" s="72" t="n"/>
      <c r="D1669" s="72" t="n"/>
      <c r="E1669" s="72" t="n"/>
      <c r="F1669" s="72" t="n"/>
      <c r="G1669" s="72" t="n"/>
      <c r="H1669" s="72" t="n"/>
      <c r="I1669" s="72" t="n"/>
      <c r="J1669" s="72" t="n"/>
      <c r="K1669" s="72" t="n"/>
      <c r="L1669" s="72" t="n"/>
      <c r="M1669" s="72" t="n"/>
      <c r="N1669" s="72" t="n"/>
      <c r="O1669" s="72" t="n"/>
      <c r="P1669" s="72" t="n"/>
      <c r="Q1669" s="72" t="n"/>
      <c r="R1669" s="72" t="n"/>
      <c r="S1669" s="72" t="n"/>
    </row>
    <row r="1670">
      <c r="B1670" s="72" t="n"/>
      <c r="C1670" s="72" t="n"/>
      <c r="D1670" s="72" t="n"/>
      <c r="E1670" s="72" t="n"/>
      <c r="F1670" s="72" t="n"/>
      <c r="G1670" s="72" t="n"/>
      <c r="H1670" s="72" t="n"/>
      <c r="I1670" s="72" t="n"/>
      <c r="J1670" s="72" t="n"/>
      <c r="K1670" s="72" t="n"/>
      <c r="L1670" s="72" t="n"/>
      <c r="M1670" s="72" t="n"/>
      <c r="N1670" s="72" t="n"/>
      <c r="O1670" s="72" t="n"/>
      <c r="P1670" s="72" t="n"/>
      <c r="Q1670" s="72" t="n"/>
      <c r="R1670" s="72" t="n"/>
      <c r="S1670" s="72" t="n"/>
    </row>
    <row r="1671">
      <c r="B1671" s="72" t="n"/>
      <c r="C1671" s="72" t="n"/>
      <c r="D1671" s="72" t="n"/>
      <c r="E1671" s="72" t="n"/>
      <c r="F1671" s="72" t="n"/>
      <c r="G1671" s="72" t="n"/>
      <c r="H1671" s="72" t="n"/>
      <c r="I1671" s="72" t="n"/>
      <c r="J1671" s="72" t="n"/>
      <c r="K1671" s="72" t="n"/>
      <c r="L1671" s="72" t="n"/>
      <c r="M1671" s="72" t="n"/>
      <c r="N1671" s="72" t="n"/>
      <c r="O1671" s="72" t="n"/>
      <c r="P1671" s="72" t="n"/>
      <c r="Q1671" s="72" t="n"/>
      <c r="R1671" s="72" t="n"/>
      <c r="S1671" s="72" t="n"/>
    </row>
    <row r="1672">
      <c r="B1672" s="72" t="n"/>
      <c r="C1672" s="72" t="n"/>
      <c r="D1672" s="72" t="n"/>
      <c r="E1672" s="72" t="n"/>
      <c r="F1672" s="72" t="n"/>
      <c r="G1672" s="72" t="n"/>
      <c r="H1672" s="72" t="n"/>
      <c r="I1672" s="72" t="n"/>
      <c r="J1672" s="72" t="n"/>
      <c r="K1672" s="72" t="n"/>
      <c r="L1672" s="72" t="n"/>
      <c r="M1672" s="72" t="n"/>
      <c r="N1672" s="72" t="n"/>
      <c r="O1672" s="72" t="n"/>
      <c r="P1672" s="72" t="n"/>
      <c r="Q1672" s="72" t="n"/>
      <c r="R1672" s="72" t="n"/>
      <c r="S1672" s="72" t="n"/>
    </row>
    <row r="1673">
      <c r="B1673" s="72" t="n"/>
      <c r="C1673" s="72" t="n"/>
      <c r="D1673" s="72" t="n"/>
      <c r="E1673" s="72" t="n"/>
      <c r="F1673" s="72" t="n"/>
      <c r="G1673" s="72" t="n"/>
      <c r="H1673" s="72" t="n"/>
      <c r="I1673" s="72" t="n"/>
      <c r="J1673" s="72" t="n"/>
      <c r="K1673" s="72" t="n"/>
      <c r="L1673" s="72" t="n"/>
      <c r="M1673" s="72" t="n"/>
      <c r="N1673" s="72" t="n"/>
      <c r="O1673" s="72" t="n"/>
      <c r="P1673" s="72" t="n"/>
      <c r="Q1673" s="72" t="n"/>
      <c r="R1673" s="72" t="n"/>
      <c r="S1673" s="72" t="n"/>
    </row>
    <row r="1674">
      <c r="B1674" s="72" t="n"/>
      <c r="C1674" s="72" t="n"/>
      <c r="D1674" s="72" t="n"/>
      <c r="E1674" s="72" t="n"/>
      <c r="F1674" s="72" t="n"/>
      <c r="G1674" s="72" t="n"/>
      <c r="H1674" s="72" t="n"/>
      <c r="I1674" s="72" t="n"/>
      <c r="J1674" s="72" t="n"/>
      <c r="K1674" s="72" t="n"/>
      <c r="L1674" s="72" t="n"/>
      <c r="M1674" s="72" t="n"/>
      <c r="N1674" s="72" t="n"/>
      <c r="O1674" s="72" t="n"/>
      <c r="P1674" s="72" t="n"/>
      <c r="Q1674" s="72" t="n"/>
      <c r="R1674" s="72" t="n"/>
      <c r="S1674" s="72" t="n"/>
    </row>
    <row r="1675">
      <c r="B1675" s="72" t="n"/>
      <c r="C1675" s="72" t="n"/>
      <c r="D1675" s="72" t="n"/>
      <c r="E1675" s="72" t="n"/>
      <c r="F1675" s="72" t="n"/>
      <c r="G1675" s="72" t="n"/>
      <c r="H1675" s="72" t="n"/>
      <c r="I1675" s="72" t="n"/>
      <c r="J1675" s="72" t="n"/>
      <c r="K1675" s="72" t="n"/>
      <c r="L1675" s="72" t="n"/>
      <c r="M1675" s="72" t="n"/>
      <c r="N1675" s="72" t="n"/>
      <c r="O1675" s="72" t="n"/>
      <c r="P1675" s="72" t="n"/>
      <c r="Q1675" s="72" t="n"/>
      <c r="R1675" s="72" t="n"/>
      <c r="S1675" s="72" t="n"/>
    </row>
    <row r="1676">
      <c r="B1676" s="72" t="n"/>
      <c r="C1676" s="72" t="n"/>
      <c r="D1676" s="72" t="n"/>
      <c r="E1676" s="72" t="n"/>
      <c r="F1676" s="72" t="n"/>
      <c r="G1676" s="72" t="n"/>
      <c r="H1676" s="72" t="n"/>
      <c r="I1676" s="72" t="n"/>
      <c r="J1676" s="72" t="n"/>
      <c r="K1676" s="72" t="n"/>
      <c r="L1676" s="72" t="n"/>
      <c r="M1676" s="72" t="n"/>
      <c r="N1676" s="72" t="n"/>
      <c r="O1676" s="72" t="n"/>
      <c r="P1676" s="72" t="n"/>
      <c r="Q1676" s="72" t="n"/>
      <c r="R1676" s="72" t="n"/>
      <c r="S1676" s="72" t="n"/>
    </row>
    <row r="1677">
      <c r="B1677" s="72" t="n"/>
      <c r="C1677" s="72" t="n"/>
      <c r="D1677" s="72" t="n"/>
      <c r="E1677" s="72" t="n"/>
      <c r="F1677" s="72" t="n"/>
      <c r="G1677" s="72" t="n"/>
      <c r="H1677" s="72" t="n"/>
      <c r="I1677" s="72" t="n"/>
      <c r="J1677" s="72" t="n"/>
      <c r="K1677" s="72" t="n"/>
      <c r="L1677" s="72" t="n"/>
      <c r="M1677" s="72" t="n"/>
      <c r="N1677" s="72" t="n"/>
      <c r="O1677" s="72" t="n"/>
      <c r="P1677" s="72" t="n"/>
      <c r="Q1677" s="72" t="n"/>
      <c r="R1677" s="72" t="n"/>
      <c r="S1677" s="72" t="n"/>
    </row>
    <row r="1678">
      <c r="B1678" s="72" t="n"/>
      <c r="C1678" s="72" t="n"/>
      <c r="D1678" s="72" t="n"/>
      <c r="E1678" s="72" t="n"/>
      <c r="F1678" s="72" t="n"/>
      <c r="G1678" s="72" t="n"/>
      <c r="H1678" s="72" t="n"/>
      <c r="I1678" s="72" t="n"/>
      <c r="J1678" s="72" t="n"/>
      <c r="K1678" s="72" t="n"/>
      <c r="L1678" s="72" t="n"/>
      <c r="M1678" s="72" t="n"/>
      <c r="N1678" s="72" t="n"/>
      <c r="O1678" s="72" t="n"/>
      <c r="P1678" s="72" t="n"/>
      <c r="Q1678" s="72" t="n"/>
      <c r="R1678" s="72" t="n"/>
      <c r="S1678" s="72" t="n"/>
    </row>
    <row r="1679">
      <c r="B1679" s="72" t="n"/>
      <c r="C1679" s="72" t="n"/>
      <c r="D1679" s="72" t="n"/>
      <c r="E1679" s="72" t="n"/>
      <c r="F1679" s="72" t="n"/>
      <c r="G1679" s="72" t="n"/>
      <c r="H1679" s="72" t="n"/>
      <c r="I1679" s="72" t="n"/>
      <c r="J1679" s="72" t="n"/>
      <c r="K1679" s="72" t="n"/>
      <c r="L1679" s="72" t="n"/>
      <c r="M1679" s="72" t="n"/>
      <c r="N1679" s="72" t="n"/>
      <c r="O1679" s="72" t="n"/>
      <c r="P1679" s="72" t="n"/>
      <c r="Q1679" s="72" t="n"/>
      <c r="R1679" s="72" t="n"/>
      <c r="S1679" s="72" t="n"/>
    </row>
    <row r="1680">
      <c r="B1680" s="72" t="n"/>
      <c r="C1680" s="72" t="n"/>
      <c r="D1680" s="72" t="n"/>
      <c r="E1680" s="72" t="n"/>
      <c r="F1680" s="72" t="n"/>
      <c r="G1680" s="72" t="n"/>
      <c r="H1680" s="72" t="n"/>
      <c r="I1680" s="72" t="n"/>
      <c r="J1680" s="72" t="n"/>
      <c r="K1680" s="72" t="n"/>
      <c r="L1680" s="72" t="n"/>
      <c r="M1680" s="72" t="n"/>
      <c r="N1680" s="72" t="n"/>
      <c r="O1680" s="72" t="n"/>
      <c r="P1680" s="72" t="n"/>
      <c r="Q1680" s="72" t="n"/>
      <c r="R1680" s="72" t="n"/>
      <c r="S1680" s="72" t="n"/>
    </row>
    <row r="1681">
      <c r="B1681" s="72" t="n"/>
      <c r="C1681" s="72" t="n"/>
      <c r="D1681" s="72" t="n"/>
      <c r="E1681" s="72" t="n"/>
      <c r="F1681" s="72" t="n"/>
      <c r="G1681" s="72" t="n"/>
      <c r="H1681" s="72" t="n"/>
      <c r="I1681" s="72" t="n"/>
      <c r="J1681" s="72" t="n"/>
      <c r="K1681" s="72" t="n"/>
      <c r="L1681" s="72" t="n"/>
      <c r="M1681" s="72" t="n"/>
      <c r="N1681" s="72" t="n"/>
      <c r="O1681" s="72" t="n"/>
      <c r="P1681" s="72" t="n"/>
      <c r="Q1681" s="72" t="n"/>
      <c r="R1681" s="72" t="n"/>
      <c r="S1681" s="72" t="n"/>
    </row>
    <row r="1682">
      <c r="B1682" s="72" t="n"/>
      <c r="C1682" s="72" t="n"/>
      <c r="D1682" s="72" t="n"/>
      <c r="E1682" s="72" t="n"/>
      <c r="F1682" s="72" t="n"/>
      <c r="G1682" s="72" t="n"/>
      <c r="H1682" s="72" t="n"/>
      <c r="I1682" s="72" t="n"/>
      <c r="J1682" s="72" t="n"/>
      <c r="K1682" s="72" t="n"/>
      <c r="L1682" s="72" t="n"/>
      <c r="M1682" s="72" t="n"/>
      <c r="N1682" s="72" t="n"/>
      <c r="O1682" s="72" t="n"/>
      <c r="P1682" s="72" t="n"/>
      <c r="Q1682" s="72" t="n"/>
      <c r="R1682" s="72" t="n"/>
      <c r="S1682" s="72" t="n"/>
    </row>
    <row r="1683">
      <c r="B1683" s="72" t="n"/>
      <c r="C1683" s="72" t="n"/>
      <c r="D1683" s="72" t="n"/>
      <c r="E1683" s="72" t="n"/>
      <c r="F1683" s="72" t="n"/>
      <c r="G1683" s="72" t="n"/>
      <c r="H1683" s="72" t="n"/>
      <c r="I1683" s="72" t="n"/>
      <c r="J1683" s="72" t="n"/>
      <c r="K1683" s="72" t="n"/>
      <c r="L1683" s="72" t="n"/>
      <c r="M1683" s="72" t="n"/>
      <c r="N1683" s="72" t="n"/>
      <c r="O1683" s="72" t="n"/>
      <c r="P1683" s="72" t="n"/>
      <c r="Q1683" s="72" t="n"/>
      <c r="R1683" s="72" t="n"/>
      <c r="S1683" s="72" t="n"/>
    </row>
    <row r="1684">
      <c r="B1684" s="72" t="n"/>
      <c r="C1684" s="72" t="n"/>
      <c r="D1684" s="72" t="n"/>
      <c r="E1684" s="72" t="n"/>
      <c r="F1684" s="72" t="n"/>
      <c r="G1684" s="72" t="n"/>
      <c r="H1684" s="72" t="n"/>
      <c r="I1684" s="72" t="n"/>
      <c r="J1684" s="72" t="n"/>
      <c r="K1684" s="72" t="n"/>
      <c r="L1684" s="72" t="n"/>
      <c r="M1684" s="72" t="n"/>
      <c r="N1684" s="72" t="n"/>
      <c r="O1684" s="72" t="n"/>
      <c r="P1684" s="72" t="n"/>
      <c r="Q1684" s="72" t="n"/>
      <c r="R1684" s="72" t="n"/>
      <c r="S1684" s="72" t="n"/>
    </row>
    <row r="1685">
      <c r="B1685" s="72" t="n"/>
      <c r="C1685" s="72" t="n"/>
      <c r="D1685" s="72" t="n"/>
      <c r="E1685" s="72" t="n"/>
      <c r="F1685" s="72" t="n"/>
      <c r="G1685" s="72" t="n"/>
      <c r="H1685" s="72" t="n"/>
      <c r="I1685" s="72" t="n"/>
      <c r="J1685" s="72" t="n"/>
      <c r="K1685" s="72" t="n"/>
      <c r="L1685" s="72" t="n"/>
      <c r="M1685" s="72" t="n"/>
      <c r="N1685" s="72" t="n"/>
      <c r="O1685" s="72" t="n"/>
      <c r="P1685" s="72" t="n"/>
      <c r="Q1685" s="72" t="n"/>
      <c r="R1685" s="72" t="n"/>
      <c r="S1685" s="72" t="n"/>
    </row>
    <row r="1686">
      <c r="B1686" s="72" t="n"/>
      <c r="C1686" s="72" t="n"/>
      <c r="D1686" s="72" t="n"/>
      <c r="E1686" s="72" t="n"/>
      <c r="F1686" s="72" t="n"/>
      <c r="G1686" s="72" t="n"/>
      <c r="H1686" s="72" t="n"/>
      <c r="I1686" s="72" t="n"/>
      <c r="J1686" s="72" t="n"/>
      <c r="K1686" s="72" t="n"/>
      <c r="L1686" s="72" t="n"/>
      <c r="M1686" s="72" t="n"/>
      <c r="N1686" s="72" t="n"/>
      <c r="O1686" s="72" t="n"/>
      <c r="P1686" s="72" t="n"/>
      <c r="Q1686" s="72" t="n"/>
      <c r="R1686" s="72" t="n"/>
      <c r="S1686" s="72" t="n"/>
    </row>
    <row r="1687">
      <c r="B1687" s="72" t="n"/>
      <c r="C1687" s="72" t="n"/>
      <c r="D1687" s="72" t="n"/>
      <c r="E1687" s="72" t="n"/>
      <c r="F1687" s="72" t="n"/>
      <c r="G1687" s="72" t="n"/>
      <c r="H1687" s="72" t="n"/>
      <c r="I1687" s="72" t="n"/>
      <c r="J1687" s="72" t="n"/>
      <c r="K1687" s="72" t="n"/>
      <c r="L1687" s="72" t="n"/>
      <c r="M1687" s="72" t="n"/>
      <c r="N1687" s="72" t="n"/>
      <c r="O1687" s="72" t="n"/>
      <c r="P1687" s="72" t="n"/>
      <c r="Q1687" s="72" t="n"/>
      <c r="R1687" s="72" t="n"/>
      <c r="S1687" s="72" t="n"/>
    </row>
    <row r="1688">
      <c r="B1688" s="72" t="n"/>
      <c r="C1688" s="72" t="n"/>
      <c r="D1688" s="72" t="n"/>
      <c r="E1688" s="72" t="n"/>
      <c r="F1688" s="72" t="n"/>
      <c r="G1688" s="72" t="n"/>
      <c r="H1688" s="72" t="n"/>
      <c r="I1688" s="72" t="n"/>
      <c r="J1688" s="72" t="n"/>
      <c r="K1688" s="72" t="n"/>
      <c r="L1688" s="72" t="n"/>
      <c r="M1688" s="72" t="n"/>
      <c r="N1688" s="72" t="n"/>
      <c r="O1688" s="72" t="n"/>
      <c r="P1688" s="72" t="n"/>
      <c r="Q1688" s="72" t="n"/>
      <c r="R1688" s="72" t="n"/>
      <c r="S1688" s="72" t="n"/>
    </row>
    <row r="1689">
      <c r="B1689" s="72" t="n"/>
      <c r="C1689" s="72" t="n"/>
      <c r="D1689" s="72" t="n"/>
      <c r="E1689" s="72" t="n"/>
      <c r="F1689" s="72" t="n"/>
      <c r="G1689" s="72" t="n"/>
      <c r="H1689" s="72" t="n"/>
      <c r="I1689" s="72" t="n"/>
      <c r="J1689" s="72" t="n"/>
      <c r="K1689" s="72" t="n"/>
      <c r="L1689" s="72" t="n"/>
      <c r="M1689" s="72" t="n"/>
      <c r="N1689" s="72" t="n"/>
      <c r="O1689" s="72" t="n"/>
      <c r="P1689" s="72" t="n"/>
      <c r="Q1689" s="72" t="n"/>
      <c r="R1689" s="72" t="n"/>
      <c r="S1689" s="72" t="n"/>
    </row>
    <row r="1690">
      <c r="B1690" s="72" t="n"/>
      <c r="C1690" s="72" t="n"/>
      <c r="D1690" s="72" t="n"/>
      <c r="E1690" s="72" t="n"/>
      <c r="F1690" s="72" t="n"/>
      <c r="G1690" s="72" t="n"/>
      <c r="H1690" s="72" t="n"/>
      <c r="I1690" s="72" t="n"/>
      <c r="J1690" s="72" t="n"/>
      <c r="K1690" s="72" t="n"/>
      <c r="L1690" s="72" t="n"/>
      <c r="M1690" s="72" t="n"/>
      <c r="N1690" s="72" t="n"/>
      <c r="O1690" s="72" t="n"/>
      <c r="P1690" s="72" t="n"/>
      <c r="Q1690" s="72" t="n"/>
      <c r="R1690" s="72" t="n"/>
      <c r="S1690" s="72" t="n"/>
    </row>
    <row r="1691">
      <c r="B1691" s="72" t="n"/>
      <c r="C1691" s="72" t="n"/>
      <c r="D1691" s="72" t="n"/>
      <c r="E1691" s="72" t="n"/>
      <c r="F1691" s="72" t="n"/>
      <c r="G1691" s="72" t="n"/>
      <c r="H1691" s="72" t="n"/>
      <c r="I1691" s="72" t="n"/>
      <c r="J1691" s="72" t="n"/>
      <c r="K1691" s="72" t="n"/>
      <c r="L1691" s="72" t="n"/>
      <c r="M1691" s="72" t="n"/>
      <c r="N1691" s="72" t="n"/>
      <c r="O1691" s="72" t="n"/>
      <c r="P1691" s="72" t="n"/>
      <c r="Q1691" s="72" t="n"/>
      <c r="R1691" s="72" t="n"/>
      <c r="S1691" s="72" t="n"/>
    </row>
    <row r="1692">
      <c r="B1692" s="72" t="n"/>
      <c r="C1692" s="72" t="n"/>
      <c r="D1692" s="72" t="n"/>
      <c r="E1692" s="72" t="n"/>
      <c r="F1692" s="72" t="n"/>
      <c r="G1692" s="72" t="n"/>
      <c r="H1692" s="72" t="n"/>
      <c r="I1692" s="72" t="n"/>
      <c r="J1692" s="72" t="n"/>
      <c r="K1692" s="72" t="n"/>
      <c r="L1692" s="72" t="n"/>
      <c r="M1692" s="72" t="n"/>
      <c r="N1692" s="72" t="n"/>
      <c r="O1692" s="72" t="n"/>
      <c r="P1692" s="72" t="n"/>
      <c r="Q1692" s="72" t="n"/>
      <c r="R1692" s="72" t="n"/>
      <c r="S1692" s="72" t="n"/>
    </row>
    <row r="1693">
      <c r="B1693" s="72" t="n"/>
      <c r="C1693" s="72" t="n"/>
      <c r="D1693" s="72" t="n"/>
      <c r="E1693" s="72" t="n"/>
      <c r="F1693" s="72" t="n"/>
      <c r="G1693" s="72" t="n"/>
      <c r="H1693" s="72" t="n"/>
      <c r="I1693" s="72" t="n"/>
      <c r="J1693" s="72" t="n"/>
      <c r="K1693" s="72" t="n"/>
      <c r="L1693" s="72" t="n"/>
      <c r="M1693" s="72" t="n"/>
      <c r="N1693" s="72" t="n"/>
      <c r="O1693" s="72" t="n"/>
      <c r="P1693" s="72" t="n"/>
      <c r="Q1693" s="72" t="n"/>
      <c r="R1693" s="72" t="n"/>
      <c r="S1693" s="72" t="n"/>
    </row>
    <row r="1694">
      <c r="B1694" s="72" t="n"/>
      <c r="C1694" s="72" t="n"/>
      <c r="D1694" s="72" t="n"/>
      <c r="E1694" s="72" t="n"/>
      <c r="F1694" s="72" t="n"/>
      <c r="G1694" s="72" t="n"/>
      <c r="H1694" s="72" t="n"/>
      <c r="I1694" s="72" t="n"/>
      <c r="J1694" s="72" t="n"/>
      <c r="K1694" s="72" t="n"/>
      <c r="L1694" s="72" t="n"/>
      <c r="M1694" s="72" t="n"/>
      <c r="N1694" s="72" t="n"/>
      <c r="O1694" s="72" t="n"/>
      <c r="P1694" s="72" t="n"/>
      <c r="Q1694" s="72" t="n"/>
      <c r="R1694" s="72" t="n"/>
      <c r="S1694" s="72" t="n"/>
    </row>
    <row r="1695">
      <c r="B1695" s="72" t="n"/>
      <c r="C1695" s="72" t="n"/>
      <c r="D1695" s="72" t="n"/>
      <c r="E1695" s="72" t="n"/>
      <c r="F1695" s="72" t="n"/>
      <c r="G1695" s="72" t="n"/>
      <c r="H1695" s="72" t="n"/>
      <c r="I1695" s="72" t="n"/>
      <c r="J1695" s="72" t="n"/>
      <c r="K1695" s="72" t="n"/>
      <c r="L1695" s="72" t="n"/>
      <c r="M1695" s="72" t="n"/>
      <c r="N1695" s="72" t="n"/>
      <c r="O1695" s="72" t="n"/>
      <c r="P1695" s="72" t="n"/>
      <c r="Q1695" s="72" t="n"/>
      <c r="R1695" s="72" t="n"/>
      <c r="S1695" s="72" t="n"/>
    </row>
    <row r="1696">
      <c r="B1696" s="72" t="n"/>
      <c r="C1696" s="72" t="n"/>
      <c r="D1696" s="72" t="n"/>
      <c r="E1696" s="72" t="n"/>
      <c r="F1696" s="72" t="n"/>
      <c r="G1696" s="72" t="n"/>
      <c r="H1696" s="72" t="n"/>
      <c r="I1696" s="72" t="n"/>
      <c r="J1696" s="72" t="n"/>
      <c r="K1696" s="72" t="n"/>
      <c r="L1696" s="72" t="n"/>
      <c r="M1696" s="72" t="n"/>
      <c r="N1696" s="72" t="n"/>
      <c r="O1696" s="72" t="n"/>
      <c r="P1696" s="72" t="n"/>
      <c r="Q1696" s="72" t="n"/>
      <c r="R1696" s="72" t="n"/>
      <c r="S1696" s="72" t="n"/>
    </row>
    <row r="1697">
      <c r="B1697" s="72" t="n"/>
      <c r="C1697" s="72" t="n"/>
      <c r="D1697" s="72" t="n"/>
      <c r="E1697" s="72" t="n"/>
      <c r="F1697" s="72" t="n"/>
      <c r="G1697" s="72" t="n"/>
      <c r="H1697" s="72" t="n"/>
      <c r="I1697" s="72" t="n"/>
      <c r="J1697" s="72" t="n"/>
      <c r="K1697" s="72" t="n"/>
      <c r="L1697" s="72" t="n"/>
      <c r="M1697" s="72" t="n"/>
      <c r="N1697" s="72" t="n"/>
      <c r="O1697" s="72" t="n"/>
      <c r="P1697" s="72" t="n"/>
      <c r="Q1697" s="72" t="n"/>
      <c r="R1697" s="72" t="n"/>
      <c r="S1697" s="72" t="n"/>
    </row>
    <row r="1698">
      <c r="B1698" s="72" t="n"/>
      <c r="C1698" s="72" t="n"/>
      <c r="D1698" s="72" t="n"/>
      <c r="E1698" s="72" t="n"/>
      <c r="F1698" s="72" t="n"/>
      <c r="G1698" s="72" t="n"/>
      <c r="H1698" s="72" t="n"/>
      <c r="I1698" s="72" t="n"/>
      <c r="J1698" s="72" t="n"/>
      <c r="K1698" s="72" t="n"/>
      <c r="L1698" s="72" t="n"/>
      <c r="M1698" s="72" t="n"/>
      <c r="N1698" s="72" t="n"/>
      <c r="O1698" s="72" t="n"/>
      <c r="P1698" s="72" t="n"/>
      <c r="Q1698" s="72" t="n"/>
      <c r="R1698" s="72" t="n"/>
      <c r="S1698" s="72" t="n"/>
    </row>
    <row r="1699">
      <c r="B1699" s="72" t="n"/>
      <c r="C1699" s="72" t="n"/>
      <c r="D1699" s="72" t="n"/>
      <c r="E1699" s="72" t="n"/>
      <c r="F1699" s="72" t="n"/>
      <c r="G1699" s="72" t="n"/>
      <c r="H1699" s="72" t="n"/>
      <c r="I1699" s="72" t="n"/>
      <c r="J1699" s="72" t="n"/>
      <c r="K1699" s="72" t="n"/>
      <c r="L1699" s="72" t="n"/>
      <c r="M1699" s="72" t="n"/>
      <c r="N1699" s="72" t="n"/>
      <c r="O1699" s="72" t="n"/>
      <c r="P1699" s="72" t="n"/>
      <c r="Q1699" s="72" t="n"/>
      <c r="R1699" s="72" t="n"/>
      <c r="S1699" s="72" t="n"/>
    </row>
    <row r="1700">
      <c r="B1700" s="72" t="n"/>
      <c r="C1700" s="72" t="n"/>
      <c r="D1700" s="72" t="n"/>
      <c r="E1700" s="72" t="n"/>
      <c r="F1700" s="72" t="n"/>
      <c r="G1700" s="72" t="n"/>
      <c r="H1700" s="72" t="n"/>
      <c r="I1700" s="72" t="n"/>
      <c r="J1700" s="72" t="n"/>
      <c r="K1700" s="72" t="n"/>
      <c r="L1700" s="72" t="n"/>
      <c r="M1700" s="72" t="n"/>
      <c r="N1700" s="72" t="n"/>
      <c r="O1700" s="72" t="n"/>
      <c r="P1700" s="72" t="n"/>
      <c r="Q1700" s="72" t="n"/>
      <c r="R1700" s="72" t="n"/>
      <c r="S1700" s="72" t="n"/>
    </row>
    <row r="1701">
      <c r="B1701" s="72" t="n"/>
      <c r="C1701" s="72" t="n"/>
      <c r="D1701" s="72" t="n"/>
      <c r="E1701" s="72" t="n"/>
      <c r="F1701" s="72" t="n"/>
      <c r="G1701" s="72" t="n"/>
      <c r="H1701" s="72" t="n"/>
      <c r="I1701" s="72" t="n"/>
      <c r="J1701" s="72" t="n"/>
      <c r="K1701" s="72" t="n"/>
      <c r="L1701" s="72" t="n"/>
      <c r="M1701" s="72" t="n"/>
      <c r="N1701" s="72" t="n"/>
      <c r="O1701" s="72" t="n"/>
      <c r="P1701" s="72" t="n"/>
      <c r="Q1701" s="72" t="n"/>
      <c r="R1701" s="72" t="n"/>
      <c r="S1701" s="72" t="n"/>
    </row>
    <row r="1702">
      <c r="B1702" s="72" t="n"/>
      <c r="C1702" s="72" t="n"/>
      <c r="D1702" s="72" t="n"/>
      <c r="E1702" s="72" t="n"/>
      <c r="F1702" s="72" t="n"/>
      <c r="G1702" s="72" t="n"/>
      <c r="H1702" s="72" t="n"/>
      <c r="I1702" s="72" t="n"/>
      <c r="J1702" s="72" t="n"/>
      <c r="K1702" s="72" t="n"/>
      <c r="L1702" s="72" t="n"/>
      <c r="M1702" s="72" t="n"/>
      <c r="N1702" s="72" t="n"/>
      <c r="O1702" s="72" t="n"/>
      <c r="P1702" s="72" t="n"/>
      <c r="Q1702" s="72" t="n"/>
      <c r="R1702" s="72" t="n"/>
      <c r="S1702" s="72" t="n"/>
    </row>
    <row r="1703">
      <c r="B1703" s="72" t="n"/>
      <c r="C1703" s="72" t="n"/>
      <c r="D1703" s="72" t="n"/>
      <c r="E1703" s="72" t="n"/>
      <c r="F1703" s="72" t="n"/>
      <c r="G1703" s="72" t="n"/>
      <c r="H1703" s="72" t="n"/>
      <c r="I1703" s="72" t="n"/>
      <c r="J1703" s="72" t="n"/>
      <c r="K1703" s="72" t="n"/>
      <c r="L1703" s="72" t="n"/>
      <c r="M1703" s="72" t="n"/>
      <c r="N1703" s="72" t="n"/>
      <c r="O1703" s="72" t="n"/>
      <c r="P1703" s="72" t="n"/>
      <c r="Q1703" s="72" t="n"/>
      <c r="R1703" s="72" t="n"/>
      <c r="S1703" s="72" t="n"/>
    </row>
    <row r="1704">
      <c r="B1704" s="72" t="n"/>
      <c r="C1704" s="72" t="n"/>
      <c r="D1704" s="72" t="n"/>
      <c r="E1704" s="72" t="n"/>
      <c r="F1704" s="72" t="n"/>
      <c r="G1704" s="72" t="n"/>
      <c r="H1704" s="72" t="n"/>
      <c r="I1704" s="72" t="n"/>
      <c r="J1704" s="72" t="n"/>
      <c r="K1704" s="72" t="n"/>
      <c r="L1704" s="72" t="n"/>
      <c r="M1704" s="72" t="n"/>
      <c r="N1704" s="72" t="n"/>
      <c r="O1704" s="72" t="n"/>
      <c r="P1704" s="72" t="n"/>
      <c r="Q1704" s="72" t="n"/>
      <c r="R1704" s="72" t="n"/>
      <c r="S1704" s="72" t="n"/>
    </row>
    <row r="1705">
      <c r="B1705" s="72" t="n"/>
      <c r="C1705" s="72" t="n"/>
      <c r="D1705" s="72" t="n"/>
      <c r="E1705" s="72" t="n"/>
      <c r="F1705" s="72" t="n"/>
      <c r="G1705" s="72" t="n"/>
      <c r="H1705" s="72" t="n"/>
      <c r="I1705" s="72" t="n"/>
      <c r="J1705" s="72" t="n"/>
      <c r="K1705" s="72" t="n"/>
      <c r="L1705" s="72" t="n"/>
      <c r="M1705" s="72" t="n"/>
      <c r="N1705" s="72" t="n"/>
      <c r="O1705" s="72" t="n"/>
      <c r="P1705" s="72" t="n"/>
      <c r="Q1705" s="72" t="n"/>
      <c r="R1705" s="72" t="n"/>
      <c r="S1705" s="72" t="n"/>
    </row>
    <row r="1706">
      <c r="B1706" s="72" t="n"/>
      <c r="C1706" s="72" t="n"/>
      <c r="D1706" s="72" t="n"/>
      <c r="E1706" s="72" t="n"/>
      <c r="F1706" s="72" t="n"/>
      <c r="G1706" s="72" t="n"/>
      <c r="H1706" s="72" t="n"/>
      <c r="I1706" s="72" t="n"/>
      <c r="J1706" s="72" t="n"/>
      <c r="K1706" s="72" t="n"/>
      <c r="L1706" s="72" t="n"/>
      <c r="M1706" s="72" t="n"/>
      <c r="N1706" s="72" t="n"/>
      <c r="O1706" s="72" t="n"/>
      <c r="P1706" s="72" t="n"/>
      <c r="Q1706" s="72" t="n"/>
      <c r="R1706" s="72" t="n"/>
      <c r="S1706" s="72" t="n"/>
    </row>
    <row r="1707">
      <c r="B1707" s="72" t="n"/>
      <c r="C1707" s="72" t="n"/>
      <c r="D1707" s="72" t="n"/>
      <c r="E1707" s="72" t="n"/>
      <c r="F1707" s="72" t="n"/>
      <c r="G1707" s="72" t="n"/>
      <c r="H1707" s="72" t="n"/>
      <c r="I1707" s="72" t="n"/>
      <c r="J1707" s="72" t="n"/>
      <c r="K1707" s="72" t="n"/>
      <c r="L1707" s="72" t="n"/>
      <c r="M1707" s="72" t="n"/>
      <c r="N1707" s="72" t="n"/>
      <c r="O1707" s="72" t="n"/>
      <c r="P1707" s="72" t="n"/>
      <c r="Q1707" s="72" t="n"/>
      <c r="R1707" s="72" t="n"/>
      <c r="S1707" s="72" t="n"/>
    </row>
    <row r="1708">
      <c r="B1708" s="72" t="n"/>
      <c r="C1708" s="72" t="n"/>
      <c r="D1708" s="72" t="n"/>
      <c r="E1708" s="72" t="n"/>
      <c r="F1708" s="72" t="n"/>
      <c r="G1708" s="72" t="n"/>
      <c r="H1708" s="72" t="n"/>
      <c r="I1708" s="72" t="n"/>
      <c r="J1708" s="72" t="n"/>
      <c r="K1708" s="72" t="n"/>
      <c r="L1708" s="72" t="n"/>
      <c r="M1708" s="72" t="n"/>
      <c r="N1708" s="72" t="n"/>
      <c r="O1708" s="72" t="n"/>
      <c r="P1708" s="72" t="n"/>
      <c r="Q1708" s="72" t="n"/>
      <c r="R1708" s="72" t="n"/>
      <c r="S1708" s="72" t="n"/>
    </row>
    <row r="1709">
      <c r="B1709" s="72" t="n"/>
      <c r="C1709" s="72" t="n"/>
      <c r="D1709" s="72" t="n"/>
      <c r="E1709" s="72" t="n"/>
      <c r="F1709" s="72" t="n"/>
      <c r="G1709" s="72" t="n"/>
      <c r="H1709" s="72" t="n"/>
      <c r="I1709" s="72" t="n"/>
      <c r="J1709" s="72" t="n"/>
      <c r="K1709" s="72" t="n"/>
      <c r="L1709" s="72" t="n"/>
      <c r="M1709" s="72" t="n"/>
      <c r="N1709" s="72" t="n"/>
      <c r="O1709" s="72" t="n"/>
      <c r="P1709" s="72" t="n"/>
      <c r="Q1709" s="72" t="n"/>
      <c r="R1709" s="72" t="n"/>
      <c r="S1709" s="72" t="n"/>
    </row>
    <row r="1710">
      <c r="B1710" s="72" t="n"/>
      <c r="C1710" s="72" t="n"/>
      <c r="D1710" s="72" t="n"/>
      <c r="E1710" s="72" t="n"/>
      <c r="F1710" s="72" t="n"/>
      <c r="G1710" s="72" t="n"/>
      <c r="H1710" s="72" t="n"/>
      <c r="I1710" s="72" t="n"/>
      <c r="J1710" s="72" t="n"/>
      <c r="K1710" s="72" t="n"/>
      <c r="L1710" s="72" t="n"/>
      <c r="M1710" s="72" t="n"/>
      <c r="N1710" s="72" t="n"/>
      <c r="O1710" s="72" t="n"/>
      <c r="P1710" s="72" t="n"/>
      <c r="Q1710" s="72" t="n"/>
      <c r="R1710" s="72" t="n"/>
      <c r="S1710" s="72" t="n"/>
    </row>
    <row r="1711">
      <c r="B1711" s="72" t="n"/>
      <c r="C1711" s="72" t="n"/>
      <c r="D1711" s="72" t="n"/>
      <c r="E1711" s="72" t="n"/>
      <c r="F1711" s="72" t="n"/>
      <c r="G1711" s="72" t="n"/>
      <c r="H1711" s="72" t="n"/>
      <c r="I1711" s="72" t="n"/>
      <c r="J1711" s="72" t="n"/>
      <c r="K1711" s="72" t="n"/>
      <c r="L1711" s="72" t="n"/>
      <c r="M1711" s="72" t="n"/>
      <c r="N1711" s="72" t="n"/>
      <c r="O1711" s="72" t="n"/>
      <c r="P1711" s="72" t="n"/>
      <c r="Q1711" s="72" t="n"/>
      <c r="R1711" s="72" t="n"/>
      <c r="S1711" s="72" t="n"/>
    </row>
    <row r="1712">
      <c r="B1712" s="72" t="n"/>
      <c r="C1712" s="72" t="n"/>
      <c r="D1712" s="72" t="n"/>
      <c r="E1712" s="72" t="n"/>
      <c r="F1712" s="72" t="n"/>
      <c r="G1712" s="72" t="n"/>
      <c r="H1712" s="72" t="n"/>
      <c r="I1712" s="72" t="n"/>
      <c r="J1712" s="72" t="n"/>
      <c r="K1712" s="72" t="n"/>
      <c r="L1712" s="72" t="n"/>
      <c r="M1712" s="72" t="n"/>
      <c r="N1712" s="72" t="n"/>
      <c r="O1712" s="72" t="n"/>
      <c r="P1712" s="72" t="n"/>
      <c r="Q1712" s="72" t="n"/>
      <c r="R1712" s="72" t="n"/>
      <c r="S1712" s="72" t="n"/>
    </row>
    <row r="1713">
      <c r="B1713" s="72" t="n"/>
      <c r="C1713" s="72" t="n"/>
      <c r="D1713" s="72" t="n"/>
      <c r="E1713" s="72" t="n"/>
      <c r="F1713" s="72" t="n"/>
      <c r="G1713" s="72" t="n"/>
      <c r="H1713" s="72" t="n"/>
      <c r="I1713" s="72" t="n"/>
      <c r="J1713" s="72" t="n"/>
      <c r="K1713" s="72" t="n"/>
      <c r="L1713" s="72" t="n"/>
      <c r="M1713" s="72" t="n"/>
      <c r="N1713" s="72" t="n"/>
      <c r="O1713" s="72" t="n"/>
      <c r="P1713" s="72" t="n"/>
      <c r="Q1713" s="72" t="n"/>
      <c r="R1713" s="72" t="n"/>
      <c r="S1713" s="72" t="n"/>
    </row>
    <row r="1714">
      <c r="B1714" s="72" t="n"/>
      <c r="C1714" s="72" t="n"/>
      <c r="D1714" s="72" t="n"/>
      <c r="E1714" s="72" t="n"/>
      <c r="F1714" s="72" t="n"/>
      <c r="G1714" s="72" t="n"/>
      <c r="H1714" s="72" t="n"/>
      <c r="I1714" s="72" t="n"/>
      <c r="J1714" s="72" t="n"/>
      <c r="K1714" s="72" t="n"/>
      <c r="L1714" s="72" t="n"/>
      <c r="M1714" s="72" t="n"/>
      <c r="N1714" s="72" t="n"/>
      <c r="O1714" s="72" t="n"/>
      <c r="P1714" s="72" t="n"/>
      <c r="Q1714" s="72" t="n"/>
      <c r="R1714" s="72" t="n"/>
      <c r="S1714" s="72" t="n"/>
    </row>
    <row r="1715">
      <c r="B1715" s="72" t="n"/>
      <c r="C1715" s="72" t="n"/>
      <c r="D1715" s="72" t="n"/>
      <c r="E1715" s="72" t="n"/>
      <c r="F1715" s="72" t="n"/>
      <c r="G1715" s="72" t="n"/>
      <c r="H1715" s="72" t="n"/>
      <c r="I1715" s="72" t="n"/>
      <c r="J1715" s="72" t="n"/>
      <c r="K1715" s="72" t="n"/>
      <c r="L1715" s="72" t="n"/>
      <c r="M1715" s="72" t="n"/>
      <c r="N1715" s="72" t="n"/>
      <c r="O1715" s="72" t="n"/>
      <c r="P1715" s="72" t="n"/>
      <c r="Q1715" s="72" t="n"/>
      <c r="R1715" s="72" t="n"/>
      <c r="S1715" s="72" t="n"/>
    </row>
    <row r="1716">
      <c r="B1716" s="72" t="n"/>
      <c r="C1716" s="72" t="n"/>
      <c r="D1716" s="72" t="n"/>
      <c r="E1716" s="72" t="n"/>
      <c r="F1716" s="72" t="n"/>
      <c r="G1716" s="72" t="n"/>
      <c r="H1716" s="72" t="n"/>
      <c r="I1716" s="72" t="n"/>
      <c r="J1716" s="72" t="n"/>
      <c r="K1716" s="72" t="n"/>
      <c r="L1716" s="72" t="n"/>
      <c r="M1716" s="72" t="n"/>
      <c r="N1716" s="72" t="n"/>
      <c r="O1716" s="72" t="n"/>
      <c r="P1716" s="72" t="n"/>
      <c r="Q1716" s="72" t="n"/>
      <c r="R1716" s="72" t="n"/>
      <c r="S1716" s="72" t="n"/>
    </row>
    <row r="1717">
      <c r="B1717" s="72" t="n"/>
      <c r="C1717" s="72" t="n"/>
      <c r="D1717" s="72" t="n"/>
      <c r="E1717" s="72" t="n"/>
      <c r="F1717" s="72" t="n"/>
      <c r="G1717" s="72" t="n"/>
      <c r="H1717" s="72" t="n"/>
      <c r="I1717" s="72" t="n"/>
      <c r="J1717" s="72" t="n"/>
      <c r="K1717" s="72" t="n"/>
      <c r="L1717" s="72" t="n"/>
      <c r="M1717" s="72" t="n"/>
      <c r="N1717" s="72" t="n"/>
      <c r="O1717" s="72" t="n"/>
      <c r="P1717" s="72" t="n"/>
      <c r="Q1717" s="72" t="n"/>
      <c r="R1717" s="72" t="n"/>
      <c r="S1717" s="72" t="n"/>
    </row>
    <row r="1718">
      <c r="B1718" s="72" t="n"/>
      <c r="C1718" s="72" t="n"/>
      <c r="D1718" s="72" t="n"/>
      <c r="E1718" s="72" t="n"/>
      <c r="F1718" s="72" t="n"/>
      <c r="G1718" s="72" t="n"/>
      <c r="H1718" s="72" t="n"/>
      <c r="I1718" s="72" t="n"/>
      <c r="J1718" s="72" t="n"/>
      <c r="K1718" s="72" t="n"/>
      <c r="L1718" s="72" t="n"/>
      <c r="M1718" s="72" t="n"/>
      <c r="N1718" s="72" t="n"/>
      <c r="O1718" s="72" t="n"/>
      <c r="P1718" s="72" t="n"/>
      <c r="Q1718" s="72" t="n"/>
      <c r="R1718" s="72" t="n"/>
      <c r="S1718" s="72" t="n"/>
    </row>
    <row r="1719">
      <c r="B1719" s="72" t="n"/>
      <c r="C1719" s="72" t="n"/>
      <c r="D1719" s="72" t="n"/>
      <c r="E1719" s="72" t="n"/>
      <c r="F1719" s="72" t="n"/>
      <c r="G1719" s="72" t="n"/>
      <c r="H1719" s="72" t="n"/>
      <c r="I1719" s="72" t="n"/>
      <c r="J1719" s="72" t="n"/>
      <c r="K1719" s="72" t="n"/>
      <c r="L1719" s="72" t="n"/>
      <c r="M1719" s="72" t="n"/>
      <c r="N1719" s="72" t="n"/>
      <c r="O1719" s="72" t="n"/>
      <c r="P1719" s="72" t="n"/>
      <c r="Q1719" s="72" t="n"/>
      <c r="R1719" s="72" t="n"/>
      <c r="S1719" s="72" t="n"/>
    </row>
    <row r="1720">
      <c r="B1720" s="72" t="n"/>
      <c r="C1720" s="72" t="n"/>
      <c r="D1720" s="72" t="n"/>
      <c r="E1720" s="72" t="n"/>
      <c r="F1720" s="72" t="n"/>
      <c r="G1720" s="72" t="n"/>
      <c r="H1720" s="72" t="n"/>
      <c r="I1720" s="72" t="n"/>
      <c r="J1720" s="72" t="n"/>
      <c r="K1720" s="72" t="n"/>
      <c r="L1720" s="72" t="n"/>
      <c r="M1720" s="72" t="n"/>
      <c r="N1720" s="72" t="n"/>
      <c r="O1720" s="72" t="n"/>
      <c r="P1720" s="72" t="n"/>
      <c r="Q1720" s="72" t="n"/>
      <c r="R1720" s="72" t="n"/>
      <c r="S1720" s="72" t="n"/>
    </row>
    <row r="1721">
      <c r="B1721" s="72" t="n"/>
      <c r="C1721" s="72" t="n"/>
      <c r="D1721" s="72" t="n"/>
      <c r="E1721" s="72" t="n"/>
      <c r="F1721" s="72" t="n"/>
      <c r="G1721" s="72" t="n"/>
      <c r="H1721" s="72" t="n"/>
      <c r="I1721" s="72" t="n"/>
      <c r="J1721" s="72" t="n"/>
      <c r="K1721" s="72" t="n"/>
      <c r="L1721" s="72" t="n"/>
      <c r="M1721" s="72" t="n"/>
      <c r="N1721" s="72" t="n"/>
      <c r="O1721" s="72" t="n"/>
      <c r="P1721" s="72" t="n"/>
      <c r="Q1721" s="72" t="n"/>
      <c r="R1721" s="72" t="n"/>
      <c r="S1721" s="72" t="n"/>
    </row>
    <row r="1722">
      <c r="B1722" s="72" t="n"/>
      <c r="C1722" s="72" t="n"/>
      <c r="D1722" s="72" t="n"/>
      <c r="E1722" s="72" t="n"/>
      <c r="F1722" s="72" t="n"/>
      <c r="G1722" s="72" t="n"/>
      <c r="H1722" s="72" t="n"/>
      <c r="I1722" s="72" t="n"/>
      <c r="J1722" s="72" t="n"/>
      <c r="K1722" s="72" t="n"/>
      <c r="L1722" s="72" t="n"/>
      <c r="M1722" s="72" t="n"/>
      <c r="N1722" s="72" t="n"/>
      <c r="O1722" s="72" t="n"/>
      <c r="P1722" s="72" t="n"/>
      <c r="Q1722" s="72" t="n"/>
      <c r="R1722" s="72" t="n"/>
      <c r="S1722" s="72" t="n"/>
    </row>
    <row r="1723">
      <c r="B1723" s="72" t="n"/>
      <c r="C1723" s="72" t="n"/>
      <c r="D1723" s="72" t="n"/>
      <c r="E1723" s="72" t="n"/>
      <c r="F1723" s="72" t="n"/>
      <c r="G1723" s="72" t="n"/>
      <c r="H1723" s="72" t="n"/>
      <c r="I1723" s="72" t="n"/>
      <c r="J1723" s="72" t="n"/>
      <c r="K1723" s="72" t="n"/>
      <c r="L1723" s="72" t="n"/>
      <c r="M1723" s="72" t="n"/>
      <c r="N1723" s="72" t="n"/>
      <c r="O1723" s="72" t="n"/>
      <c r="P1723" s="72" t="n"/>
      <c r="Q1723" s="72" t="n"/>
      <c r="R1723" s="72" t="n"/>
      <c r="S1723" s="72" t="n"/>
    </row>
    <row r="1724">
      <c r="B1724" s="72" t="n"/>
      <c r="C1724" s="72" t="n"/>
      <c r="D1724" s="72" t="n"/>
      <c r="E1724" s="72" t="n"/>
      <c r="F1724" s="72" t="n"/>
      <c r="G1724" s="72" t="n"/>
      <c r="H1724" s="72" t="n"/>
      <c r="I1724" s="72" t="n"/>
      <c r="J1724" s="72" t="n"/>
      <c r="K1724" s="72" t="n"/>
      <c r="L1724" s="72" t="n"/>
      <c r="M1724" s="72" t="n"/>
      <c r="N1724" s="72" t="n"/>
      <c r="O1724" s="72" t="n"/>
      <c r="P1724" s="72" t="n"/>
      <c r="Q1724" s="72" t="n"/>
      <c r="R1724" s="72" t="n"/>
      <c r="S1724" s="72" t="n"/>
    </row>
    <row r="1725">
      <c r="B1725" s="72" t="n"/>
      <c r="C1725" s="72" t="n"/>
      <c r="D1725" s="72" t="n"/>
      <c r="E1725" s="72" t="n"/>
      <c r="F1725" s="72" t="n"/>
      <c r="G1725" s="72" t="n"/>
      <c r="H1725" s="72" t="n"/>
      <c r="I1725" s="72" t="n"/>
      <c r="J1725" s="72" t="n"/>
      <c r="K1725" s="72" t="n"/>
      <c r="L1725" s="72" t="n"/>
      <c r="M1725" s="72" t="n"/>
      <c r="N1725" s="72" t="n"/>
      <c r="O1725" s="72" t="n"/>
      <c r="P1725" s="72" t="n"/>
      <c r="Q1725" s="72" t="n"/>
      <c r="R1725" s="72" t="n"/>
      <c r="S1725" s="72" t="n"/>
    </row>
    <row r="1726">
      <c r="B1726" s="72" t="n"/>
      <c r="C1726" s="72" t="n"/>
      <c r="D1726" s="72" t="n"/>
      <c r="E1726" s="72" t="n"/>
      <c r="F1726" s="72" t="n"/>
      <c r="G1726" s="72" t="n"/>
      <c r="H1726" s="72" t="n"/>
      <c r="I1726" s="72" t="n"/>
      <c r="J1726" s="72" t="n"/>
      <c r="K1726" s="72" t="n"/>
      <c r="L1726" s="72" t="n"/>
      <c r="M1726" s="72" t="n"/>
      <c r="N1726" s="72" t="n"/>
      <c r="O1726" s="72" t="n"/>
      <c r="P1726" s="72" t="n"/>
      <c r="Q1726" s="72" t="n"/>
      <c r="R1726" s="72" t="n"/>
      <c r="S1726" s="72" t="n"/>
    </row>
    <row r="1727">
      <c r="B1727" s="72" t="n"/>
      <c r="C1727" s="72" t="n"/>
      <c r="D1727" s="72" t="n"/>
      <c r="E1727" s="72" t="n"/>
      <c r="F1727" s="72" t="n"/>
      <c r="G1727" s="72" t="n"/>
      <c r="H1727" s="72" t="n"/>
      <c r="I1727" s="72" t="n"/>
      <c r="J1727" s="72" t="n"/>
      <c r="K1727" s="72" t="n"/>
      <c r="L1727" s="72" t="n"/>
      <c r="M1727" s="72" t="n"/>
      <c r="N1727" s="72" t="n"/>
      <c r="O1727" s="72" t="n"/>
      <c r="P1727" s="72" t="n"/>
      <c r="Q1727" s="72" t="n"/>
      <c r="R1727" s="72" t="n"/>
      <c r="S1727" s="72" t="n"/>
    </row>
    <row r="1728">
      <c r="B1728" s="72" t="n"/>
      <c r="C1728" s="72" t="n"/>
      <c r="D1728" s="72" t="n"/>
      <c r="E1728" s="72" t="n"/>
      <c r="F1728" s="72" t="n"/>
      <c r="G1728" s="72" t="n"/>
      <c r="H1728" s="72" t="n"/>
      <c r="I1728" s="72" t="n"/>
      <c r="J1728" s="72" t="n"/>
      <c r="K1728" s="72" t="n"/>
      <c r="L1728" s="72" t="n"/>
      <c r="M1728" s="72" t="n"/>
      <c r="N1728" s="72" t="n"/>
      <c r="O1728" s="72" t="n"/>
      <c r="P1728" s="72" t="n"/>
      <c r="Q1728" s="72" t="n"/>
      <c r="R1728" s="72" t="n"/>
      <c r="S1728" s="72" t="n"/>
    </row>
    <row r="1729">
      <c r="B1729" s="72" t="n"/>
      <c r="C1729" s="72" t="n"/>
      <c r="D1729" s="72" t="n"/>
      <c r="E1729" s="72" t="n"/>
      <c r="F1729" s="72" t="n"/>
      <c r="G1729" s="72" t="n"/>
      <c r="H1729" s="72" t="n"/>
      <c r="I1729" s="72" t="n"/>
      <c r="J1729" s="72" t="n"/>
      <c r="K1729" s="72" t="n"/>
      <c r="L1729" s="72" t="n"/>
      <c r="M1729" s="72" t="n"/>
      <c r="N1729" s="72" t="n"/>
      <c r="O1729" s="72" t="n"/>
      <c r="P1729" s="72" t="n"/>
      <c r="Q1729" s="72" t="n"/>
      <c r="R1729" s="72" t="n"/>
      <c r="S1729" s="72" t="n"/>
    </row>
    <row r="1730">
      <c r="B1730" s="72" t="n"/>
      <c r="C1730" s="72" t="n"/>
      <c r="D1730" s="72" t="n"/>
      <c r="E1730" s="72" t="n"/>
      <c r="F1730" s="72" t="n"/>
      <c r="G1730" s="72" t="n"/>
      <c r="H1730" s="72" t="n"/>
      <c r="I1730" s="72" t="n"/>
      <c r="J1730" s="72" t="n"/>
      <c r="K1730" s="72" t="n"/>
      <c r="L1730" s="72" t="n"/>
      <c r="M1730" s="72" t="n"/>
      <c r="N1730" s="72" t="n"/>
      <c r="O1730" s="72" t="n"/>
      <c r="P1730" s="72" t="n"/>
      <c r="Q1730" s="72" t="n"/>
      <c r="R1730" s="72" t="n"/>
      <c r="S1730" s="72" t="n"/>
    </row>
    <row r="1731">
      <c r="B1731" s="72" t="n"/>
      <c r="C1731" s="72" t="n"/>
      <c r="D1731" s="72" t="n"/>
      <c r="E1731" s="72" t="n"/>
      <c r="F1731" s="72" t="n"/>
      <c r="G1731" s="72" t="n"/>
      <c r="H1731" s="72" t="n"/>
      <c r="I1731" s="72" t="n"/>
      <c r="J1731" s="72" t="n"/>
      <c r="K1731" s="72" t="n"/>
      <c r="L1731" s="72" t="n"/>
      <c r="M1731" s="72" t="n"/>
      <c r="N1731" s="72" t="n"/>
      <c r="O1731" s="72" t="n"/>
      <c r="P1731" s="72" t="n"/>
      <c r="Q1731" s="72" t="n"/>
      <c r="R1731" s="72" t="n"/>
      <c r="S1731" s="72" t="n"/>
    </row>
    <row r="1732">
      <c r="B1732" s="72" t="n"/>
      <c r="C1732" s="72" t="n"/>
      <c r="D1732" s="72" t="n"/>
      <c r="E1732" s="72" t="n"/>
      <c r="F1732" s="72" t="n"/>
      <c r="G1732" s="72" t="n"/>
      <c r="H1732" s="72" t="n"/>
      <c r="I1732" s="72" t="n"/>
      <c r="J1732" s="72" t="n"/>
      <c r="K1732" s="72" t="n"/>
      <c r="L1732" s="72" t="n"/>
      <c r="M1732" s="72" t="n"/>
      <c r="N1732" s="72" t="n"/>
      <c r="O1732" s="72" t="n"/>
      <c r="P1732" s="72" t="n"/>
      <c r="Q1732" s="72" t="n"/>
      <c r="R1732" s="72" t="n"/>
      <c r="S1732" s="72" t="n"/>
    </row>
    <row r="1733">
      <c r="B1733" s="72" t="n"/>
      <c r="C1733" s="72" t="n"/>
      <c r="D1733" s="72" t="n"/>
      <c r="E1733" s="72" t="n"/>
      <c r="F1733" s="72" t="n"/>
      <c r="G1733" s="72" t="n"/>
      <c r="H1733" s="72" t="n"/>
      <c r="I1733" s="72" t="n"/>
      <c r="J1733" s="72" t="n"/>
      <c r="K1733" s="72" t="n"/>
      <c r="L1733" s="72" t="n"/>
      <c r="M1733" s="72" t="n"/>
      <c r="N1733" s="72" t="n"/>
      <c r="O1733" s="72" t="n"/>
      <c r="P1733" s="72" t="n"/>
      <c r="Q1733" s="72" t="n"/>
      <c r="R1733" s="72" t="n"/>
      <c r="S1733" s="72" t="n"/>
    </row>
    <row r="1734">
      <c r="B1734" s="72" t="n"/>
      <c r="C1734" s="72" t="n"/>
      <c r="D1734" s="72" t="n"/>
      <c r="E1734" s="72" t="n"/>
      <c r="F1734" s="72" t="n"/>
      <c r="G1734" s="72" t="n"/>
      <c r="H1734" s="72" t="n"/>
      <c r="I1734" s="72" t="n"/>
      <c r="J1734" s="72" t="n"/>
      <c r="K1734" s="72" t="n"/>
      <c r="L1734" s="72" t="n"/>
      <c r="M1734" s="72" t="n"/>
      <c r="N1734" s="72" t="n"/>
      <c r="O1734" s="72" t="n"/>
      <c r="P1734" s="72" t="n"/>
      <c r="Q1734" s="72" t="n"/>
      <c r="R1734" s="72" t="n"/>
      <c r="S1734" s="72" t="n"/>
    </row>
    <row r="1735">
      <c r="B1735" s="72" t="n"/>
      <c r="C1735" s="72" t="n"/>
      <c r="D1735" s="72" t="n"/>
      <c r="E1735" s="72" t="n"/>
      <c r="F1735" s="72" t="n"/>
      <c r="G1735" s="72" t="n"/>
      <c r="H1735" s="72" t="n"/>
      <c r="I1735" s="72" t="n"/>
      <c r="J1735" s="72" t="n"/>
      <c r="K1735" s="72" t="n"/>
      <c r="L1735" s="72" t="n"/>
      <c r="M1735" s="72" t="n"/>
      <c r="N1735" s="72" t="n"/>
      <c r="O1735" s="72" t="n"/>
      <c r="P1735" s="72" t="n"/>
      <c r="Q1735" s="72" t="n"/>
      <c r="R1735" s="72" t="n"/>
      <c r="S1735" s="72" t="n"/>
    </row>
    <row r="1736">
      <c r="B1736" s="72" t="n"/>
      <c r="C1736" s="72" t="n"/>
      <c r="D1736" s="72" t="n"/>
      <c r="E1736" s="72" t="n"/>
      <c r="F1736" s="72" t="n"/>
      <c r="G1736" s="72" t="n"/>
      <c r="H1736" s="72" t="n"/>
      <c r="I1736" s="72" t="n"/>
      <c r="J1736" s="72" t="n"/>
      <c r="K1736" s="72" t="n"/>
      <c r="L1736" s="72" t="n"/>
      <c r="M1736" s="72" t="n"/>
      <c r="N1736" s="72" t="n"/>
      <c r="O1736" s="72" t="n"/>
      <c r="P1736" s="72" t="n"/>
      <c r="Q1736" s="72" t="n"/>
      <c r="R1736" s="72" t="n"/>
      <c r="S1736" s="72" t="n"/>
    </row>
    <row r="1737">
      <c r="B1737" s="72" t="n"/>
      <c r="C1737" s="72" t="n"/>
      <c r="D1737" s="72" t="n"/>
      <c r="E1737" s="72" t="n"/>
      <c r="F1737" s="72" t="n"/>
      <c r="G1737" s="72" t="n"/>
      <c r="H1737" s="72" t="n"/>
      <c r="I1737" s="72" t="n"/>
      <c r="J1737" s="72" t="n"/>
      <c r="K1737" s="72" t="n"/>
      <c r="L1737" s="72" t="n"/>
      <c r="M1737" s="72" t="n"/>
      <c r="N1737" s="72" t="n"/>
      <c r="O1737" s="72" t="n"/>
      <c r="P1737" s="72" t="n"/>
      <c r="Q1737" s="72" t="n"/>
      <c r="R1737" s="72" t="n"/>
      <c r="S1737" s="72" t="n"/>
    </row>
    <row r="1738">
      <c r="B1738" s="72" t="n"/>
      <c r="C1738" s="72" t="n"/>
      <c r="D1738" s="72" t="n"/>
      <c r="E1738" s="72" t="n"/>
      <c r="F1738" s="72" t="n"/>
      <c r="G1738" s="72" t="n"/>
      <c r="H1738" s="72" t="n"/>
      <c r="I1738" s="72" t="n"/>
      <c r="J1738" s="72" t="n"/>
      <c r="K1738" s="72" t="n"/>
      <c r="L1738" s="72" t="n"/>
      <c r="M1738" s="72" t="n"/>
      <c r="N1738" s="72" t="n"/>
      <c r="O1738" s="72" t="n"/>
      <c r="P1738" s="72" t="n"/>
      <c r="Q1738" s="72" t="n"/>
      <c r="R1738" s="72" t="n"/>
      <c r="S1738" s="72" t="n"/>
    </row>
    <row r="1739">
      <c r="B1739" s="72" t="n"/>
      <c r="C1739" s="72" t="n"/>
      <c r="D1739" s="72" t="n"/>
      <c r="E1739" s="72" t="n"/>
      <c r="F1739" s="72" t="n"/>
      <c r="G1739" s="72" t="n"/>
      <c r="H1739" s="72" t="n"/>
      <c r="I1739" s="72" t="n"/>
      <c r="J1739" s="72" t="n"/>
      <c r="K1739" s="72" t="n"/>
      <c r="L1739" s="72" t="n"/>
      <c r="M1739" s="72" t="n"/>
      <c r="N1739" s="72" t="n"/>
      <c r="O1739" s="72" t="n"/>
      <c r="P1739" s="72" t="n"/>
      <c r="Q1739" s="72" t="n"/>
      <c r="R1739" s="72" t="n"/>
      <c r="S1739" s="72" t="n"/>
    </row>
    <row r="1740">
      <c r="B1740" s="72" t="n"/>
      <c r="C1740" s="72" t="n"/>
      <c r="D1740" s="72" t="n"/>
      <c r="E1740" s="72" t="n"/>
      <c r="F1740" s="72" t="n"/>
      <c r="G1740" s="72" t="n"/>
      <c r="H1740" s="72" t="n"/>
      <c r="I1740" s="72" t="n"/>
      <c r="J1740" s="72" t="n"/>
      <c r="K1740" s="72" t="n"/>
      <c r="L1740" s="72" t="n"/>
      <c r="M1740" s="72" t="n"/>
      <c r="N1740" s="72" t="n"/>
      <c r="O1740" s="72" t="n"/>
      <c r="P1740" s="72" t="n"/>
      <c r="Q1740" s="72" t="n"/>
      <c r="R1740" s="72" t="n"/>
      <c r="S1740" s="72" t="n"/>
    </row>
    <row r="1741">
      <c r="B1741" s="72" t="n"/>
      <c r="C1741" s="72" t="n"/>
      <c r="D1741" s="72" t="n"/>
      <c r="E1741" s="72" t="n"/>
      <c r="F1741" s="72" t="n"/>
      <c r="G1741" s="72" t="n"/>
      <c r="H1741" s="72" t="n"/>
      <c r="I1741" s="72" t="n"/>
      <c r="J1741" s="72" t="n"/>
      <c r="K1741" s="72" t="n"/>
      <c r="L1741" s="72" t="n"/>
      <c r="M1741" s="72" t="n"/>
      <c r="N1741" s="72" t="n"/>
      <c r="O1741" s="72" t="n"/>
      <c r="P1741" s="72" t="n"/>
      <c r="Q1741" s="72" t="n"/>
      <c r="R1741" s="72" t="n"/>
      <c r="S1741" s="72" t="n"/>
    </row>
    <row r="1742">
      <c r="B1742" s="72" t="n"/>
      <c r="C1742" s="72" t="n"/>
      <c r="D1742" s="72" t="n"/>
      <c r="E1742" s="72" t="n"/>
      <c r="F1742" s="72" t="n"/>
      <c r="G1742" s="72" t="n"/>
      <c r="H1742" s="72" t="n"/>
      <c r="I1742" s="72" t="n"/>
      <c r="J1742" s="72" t="n"/>
      <c r="K1742" s="72" t="n"/>
      <c r="L1742" s="72" t="n"/>
      <c r="M1742" s="72" t="n"/>
      <c r="N1742" s="72" t="n"/>
      <c r="O1742" s="72" t="n"/>
      <c r="P1742" s="72" t="n"/>
      <c r="Q1742" s="72" t="n"/>
      <c r="R1742" s="72" t="n"/>
      <c r="S1742" s="72" t="n"/>
    </row>
    <row r="1743">
      <c r="B1743" s="72" t="n"/>
      <c r="C1743" s="72" t="n"/>
      <c r="D1743" s="72" t="n"/>
      <c r="E1743" s="72" t="n"/>
      <c r="F1743" s="72" t="n"/>
      <c r="G1743" s="72" t="n"/>
      <c r="H1743" s="72" t="n"/>
      <c r="I1743" s="72" t="n"/>
      <c r="J1743" s="72" t="n"/>
      <c r="K1743" s="72" t="n"/>
      <c r="L1743" s="72" t="n"/>
      <c r="M1743" s="72" t="n"/>
      <c r="N1743" s="72" t="n"/>
      <c r="O1743" s="72" t="n"/>
      <c r="P1743" s="72" t="n"/>
      <c r="Q1743" s="72" t="n"/>
      <c r="R1743" s="72" t="n"/>
      <c r="S1743" s="72" t="n"/>
    </row>
    <row r="1744">
      <c r="B1744" s="72" t="n"/>
      <c r="C1744" s="72" t="n"/>
      <c r="D1744" s="72" t="n"/>
      <c r="E1744" s="72" t="n"/>
      <c r="F1744" s="72" t="n"/>
      <c r="G1744" s="72" t="n"/>
      <c r="H1744" s="72" t="n"/>
      <c r="I1744" s="72" t="n"/>
      <c r="J1744" s="72" t="n"/>
      <c r="K1744" s="72" t="n"/>
      <c r="L1744" s="72" t="n"/>
      <c r="M1744" s="72" t="n"/>
      <c r="N1744" s="72" t="n"/>
      <c r="O1744" s="72" t="n"/>
      <c r="P1744" s="72" t="n"/>
      <c r="Q1744" s="72" t="n"/>
      <c r="R1744" s="72" t="n"/>
      <c r="S1744" s="72" t="n"/>
    </row>
    <row r="1745">
      <c r="B1745" s="72" t="n"/>
      <c r="C1745" s="72" t="n"/>
      <c r="D1745" s="72" t="n"/>
      <c r="E1745" s="72" t="n"/>
      <c r="F1745" s="72" t="n"/>
      <c r="G1745" s="72" t="n"/>
      <c r="H1745" s="72" t="n"/>
      <c r="I1745" s="72" t="n"/>
      <c r="J1745" s="72" t="n"/>
      <c r="K1745" s="72" t="n"/>
      <c r="L1745" s="72" t="n"/>
      <c r="M1745" s="72" t="n"/>
      <c r="N1745" s="72" t="n"/>
      <c r="O1745" s="72" t="n"/>
      <c r="P1745" s="72" t="n"/>
      <c r="Q1745" s="72" t="n"/>
      <c r="R1745" s="72" t="n"/>
      <c r="S1745" s="72" t="n"/>
    </row>
    <row r="1746">
      <c r="B1746" s="72" t="n"/>
      <c r="C1746" s="72" t="n"/>
      <c r="D1746" s="72" t="n"/>
      <c r="E1746" s="72" t="n"/>
      <c r="F1746" s="72" t="n"/>
      <c r="G1746" s="72" t="n"/>
      <c r="H1746" s="72" t="n"/>
      <c r="I1746" s="72" t="n"/>
      <c r="J1746" s="72" t="n"/>
      <c r="K1746" s="72" t="n"/>
      <c r="L1746" s="72" t="n"/>
      <c r="M1746" s="72" t="n"/>
      <c r="N1746" s="72" t="n"/>
      <c r="O1746" s="72" t="n"/>
      <c r="P1746" s="72" t="n"/>
      <c r="Q1746" s="72" t="n"/>
      <c r="R1746" s="72" t="n"/>
      <c r="S1746" s="72" t="n"/>
    </row>
    <row r="1747">
      <c r="B1747" s="72" t="n"/>
      <c r="C1747" s="72" t="n"/>
      <c r="D1747" s="72" t="n"/>
      <c r="E1747" s="72" t="n"/>
      <c r="F1747" s="72" t="n"/>
      <c r="G1747" s="72" t="n"/>
      <c r="H1747" s="72" t="n"/>
      <c r="I1747" s="72" t="n"/>
      <c r="J1747" s="72" t="n"/>
      <c r="K1747" s="72" t="n"/>
      <c r="L1747" s="72" t="n"/>
      <c r="M1747" s="72" t="n"/>
      <c r="N1747" s="72" t="n"/>
      <c r="O1747" s="72" t="n"/>
      <c r="P1747" s="72" t="n"/>
      <c r="Q1747" s="72" t="n"/>
      <c r="R1747" s="72" t="n"/>
      <c r="S1747" s="72" t="n"/>
    </row>
    <row r="1748">
      <c r="B1748" s="72" t="n"/>
      <c r="C1748" s="72" t="n"/>
      <c r="D1748" s="72" t="n"/>
      <c r="E1748" s="72" t="n"/>
      <c r="F1748" s="72" t="n"/>
      <c r="G1748" s="72" t="n"/>
      <c r="H1748" s="72" t="n"/>
      <c r="I1748" s="72" t="n"/>
      <c r="J1748" s="72" t="n"/>
      <c r="K1748" s="72" t="n"/>
      <c r="L1748" s="72" t="n"/>
      <c r="M1748" s="72" t="n"/>
      <c r="N1748" s="72" t="n"/>
      <c r="O1748" s="72" t="n"/>
      <c r="P1748" s="72" t="n"/>
      <c r="Q1748" s="72" t="n"/>
      <c r="R1748" s="72" t="n"/>
      <c r="S1748" s="72" t="n"/>
    </row>
    <row r="1749">
      <c r="B1749" s="72" t="n"/>
      <c r="C1749" s="72" t="n"/>
      <c r="D1749" s="72" t="n"/>
      <c r="E1749" s="72" t="n"/>
      <c r="F1749" s="72" t="n"/>
      <c r="G1749" s="72" t="n"/>
      <c r="H1749" s="72" t="n"/>
      <c r="I1749" s="72" t="n"/>
      <c r="J1749" s="72" t="n"/>
      <c r="K1749" s="72" t="n"/>
      <c r="L1749" s="72" t="n"/>
      <c r="M1749" s="72" t="n"/>
      <c r="N1749" s="72" t="n"/>
      <c r="O1749" s="72" t="n"/>
      <c r="P1749" s="72" t="n"/>
      <c r="Q1749" s="72" t="n"/>
      <c r="R1749" s="72" t="n"/>
      <c r="S1749" s="72" t="n"/>
    </row>
    <row r="1750">
      <c r="B1750" s="72" t="n"/>
      <c r="C1750" s="72" t="n"/>
      <c r="D1750" s="72" t="n"/>
      <c r="E1750" s="72" t="n"/>
      <c r="F1750" s="72" t="n"/>
      <c r="G1750" s="72" t="n"/>
      <c r="H1750" s="72" t="n"/>
      <c r="I1750" s="72" t="n"/>
      <c r="J1750" s="72" t="n"/>
      <c r="K1750" s="72" t="n"/>
      <c r="L1750" s="72" t="n"/>
      <c r="M1750" s="72" t="n"/>
      <c r="N1750" s="72" t="n"/>
      <c r="O1750" s="72" t="n"/>
      <c r="P1750" s="72" t="n"/>
      <c r="Q1750" s="72" t="n"/>
      <c r="R1750" s="72" t="n"/>
      <c r="S1750" s="72" t="n"/>
    </row>
    <row r="1751">
      <c r="B1751" s="72" t="n"/>
      <c r="C1751" s="72" t="n"/>
      <c r="D1751" s="72" t="n"/>
      <c r="E1751" s="72" t="n"/>
      <c r="F1751" s="72" t="n"/>
      <c r="G1751" s="72" t="n"/>
      <c r="H1751" s="72" t="n"/>
      <c r="I1751" s="72" t="n"/>
      <c r="J1751" s="72" t="n"/>
      <c r="K1751" s="72" t="n"/>
      <c r="L1751" s="72" t="n"/>
      <c r="M1751" s="72" t="n"/>
      <c r="N1751" s="72" t="n"/>
      <c r="O1751" s="72" t="n"/>
      <c r="P1751" s="72" t="n"/>
      <c r="Q1751" s="72" t="n"/>
      <c r="R1751" s="72" t="n"/>
      <c r="S1751" s="72" t="n"/>
    </row>
    <row r="1752">
      <c r="B1752" s="72" t="n"/>
      <c r="C1752" s="72" t="n"/>
      <c r="D1752" s="72" t="n"/>
      <c r="E1752" s="72" t="n"/>
      <c r="F1752" s="72" t="n"/>
      <c r="G1752" s="72" t="n"/>
      <c r="H1752" s="72" t="n"/>
      <c r="I1752" s="72" t="n"/>
      <c r="J1752" s="72" t="n"/>
      <c r="K1752" s="72" t="n"/>
      <c r="L1752" s="72" t="n"/>
      <c r="M1752" s="72" t="n"/>
      <c r="N1752" s="72" t="n"/>
      <c r="O1752" s="72" t="n"/>
      <c r="P1752" s="72" t="n"/>
      <c r="Q1752" s="72" t="n"/>
      <c r="R1752" s="72" t="n"/>
      <c r="S1752" s="72" t="n"/>
    </row>
    <row r="1753">
      <c r="B1753" s="72" t="n"/>
      <c r="C1753" s="72" t="n"/>
      <c r="D1753" s="72" t="n"/>
      <c r="E1753" s="72" t="n"/>
      <c r="F1753" s="72" t="n"/>
      <c r="G1753" s="72" t="n"/>
      <c r="H1753" s="72" t="n"/>
      <c r="I1753" s="72" t="n"/>
      <c r="J1753" s="72" t="n"/>
      <c r="K1753" s="72" t="n"/>
      <c r="L1753" s="72" t="n"/>
      <c r="M1753" s="72" t="n"/>
      <c r="N1753" s="72" t="n"/>
      <c r="O1753" s="72" t="n"/>
      <c r="P1753" s="72" t="n"/>
      <c r="Q1753" s="72" t="n"/>
      <c r="R1753" s="72" t="n"/>
      <c r="S1753" s="72" t="n"/>
    </row>
    <row r="1754">
      <c r="B1754" s="72" t="n"/>
      <c r="C1754" s="72" t="n"/>
      <c r="D1754" s="72" t="n"/>
      <c r="E1754" s="72" t="n"/>
      <c r="F1754" s="72" t="n"/>
      <c r="G1754" s="72" t="n"/>
      <c r="H1754" s="72" t="n"/>
      <c r="I1754" s="72" t="n"/>
      <c r="J1754" s="72" t="n"/>
      <c r="K1754" s="72" t="n"/>
      <c r="L1754" s="72" t="n"/>
      <c r="M1754" s="72" t="n"/>
      <c r="N1754" s="72" t="n"/>
      <c r="O1754" s="72" t="n"/>
      <c r="P1754" s="72" t="n"/>
      <c r="Q1754" s="72" t="n"/>
      <c r="R1754" s="72" t="n"/>
      <c r="S1754" s="72" t="n"/>
    </row>
    <row r="1755">
      <c r="B1755" s="72" t="n"/>
      <c r="C1755" s="72" t="n"/>
      <c r="D1755" s="72" t="n"/>
      <c r="E1755" s="72" t="n"/>
      <c r="F1755" s="72" t="n"/>
      <c r="G1755" s="72" t="n"/>
      <c r="H1755" s="72" t="n"/>
      <c r="I1755" s="72" t="n"/>
      <c r="J1755" s="72" t="n"/>
      <c r="K1755" s="72" t="n"/>
      <c r="L1755" s="72" t="n"/>
      <c r="M1755" s="72" t="n"/>
      <c r="N1755" s="72" t="n"/>
      <c r="O1755" s="72" t="n"/>
      <c r="P1755" s="72" t="n"/>
      <c r="Q1755" s="72" t="n"/>
      <c r="R1755" s="72" t="n"/>
      <c r="S1755" s="72" t="n"/>
    </row>
    <row r="1756">
      <c r="B1756" s="72" t="n"/>
      <c r="C1756" s="72" t="n"/>
      <c r="D1756" s="72" t="n"/>
      <c r="E1756" s="72" t="n"/>
      <c r="F1756" s="72" t="n"/>
      <c r="G1756" s="72" t="n"/>
      <c r="H1756" s="72" t="n"/>
      <c r="I1756" s="72" t="n"/>
      <c r="J1756" s="72" t="n"/>
      <c r="K1756" s="72" t="n"/>
      <c r="L1756" s="72" t="n"/>
      <c r="M1756" s="72" t="n"/>
      <c r="N1756" s="72" t="n"/>
      <c r="O1756" s="72" t="n"/>
      <c r="P1756" s="72" t="n"/>
      <c r="Q1756" s="72" t="n"/>
      <c r="R1756" s="72" t="n"/>
      <c r="S1756" s="72" t="n"/>
    </row>
    <row r="1757">
      <c r="B1757" s="72" t="n"/>
      <c r="C1757" s="72" t="n"/>
      <c r="D1757" s="72" t="n"/>
      <c r="E1757" s="72" t="n"/>
      <c r="F1757" s="72" t="n"/>
      <c r="G1757" s="72" t="n"/>
      <c r="H1757" s="72" t="n"/>
      <c r="I1757" s="72" t="n"/>
      <c r="J1757" s="72" t="n"/>
      <c r="K1757" s="72" t="n"/>
      <c r="L1757" s="72" t="n"/>
      <c r="M1757" s="72" t="n"/>
      <c r="N1757" s="72" t="n"/>
      <c r="O1757" s="72" t="n"/>
      <c r="P1757" s="72" t="n"/>
      <c r="Q1757" s="72" t="n"/>
      <c r="R1757" s="72" t="n"/>
      <c r="S1757" s="72" t="n"/>
    </row>
    <row r="1758">
      <c r="B1758" s="72" t="n"/>
      <c r="C1758" s="72" t="n"/>
      <c r="D1758" s="72" t="n"/>
      <c r="E1758" s="72" t="n"/>
      <c r="F1758" s="72" t="n"/>
      <c r="G1758" s="72" t="n"/>
      <c r="H1758" s="72" t="n"/>
      <c r="I1758" s="72" t="n"/>
      <c r="J1758" s="72" t="n"/>
      <c r="K1758" s="72" t="n"/>
      <c r="L1758" s="72" t="n"/>
      <c r="M1758" s="72" t="n"/>
      <c r="N1758" s="72" t="n"/>
      <c r="O1758" s="72" t="n"/>
      <c r="P1758" s="72" t="n"/>
      <c r="Q1758" s="72" t="n"/>
      <c r="R1758" s="72" t="n"/>
      <c r="S1758" s="72" t="n"/>
    </row>
    <row r="1759">
      <c r="B1759" s="72" t="n"/>
      <c r="C1759" s="72" t="n"/>
      <c r="D1759" s="72" t="n"/>
      <c r="E1759" s="72" t="n"/>
      <c r="F1759" s="72" t="n"/>
      <c r="G1759" s="72" t="n"/>
      <c r="H1759" s="72" t="n"/>
      <c r="I1759" s="72" t="n"/>
      <c r="J1759" s="72" t="n"/>
      <c r="K1759" s="72" t="n"/>
      <c r="L1759" s="72" t="n"/>
      <c r="M1759" s="72" t="n"/>
      <c r="N1759" s="72" t="n"/>
      <c r="O1759" s="72" t="n"/>
      <c r="P1759" s="72" t="n"/>
      <c r="Q1759" s="72" t="n"/>
      <c r="R1759" s="72" t="n"/>
      <c r="S1759" s="72" t="n"/>
    </row>
    <row r="1760">
      <c r="B1760" s="72" t="n"/>
      <c r="C1760" s="72" t="n"/>
      <c r="D1760" s="72" t="n"/>
      <c r="E1760" s="72" t="n"/>
      <c r="F1760" s="72" t="n"/>
      <c r="G1760" s="72" t="n"/>
      <c r="H1760" s="72" t="n"/>
      <c r="I1760" s="72" t="n"/>
      <c r="J1760" s="72" t="n"/>
      <c r="K1760" s="72" t="n"/>
      <c r="L1760" s="72" t="n"/>
      <c r="M1760" s="72" t="n"/>
      <c r="N1760" s="72" t="n"/>
      <c r="O1760" s="72" t="n"/>
      <c r="P1760" s="72" t="n"/>
      <c r="Q1760" s="72" t="n"/>
      <c r="R1760" s="72" t="n"/>
      <c r="S1760" s="72" t="n"/>
    </row>
    <row r="1761">
      <c r="B1761" s="72" t="n"/>
      <c r="C1761" s="72" t="n"/>
      <c r="D1761" s="72" t="n"/>
      <c r="E1761" s="72" t="n"/>
      <c r="F1761" s="72" t="n"/>
      <c r="G1761" s="72" t="n"/>
      <c r="H1761" s="72" t="n"/>
      <c r="I1761" s="72" t="n"/>
      <c r="J1761" s="72" t="n"/>
      <c r="K1761" s="72" t="n"/>
      <c r="L1761" s="72" t="n"/>
      <c r="M1761" s="72" t="n"/>
      <c r="N1761" s="72" t="n"/>
      <c r="O1761" s="72" t="n"/>
      <c r="P1761" s="72" t="n"/>
      <c r="Q1761" s="72" t="n"/>
      <c r="R1761" s="72" t="n"/>
      <c r="S1761" s="72" t="n"/>
    </row>
    <row r="1762">
      <c r="B1762" s="72" t="n"/>
      <c r="C1762" s="72" t="n"/>
      <c r="D1762" s="72" t="n"/>
      <c r="E1762" s="72" t="n"/>
      <c r="F1762" s="72" t="n"/>
      <c r="G1762" s="72" t="n"/>
      <c r="H1762" s="72" t="n"/>
      <c r="I1762" s="72" t="n"/>
      <c r="J1762" s="72" t="n"/>
      <c r="K1762" s="72" t="n"/>
      <c r="L1762" s="72" t="n"/>
      <c r="M1762" s="72" t="n"/>
      <c r="N1762" s="72" t="n"/>
      <c r="O1762" s="72" t="n"/>
      <c r="P1762" s="72" t="n"/>
      <c r="Q1762" s="72" t="n"/>
      <c r="R1762" s="72" t="n"/>
      <c r="S1762" s="72" t="n"/>
    </row>
    <row r="1763">
      <c r="B1763" s="72" t="n"/>
      <c r="C1763" s="72" t="n"/>
      <c r="D1763" s="72" t="n"/>
      <c r="E1763" s="72" t="n"/>
      <c r="F1763" s="72" t="n"/>
      <c r="G1763" s="72" t="n"/>
      <c r="H1763" s="72" t="n"/>
      <c r="I1763" s="72" t="n"/>
      <c r="J1763" s="72" t="n"/>
      <c r="K1763" s="72" t="n"/>
      <c r="L1763" s="72" t="n"/>
      <c r="M1763" s="72" t="n"/>
      <c r="N1763" s="72" t="n"/>
      <c r="O1763" s="72" t="n"/>
      <c r="P1763" s="72" t="n"/>
      <c r="Q1763" s="72" t="n"/>
      <c r="R1763" s="72" t="n"/>
      <c r="S1763" s="72" t="n"/>
    </row>
    <row r="1764">
      <c r="B1764" s="72" t="n"/>
      <c r="C1764" s="72" t="n"/>
      <c r="D1764" s="72" t="n"/>
      <c r="E1764" s="72" t="n"/>
      <c r="F1764" s="72" t="n"/>
      <c r="G1764" s="72" t="n"/>
      <c r="H1764" s="72" t="n"/>
      <c r="I1764" s="72" t="n"/>
      <c r="J1764" s="72" t="n"/>
      <c r="K1764" s="72" t="n"/>
      <c r="L1764" s="72" t="n"/>
      <c r="M1764" s="72" t="n"/>
      <c r="N1764" s="72" t="n"/>
      <c r="O1764" s="72" t="n"/>
      <c r="P1764" s="72" t="n"/>
      <c r="Q1764" s="72" t="n"/>
      <c r="R1764" s="72" t="n"/>
      <c r="S1764" s="72" t="n"/>
    </row>
    <row r="1765">
      <c r="B1765" s="72" t="n"/>
      <c r="C1765" s="72" t="n"/>
      <c r="D1765" s="72" t="n"/>
      <c r="E1765" s="72" t="n"/>
      <c r="F1765" s="72" t="n"/>
      <c r="G1765" s="72" t="n"/>
      <c r="H1765" s="72" t="n"/>
      <c r="I1765" s="72" t="n"/>
      <c r="J1765" s="72" t="n"/>
      <c r="K1765" s="72" t="n"/>
      <c r="L1765" s="72" t="n"/>
      <c r="M1765" s="72" t="n"/>
      <c r="N1765" s="72" t="n"/>
      <c r="O1765" s="72" t="n"/>
      <c r="P1765" s="72" t="n"/>
      <c r="Q1765" s="72" t="n"/>
      <c r="R1765" s="72" t="n"/>
      <c r="S1765" s="72" t="n"/>
    </row>
    <row r="1766">
      <c r="B1766" s="72" t="n"/>
      <c r="C1766" s="72" t="n"/>
      <c r="D1766" s="72" t="n"/>
      <c r="E1766" s="72" t="n"/>
      <c r="F1766" s="72" t="n"/>
      <c r="G1766" s="72" t="n"/>
      <c r="H1766" s="72" t="n"/>
      <c r="I1766" s="72" t="n"/>
      <c r="J1766" s="72" t="n"/>
      <c r="K1766" s="72" t="n"/>
      <c r="L1766" s="72" t="n"/>
      <c r="M1766" s="72" t="n"/>
      <c r="N1766" s="72" t="n"/>
      <c r="O1766" s="72" t="n"/>
      <c r="P1766" s="72" t="n"/>
      <c r="Q1766" s="72" t="n"/>
      <c r="R1766" s="72" t="n"/>
      <c r="S1766" s="72" t="n"/>
    </row>
    <row r="1767">
      <c r="B1767" s="72" t="n"/>
      <c r="C1767" s="72" t="n"/>
      <c r="D1767" s="72" t="n"/>
      <c r="E1767" s="72" t="n"/>
      <c r="F1767" s="72" t="n"/>
      <c r="G1767" s="72" t="n"/>
      <c r="H1767" s="72" t="n"/>
      <c r="I1767" s="72" t="n"/>
      <c r="J1767" s="72" t="n"/>
      <c r="K1767" s="72" t="n"/>
      <c r="L1767" s="72" t="n"/>
      <c r="M1767" s="72" t="n"/>
      <c r="N1767" s="72" t="n"/>
      <c r="O1767" s="72" t="n"/>
      <c r="P1767" s="72" t="n"/>
      <c r="Q1767" s="72" t="n"/>
      <c r="R1767" s="72" t="n"/>
      <c r="S1767" s="72" t="n"/>
    </row>
    <row r="1768">
      <c r="B1768" s="72" t="n"/>
      <c r="C1768" s="72" t="n"/>
      <c r="D1768" s="72" t="n"/>
      <c r="E1768" s="72" t="n"/>
      <c r="F1768" s="72" t="n"/>
      <c r="G1768" s="72" t="n"/>
      <c r="H1768" s="72" t="n"/>
      <c r="I1768" s="72" t="n"/>
      <c r="J1768" s="72" t="n"/>
      <c r="K1768" s="72" t="n"/>
      <c r="L1768" s="72" t="n"/>
      <c r="M1768" s="72" t="n"/>
      <c r="N1768" s="72" t="n"/>
      <c r="O1768" s="72" t="n"/>
      <c r="P1768" s="72" t="n"/>
      <c r="Q1768" s="72" t="n"/>
      <c r="R1768" s="72" t="n"/>
      <c r="S1768" s="72" t="n"/>
    </row>
    <row r="1769">
      <c r="B1769" s="72" t="n"/>
      <c r="C1769" s="72" t="n"/>
      <c r="D1769" s="72" t="n"/>
      <c r="E1769" s="72" t="n"/>
      <c r="F1769" s="72" t="n"/>
      <c r="G1769" s="72" t="n"/>
      <c r="H1769" s="72" t="n"/>
      <c r="I1769" s="72" t="n"/>
      <c r="J1769" s="72" t="n"/>
      <c r="K1769" s="72" t="n"/>
      <c r="L1769" s="72" t="n"/>
      <c r="M1769" s="72" t="n"/>
      <c r="N1769" s="72" t="n"/>
      <c r="O1769" s="72" t="n"/>
      <c r="P1769" s="72" t="n"/>
      <c r="Q1769" s="72" t="n"/>
      <c r="R1769" s="72" t="n"/>
      <c r="S1769" s="72" t="n"/>
    </row>
    <row r="1770">
      <c r="B1770" s="72" t="n"/>
      <c r="C1770" s="72" t="n"/>
      <c r="D1770" s="72" t="n"/>
      <c r="E1770" s="72" t="n"/>
      <c r="F1770" s="72" t="n"/>
      <c r="G1770" s="72" t="n"/>
      <c r="H1770" s="72" t="n"/>
      <c r="I1770" s="72" t="n"/>
      <c r="J1770" s="72" t="n"/>
      <c r="K1770" s="72" t="n"/>
      <c r="L1770" s="72" t="n"/>
      <c r="M1770" s="72" t="n"/>
      <c r="N1770" s="72" t="n"/>
      <c r="O1770" s="72" t="n"/>
      <c r="P1770" s="72" t="n"/>
      <c r="Q1770" s="72" t="n"/>
      <c r="R1770" s="72" t="n"/>
      <c r="S1770" s="72" t="n"/>
    </row>
    <row r="1771">
      <c r="B1771" s="72" t="n"/>
      <c r="C1771" s="72" t="n"/>
      <c r="D1771" s="72" t="n"/>
      <c r="E1771" s="72" t="n"/>
      <c r="F1771" s="72" t="n"/>
      <c r="G1771" s="72" t="n"/>
      <c r="H1771" s="72" t="n"/>
      <c r="I1771" s="72" t="n"/>
      <c r="J1771" s="72" t="n"/>
      <c r="K1771" s="72" t="n"/>
      <c r="L1771" s="72" t="n"/>
      <c r="M1771" s="72" t="n"/>
      <c r="N1771" s="72" t="n"/>
      <c r="O1771" s="72" t="n"/>
      <c r="P1771" s="72" t="n"/>
      <c r="Q1771" s="72" t="n"/>
      <c r="R1771" s="72" t="n"/>
      <c r="S1771" s="72" t="n"/>
    </row>
    <row r="1772">
      <c r="B1772" s="72" t="n"/>
      <c r="C1772" s="72" t="n"/>
      <c r="D1772" s="72" t="n"/>
      <c r="E1772" s="72" t="n"/>
      <c r="F1772" s="72" t="n"/>
      <c r="G1772" s="72" t="n"/>
      <c r="H1772" s="72" t="n"/>
      <c r="I1772" s="72" t="n"/>
      <c r="J1772" s="72" t="n"/>
      <c r="K1772" s="72" t="n"/>
      <c r="L1772" s="72" t="n"/>
      <c r="M1772" s="72" t="n"/>
      <c r="N1772" s="72" t="n"/>
      <c r="O1772" s="72" t="n"/>
      <c r="P1772" s="72" t="n"/>
      <c r="Q1772" s="72" t="n"/>
      <c r="R1772" s="72" t="n"/>
      <c r="S1772" s="72" t="n"/>
    </row>
    <row r="1773">
      <c r="B1773" s="72" t="n"/>
      <c r="C1773" s="72" t="n"/>
      <c r="D1773" s="72" t="n"/>
      <c r="E1773" s="72" t="n"/>
      <c r="F1773" s="72" t="n"/>
      <c r="G1773" s="72" t="n"/>
      <c r="H1773" s="72" t="n"/>
      <c r="I1773" s="72" t="n"/>
      <c r="J1773" s="72" t="n"/>
      <c r="K1773" s="72" t="n"/>
      <c r="L1773" s="72" t="n"/>
      <c r="M1773" s="72" t="n"/>
      <c r="N1773" s="72" t="n"/>
      <c r="O1773" s="72" t="n"/>
      <c r="P1773" s="72" t="n"/>
      <c r="Q1773" s="72" t="n"/>
      <c r="R1773" s="72" t="n"/>
      <c r="S1773" s="72" t="n"/>
    </row>
    <row r="1774">
      <c r="B1774" s="72" t="n"/>
      <c r="C1774" s="72" t="n"/>
      <c r="D1774" s="72" t="n"/>
      <c r="E1774" s="72" t="n"/>
      <c r="F1774" s="72" t="n"/>
      <c r="G1774" s="72" t="n"/>
      <c r="H1774" s="72" t="n"/>
      <c r="I1774" s="72" t="n"/>
      <c r="J1774" s="72" t="n"/>
      <c r="K1774" s="72" t="n"/>
      <c r="L1774" s="72" t="n"/>
      <c r="M1774" s="72" t="n"/>
      <c r="N1774" s="72" t="n"/>
      <c r="O1774" s="72" t="n"/>
      <c r="P1774" s="72" t="n"/>
      <c r="Q1774" s="72" t="n"/>
      <c r="R1774" s="72" t="n"/>
      <c r="S1774" s="72" t="n"/>
    </row>
    <row r="1775">
      <c r="B1775" s="72" t="n"/>
      <c r="C1775" s="72" t="n"/>
      <c r="D1775" s="72" t="n"/>
      <c r="E1775" s="72" t="n"/>
      <c r="F1775" s="72" t="n"/>
      <c r="G1775" s="72" t="n"/>
      <c r="H1775" s="72" t="n"/>
      <c r="I1775" s="72" t="n"/>
      <c r="J1775" s="72" t="n"/>
      <c r="K1775" s="72" t="n"/>
      <c r="L1775" s="72" t="n"/>
      <c r="M1775" s="72" t="n"/>
      <c r="N1775" s="72" t="n"/>
      <c r="O1775" s="72" t="n"/>
      <c r="P1775" s="72" t="n"/>
      <c r="Q1775" s="72" t="n"/>
      <c r="R1775" s="72" t="n"/>
      <c r="S1775" s="72" t="n"/>
    </row>
    <row r="1776">
      <c r="B1776" s="72" t="n"/>
      <c r="C1776" s="72" t="n"/>
      <c r="D1776" s="72" t="n"/>
      <c r="E1776" s="72" t="n"/>
      <c r="F1776" s="72" t="n"/>
      <c r="G1776" s="72" t="n"/>
      <c r="H1776" s="72" t="n"/>
      <c r="I1776" s="72" t="n"/>
      <c r="J1776" s="72" t="n"/>
      <c r="K1776" s="72" t="n"/>
      <c r="L1776" s="72" t="n"/>
      <c r="M1776" s="72" t="n"/>
      <c r="N1776" s="72" t="n"/>
      <c r="O1776" s="72" t="n"/>
      <c r="P1776" s="72" t="n"/>
      <c r="Q1776" s="72" t="n"/>
      <c r="R1776" s="72" t="n"/>
      <c r="S1776" s="72" t="n"/>
    </row>
    <row r="1777">
      <c r="B1777" s="72" t="n"/>
      <c r="C1777" s="72" t="n"/>
      <c r="D1777" s="72" t="n"/>
      <c r="E1777" s="72" t="n"/>
      <c r="F1777" s="72" t="n"/>
      <c r="G1777" s="72" t="n"/>
      <c r="H1777" s="72" t="n"/>
      <c r="I1777" s="72" t="n"/>
      <c r="J1777" s="72" t="n"/>
      <c r="K1777" s="72" t="n"/>
      <c r="L1777" s="72" t="n"/>
      <c r="M1777" s="72" t="n"/>
      <c r="N1777" s="72" t="n"/>
      <c r="O1777" s="72" t="n"/>
      <c r="P1777" s="72" t="n"/>
      <c r="Q1777" s="72" t="n"/>
      <c r="R1777" s="72" t="n"/>
      <c r="S1777" s="72" t="n"/>
    </row>
    <row r="1778">
      <c r="B1778" s="72" t="n"/>
      <c r="C1778" s="72" t="n"/>
      <c r="D1778" s="72" t="n"/>
      <c r="E1778" s="72" t="n"/>
      <c r="F1778" s="72" t="n"/>
      <c r="G1778" s="72" t="n"/>
      <c r="H1778" s="72" t="n"/>
      <c r="I1778" s="72" t="n"/>
      <c r="J1778" s="72" t="n"/>
      <c r="K1778" s="72" t="n"/>
      <c r="L1778" s="72" t="n"/>
      <c r="M1778" s="72" t="n"/>
      <c r="N1778" s="72" t="n"/>
      <c r="O1778" s="72" t="n"/>
      <c r="P1778" s="72" t="n"/>
      <c r="Q1778" s="72" t="n"/>
      <c r="R1778" s="72" t="n"/>
      <c r="S1778" s="72" t="n"/>
    </row>
    <row r="1779">
      <c r="B1779" s="72" t="n"/>
      <c r="C1779" s="72" t="n"/>
      <c r="D1779" s="72" t="n"/>
      <c r="E1779" s="72" t="n"/>
      <c r="F1779" s="72" t="n"/>
      <c r="G1779" s="72" t="n"/>
      <c r="H1779" s="72" t="n"/>
      <c r="I1779" s="72" t="n"/>
      <c r="J1779" s="72" t="n"/>
      <c r="K1779" s="72" t="n"/>
      <c r="L1779" s="72" t="n"/>
      <c r="M1779" s="72" t="n"/>
      <c r="N1779" s="72" t="n"/>
      <c r="O1779" s="72" t="n"/>
      <c r="P1779" s="72" t="n"/>
      <c r="Q1779" s="72" t="n"/>
      <c r="R1779" s="72" t="n"/>
      <c r="S1779" s="72" t="n"/>
    </row>
    <row r="1780">
      <c r="B1780" s="72" t="n"/>
      <c r="C1780" s="72" t="n"/>
      <c r="D1780" s="72" t="n"/>
      <c r="E1780" s="72" t="n"/>
      <c r="F1780" s="72" t="n"/>
      <c r="G1780" s="72" t="n"/>
      <c r="H1780" s="72" t="n"/>
      <c r="I1780" s="72" t="n"/>
      <c r="J1780" s="72" t="n"/>
      <c r="K1780" s="72" t="n"/>
      <c r="L1780" s="72" t="n"/>
      <c r="M1780" s="72" t="n"/>
      <c r="N1780" s="72" t="n"/>
      <c r="O1780" s="72" t="n"/>
      <c r="P1780" s="72" t="n"/>
      <c r="Q1780" s="72" t="n"/>
      <c r="R1780" s="72" t="n"/>
      <c r="S1780" s="72" t="n"/>
    </row>
    <row r="1781">
      <c r="B1781" s="72" t="n"/>
      <c r="C1781" s="72" t="n"/>
      <c r="D1781" s="72" t="n"/>
      <c r="E1781" s="72" t="n"/>
      <c r="F1781" s="72" t="n"/>
      <c r="G1781" s="72" t="n"/>
      <c r="H1781" s="72" t="n"/>
      <c r="I1781" s="72" t="n"/>
      <c r="J1781" s="72" t="n"/>
      <c r="K1781" s="72" t="n"/>
      <c r="L1781" s="72" t="n"/>
      <c r="M1781" s="72" t="n"/>
      <c r="N1781" s="72" t="n"/>
      <c r="O1781" s="72" t="n"/>
      <c r="P1781" s="72" t="n"/>
      <c r="Q1781" s="72" t="n"/>
      <c r="R1781" s="72" t="n"/>
      <c r="S1781" s="72" t="n"/>
    </row>
    <row r="1782">
      <c r="B1782" s="72" t="n"/>
      <c r="C1782" s="72" t="n"/>
      <c r="D1782" s="72" t="n"/>
      <c r="E1782" s="72" t="n"/>
      <c r="F1782" s="72" t="n"/>
      <c r="G1782" s="72" t="n"/>
      <c r="H1782" s="72" t="n"/>
      <c r="I1782" s="72" t="n"/>
      <c r="J1782" s="72" t="n"/>
      <c r="K1782" s="72" t="n"/>
      <c r="L1782" s="72" t="n"/>
      <c r="M1782" s="72" t="n"/>
      <c r="N1782" s="72" t="n"/>
      <c r="O1782" s="72" t="n"/>
      <c r="P1782" s="72" t="n"/>
      <c r="Q1782" s="72" t="n"/>
      <c r="R1782" s="72" t="n"/>
      <c r="S1782" s="72" t="n"/>
    </row>
    <row r="1783">
      <c r="B1783" s="72" t="n"/>
      <c r="C1783" s="72" t="n"/>
      <c r="D1783" s="72" t="n"/>
      <c r="E1783" s="72" t="n"/>
      <c r="F1783" s="72" t="n"/>
      <c r="G1783" s="72" t="n"/>
      <c r="H1783" s="72" t="n"/>
      <c r="I1783" s="72" t="n"/>
      <c r="J1783" s="72" t="n"/>
      <c r="K1783" s="72" t="n"/>
      <c r="L1783" s="72" t="n"/>
      <c r="M1783" s="72" t="n"/>
      <c r="N1783" s="72" t="n"/>
      <c r="O1783" s="72" t="n"/>
      <c r="P1783" s="72" t="n"/>
      <c r="Q1783" s="72" t="n"/>
      <c r="R1783" s="72" t="n"/>
      <c r="S1783" s="72" t="n"/>
    </row>
    <row r="1784">
      <c r="B1784" s="72" t="n"/>
      <c r="C1784" s="72" t="n"/>
      <c r="D1784" s="72" t="n"/>
      <c r="E1784" s="72" t="n"/>
      <c r="F1784" s="72" t="n"/>
      <c r="G1784" s="72" t="n"/>
      <c r="H1784" s="72" t="n"/>
      <c r="I1784" s="72" t="n"/>
      <c r="J1784" s="72" t="n"/>
      <c r="K1784" s="72" t="n"/>
      <c r="L1784" s="72" t="n"/>
      <c r="M1784" s="72" t="n"/>
      <c r="N1784" s="72" t="n"/>
      <c r="O1784" s="72" t="n"/>
      <c r="P1784" s="72" t="n"/>
      <c r="Q1784" s="72" t="n"/>
      <c r="R1784" s="72" t="n"/>
      <c r="S1784" s="72" t="n"/>
    </row>
    <row r="1785">
      <c r="B1785" s="72" t="n"/>
      <c r="C1785" s="72" t="n"/>
      <c r="D1785" s="72" t="n"/>
      <c r="E1785" s="72" t="n"/>
      <c r="F1785" s="72" t="n"/>
      <c r="G1785" s="72" t="n"/>
      <c r="H1785" s="72" t="n"/>
      <c r="I1785" s="72" t="n"/>
      <c r="J1785" s="72" t="n"/>
      <c r="K1785" s="72" t="n"/>
      <c r="L1785" s="72" t="n"/>
      <c r="M1785" s="72" t="n"/>
      <c r="N1785" s="72" t="n"/>
      <c r="O1785" s="72" t="n"/>
      <c r="P1785" s="72" t="n"/>
      <c r="Q1785" s="72" t="n"/>
      <c r="R1785" s="72" t="n"/>
      <c r="S1785" s="72" t="n"/>
    </row>
    <row r="1786">
      <c r="B1786" s="72" t="n"/>
      <c r="C1786" s="72" t="n"/>
      <c r="D1786" s="72" t="n"/>
      <c r="E1786" s="72" t="n"/>
      <c r="F1786" s="72" t="n"/>
      <c r="G1786" s="72" t="n"/>
      <c r="H1786" s="72" t="n"/>
      <c r="I1786" s="72" t="n"/>
      <c r="J1786" s="72" t="n"/>
      <c r="K1786" s="72" t="n"/>
      <c r="L1786" s="72" t="n"/>
      <c r="M1786" s="72" t="n"/>
      <c r="N1786" s="72" t="n"/>
      <c r="O1786" s="72" t="n"/>
      <c r="P1786" s="72" t="n"/>
      <c r="Q1786" s="72" t="n"/>
      <c r="R1786" s="72" t="n"/>
      <c r="S1786" s="72" t="n"/>
    </row>
    <row r="1787">
      <c r="B1787" s="72" t="n"/>
      <c r="C1787" s="72" t="n"/>
      <c r="D1787" s="72" t="n"/>
      <c r="E1787" s="72" t="n"/>
      <c r="F1787" s="72" t="n"/>
      <c r="G1787" s="72" t="n"/>
      <c r="H1787" s="72" t="n"/>
      <c r="I1787" s="72" t="n"/>
      <c r="J1787" s="72" t="n"/>
      <c r="K1787" s="72" t="n"/>
      <c r="L1787" s="72" t="n"/>
      <c r="M1787" s="72" t="n"/>
      <c r="N1787" s="72" t="n"/>
      <c r="O1787" s="72" t="n"/>
      <c r="P1787" s="72" t="n"/>
      <c r="Q1787" s="72" t="n"/>
      <c r="R1787" s="72" t="n"/>
      <c r="S1787" s="72" t="n"/>
    </row>
    <row r="1788">
      <c r="B1788" s="72" t="n"/>
      <c r="C1788" s="72" t="n"/>
      <c r="D1788" s="72" t="n"/>
      <c r="E1788" s="72" t="n"/>
      <c r="F1788" s="72" t="n"/>
      <c r="G1788" s="72" t="n"/>
      <c r="H1788" s="72" t="n"/>
      <c r="I1788" s="72" t="n"/>
      <c r="J1788" s="72" t="n"/>
      <c r="K1788" s="72" t="n"/>
      <c r="L1788" s="72" t="n"/>
      <c r="M1788" s="72" t="n"/>
      <c r="N1788" s="72" t="n"/>
      <c r="O1788" s="72" t="n"/>
      <c r="P1788" s="72" t="n"/>
      <c r="Q1788" s="72" t="n"/>
      <c r="R1788" s="72" t="n"/>
      <c r="S1788" s="72" t="n"/>
    </row>
    <row r="1789">
      <c r="B1789" s="72" t="n"/>
      <c r="C1789" s="72" t="n"/>
      <c r="D1789" s="72" t="n"/>
      <c r="E1789" s="72" t="n"/>
      <c r="F1789" s="72" t="n"/>
      <c r="G1789" s="72" t="n"/>
      <c r="H1789" s="72" t="n"/>
      <c r="I1789" s="72" t="n"/>
      <c r="J1789" s="72" t="n"/>
      <c r="K1789" s="72" t="n"/>
      <c r="L1789" s="72" t="n"/>
      <c r="M1789" s="72" t="n"/>
      <c r="N1789" s="72" t="n"/>
      <c r="O1789" s="72" t="n"/>
      <c r="P1789" s="72" t="n"/>
      <c r="Q1789" s="72" t="n"/>
      <c r="R1789" s="72" t="n"/>
      <c r="S1789" s="72" t="n"/>
    </row>
    <row r="1790">
      <c r="B1790" s="72" t="n"/>
      <c r="C1790" s="72" t="n"/>
      <c r="D1790" s="72" t="n"/>
      <c r="E1790" s="72" t="n"/>
      <c r="F1790" s="72" t="n"/>
      <c r="G1790" s="72" t="n"/>
      <c r="H1790" s="72" t="n"/>
      <c r="I1790" s="72" t="n"/>
      <c r="J1790" s="72" t="n"/>
      <c r="K1790" s="72" t="n"/>
      <c r="L1790" s="72" t="n"/>
      <c r="M1790" s="72" t="n"/>
      <c r="N1790" s="72" t="n"/>
      <c r="O1790" s="72" t="n"/>
      <c r="P1790" s="72" t="n"/>
      <c r="Q1790" s="72" t="n"/>
      <c r="R1790" s="72" t="n"/>
      <c r="S1790" s="72" t="n"/>
    </row>
    <row r="1791">
      <c r="B1791" s="72" t="n"/>
      <c r="C1791" s="72" t="n"/>
      <c r="D1791" s="72" t="n"/>
      <c r="E1791" s="72" t="n"/>
      <c r="F1791" s="72" t="n"/>
      <c r="G1791" s="72" t="n"/>
      <c r="H1791" s="72" t="n"/>
      <c r="I1791" s="72" t="n"/>
      <c r="J1791" s="72" t="n"/>
      <c r="K1791" s="72" t="n"/>
      <c r="L1791" s="72" t="n"/>
      <c r="M1791" s="72" t="n"/>
      <c r="N1791" s="72" t="n"/>
      <c r="O1791" s="72" t="n"/>
      <c r="P1791" s="72" t="n"/>
      <c r="Q1791" s="72" t="n"/>
      <c r="R1791" s="72" t="n"/>
      <c r="S1791" s="72" t="n"/>
    </row>
    <row r="1792">
      <c r="B1792" s="72" t="n"/>
      <c r="C1792" s="72" t="n"/>
      <c r="D1792" s="72" t="n"/>
      <c r="E1792" s="72" t="n"/>
      <c r="F1792" s="72" t="n"/>
      <c r="G1792" s="72" t="n"/>
      <c r="H1792" s="72" t="n"/>
      <c r="I1792" s="72" t="n"/>
      <c r="J1792" s="72" t="n"/>
      <c r="K1792" s="72" t="n"/>
      <c r="L1792" s="72" t="n"/>
      <c r="M1792" s="72" t="n"/>
      <c r="N1792" s="72" t="n"/>
      <c r="O1792" s="72" t="n"/>
      <c r="P1792" s="72" t="n"/>
      <c r="Q1792" s="72" t="n"/>
      <c r="R1792" s="72" t="n"/>
      <c r="S1792" s="72" t="n"/>
    </row>
    <row r="1793">
      <c r="B1793" s="72" t="n"/>
      <c r="C1793" s="72" t="n"/>
      <c r="D1793" s="72" t="n"/>
      <c r="E1793" s="72" t="n"/>
      <c r="F1793" s="72" t="n"/>
      <c r="G1793" s="72" t="n"/>
      <c r="H1793" s="72" t="n"/>
      <c r="I1793" s="72" t="n"/>
      <c r="J1793" s="72" t="n"/>
      <c r="K1793" s="72" t="n"/>
      <c r="L1793" s="72" t="n"/>
      <c r="M1793" s="72" t="n"/>
      <c r="N1793" s="72" t="n"/>
      <c r="O1793" s="72" t="n"/>
      <c r="P1793" s="72" t="n"/>
      <c r="Q1793" s="72" t="n"/>
      <c r="R1793" s="72" t="n"/>
      <c r="S1793" s="72" t="n"/>
    </row>
    <row r="1794">
      <c r="B1794" s="72" t="n"/>
      <c r="C1794" s="72" t="n"/>
      <c r="D1794" s="72" t="n"/>
      <c r="E1794" s="72" t="n"/>
      <c r="F1794" s="72" t="n"/>
      <c r="G1794" s="72" t="n"/>
      <c r="H1794" s="72" t="n"/>
      <c r="I1794" s="72" t="n"/>
      <c r="J1794" s="72" t="n"/>
      <c r="K1794" s="72" t="n"/>
      <c r="L1794" s="72" t="n"/>
      <c r="M1794" s="72" t="n"/>
      <c r="N1794" s="72" t="n"/>
      <c r="O1794" s="72" t="n"/>
      <c r="P1794" s="72" t="n"/>
      <c r="Q1794" s="72" t="n"/>
      <c r="R1794" s="72" t="n"/>
      <c r="S1794" s="72" t="n"/>
    </row>
    <row r="1795">
      <c r="B1795" s="72" t="n"/>
      <c r="C1795" s="72" t="n"/>
      <c r="D1795" s="72" t="n"/>
      <c r="E1795" s="72" t="n"/>
      <c r="F1795" s="72" t="n"/>
      <c r="G1795" s="72" t="n"/>
      <c r="H1795" s="72" t="n"/>
      <c r="I1795" s="72" t="n"/>
      <c r="J1795" s="72" t="n"/>
      <c r="K1795" s="72" t="n"/>
      <c r="L1795" s="72" t="n"/>
      <c r="M1795" s="72" t="n"/>
      <c r="N1795" s="72" t="n"/>
      <c r="O1795" s="72" t="n"/>
      <c r="P1795" s="72" t="n"/>
      <c r="Q1795" s="72" t="n"/>
      <c r="R1795" s="72" t="n"/>
      <c r="S1795" s="72" t="n"/>
    </row>
    <row r="1796">
      <c r="B1796" s="72" t="n"/>
      <c r="C1796" s="72" t="n"/>
      <c r="D1796" s="72" t="n"/>
      <c r="E1796" s="72" t="n"/>
      <c r="F1796" s="72" t="n"/>
      <c r="G1796" s="72" t="n"/>
      <c r="H1796" s="72" t="n"/>
      <c r="I1796" s="72" t="n"/>
      <c r="J1796" s="72" t="n"/>
      <c r="K1796" s="72" t="n"/>
      <c r="L1796" s="72" t="n"/>
      <c r="M1796" s="72" t="n"/>
      <c r="N1796" s="72" t="n"/>
      <c r="O1796" s="72" t="n"/>
      <c r="P1796" s="72" t="n"/>
      <c r="Q1796" s="72" t="n"/>
      <c r="R1796" s="72" t="n"/>
      <c r="S1796" s="72" t="n"/>
    </row>
    <row r="1797">
      <c r="B1797" s="72" t="n"/>
      <c r="C1797" s="72" t="n"/>
      <c r="D1797" s="72" t="n"/>
      <c r="E1797" s="72" t="n"/>
      <c r="F1797" s="72" t="n"/>
      <c r="G1797" s="72" t="n"/>
      <c r="H1797" s="72" t="n"/>
      <c r="I1797" s="72" t="n"/>
      <c r="J1797" s="72" t="n"/>
      <c r="K1797" s="72" t="n"/>
      <c r="L1797" s="72" t="n"/>
      <c r="M1797" s="72" t="n"/>
      <c r="N1797" s="72" t="n"/>
      <c r="O1797" s="72" t="n"/>
      <c r="P1797" s="72" t="n"/>
      <c r="Q1797" s="72" t="n"/>
      <c r="R1797" s="72" t="n"/>
      <c r="S1797" s="72" t="n"/>
    </row>
    <row r="1798">
      <c r="B1798" s="72" t="n"/>
      <c r="C1798" s="72" t="n"/>
      <c r="D1798" s="72" t="n"/>
      <c r="E1798" s="72" t="n"/>
      <c r="F1798" s="72" t="n"/>
      <c r="G1798" s="72" t="n"/>
      <c r="H1798" s="72" t="n"/>
      <c r="I1798" s="72" t="n"/>
      <c r="J1798" s="72" t="n"/>
      <c r="K1798" s="72" t="n"/>
      <c r="L1798" s="72" t="n"/>
      <c r="M1798" s="72" t="n"/>
      <c r="N1798" s="72" t="n"/>
      <c r="O1798" s="72" t="n"/>
      <c r="P1798" s="72" t="n"/>
      <c r="Q1798" s="72" t="n"/>
      <c r="R1798" s="72" t="n"/>
      <c r="S1798" s="72" t="n"/>
    </row>
    <row r="1799">
      <c r="B1799" s="72" t="n"/>
      <c r="C1799" s="72" t="n"/>
      <c r="D1799" s="72" t="n"/>
      <c r="E1799" s="72" t="n"/>
      <c r="F1799" s="72" t="n"/>
      <c r="G1799" s="72" t="n"/>
      <c r="H1799" s="72" t="n"/>
      <c r="I1799" s="72" t="n"/>
      <c r="J1799" s="72" t="n"/>
      <c r="K1799" s="72" t="n"/>
      <c r="L1799" s="72" t="n"/>
      <c r="M1799" s="72" t="n"/>
      <c r="N1799" s="72" t="n"/>
      <c r="O1799" s="72" t="n"/>
      <c r="P1799" s="72" t="n"/>
      <c r="Q1799" s="72" t="n"/>
      <c r="R1799" s="72" t="n"/>
      <c r="S1799" s="72" t="n"/>
    </row>
    <row r="1800">
      <c r="B1800" s="72" t="n"/>
      <c r="C1800" s="72" t="n"/>
      <c r="D1800" s="72" t="n"/>
      <c r="E1800" s="72" t="n"/>
      <c r="F1800" s="72" t="n"/>
      <c r="G1800" s="72" t="n"/>
      <c r="H1800" s="72" t="n"/>
      <c r="I1800" s="72" t="n"/>
      <c r="J1800" s="72" t="n"/>
      <c r="K1800" s="72" t="n"/>
      <c r="L1800" s="72" t="n"/>
      <c r="M1800" s="72" t="n"/>
      <c r="N1800" s="72" t="n"/>
      <c r="O1800" s="72" t="n"/>
      <c r="P1800" s="72" t="n"/>
      <c r="Q1800" s="72" t="n"/>
      <c r="R1800" s="72" t="n"/>
      <c r="S1800" s="72" t="n"/>
    </row>
    <row r="1801">
      <c r="B1801" s="72" t="n"/>
      <c r="C1801" s="72" t="n"/>
      <c r="D1801" s="72" t="n"/>
      <c r="E1801" s="72" t="n"/>
      <c r="F1801" s="72" t="n"/>
      <c r="G1801" s="72" t="n"/>
      <c r="H1801" s="72" t="n"/>
      <c r="I1801" s="72" t="n"/>
      <c r="J1801" s="72" t="n"/>
      <c r="K1801" s="72" t="n"/>
      <c r="L1801" s="72" t="n"/>
      <c r="M1801" s="72" t="n"/>
      <c r="N1801" s="72" t="n"/>
      <c r="O1801" s="72" t="n"/>
      <c r="P1801" s="72" t="n"/>
      <c r="Q1801" s="72" t="n"/>
      <c r="R1801" s="72" t="n"/>
      <c r="S1801" s="72" t="n"/>
    </row>
    <row r="1802">
      <c r="B1802" s="72" t="n"/>
      <c r="C1802" s="72" t="n"/>
      <c r="D1802" s="72" t="n"/>
      <c r="E1802" s="72" t="n"/>
      <c r="F1802" s="72" t="n"/>
      <c r="G1802" s="72" t="n"/>
      <c r="H1802" s="72" t="n"/>
      <c r="I1802" s="72" t="n"/>
      <c r="J1802" s="72" t="n"/>
      <c r="K1802" s="72" t="n"/>
      <c r="L1802" s="72" t="n"/>
      <c r="M1802" s="72" t="n"/>
      <c r="N1802" s="72" t="n"/>
      <c r="O1802" s="72" t="n"/>
      <c r="P1802" s="72" t="n"/>
      <c r="Q1802" s="72" t="n"/>
      <c r="R1802" s="72" t="n"/>
      <c r="S1802" s="72" t="n"/>
    </row>
    <row r="1803">
      <c r="B1803" s="72" t="n"/>
      <c r="C1803" s="72" t="n"/>
      <c r="D1803" s="72" t="n"/>
      <c r="E1803" s="72" t="n"/>
      <c r="F1803" s="72" t="n"/>
      <c r="G1803" s="72" t="n"/>
      <c r="H1803" s="72" t="n"/>
      <c r="I1803" s="72" t="n"/>
      <c r="J1803" s="72" t="n"/>
      <c r="K1803" s="72" t="n"/>
      <c r="L1803" s="72" t="n"/>
      <c r="M1803" s="72" t="n"/>
      <c r="N1803" s="72" t="n"/>
      <c r="O1803" s="72" t="n"/>
      <c r="P1803" s="72" t="n"/>
      <c r="Q1803" s="72" t="n"/>
      <c r="R1803" s="72" t="n"/>
      <c r="S1803" s="72" t="n"/>
    </row>
    <row r="1804">
      <c r="B1804" s="72" t="n"/>
      <c r="C1804" s="72" t="n"/>
      <c r="D1804" s="72" t="n"/>
      <c r="E1804" s="72" t="n"/>
      <c r="F1804" s="72" t="n"/>
      <c r="G1804" s="72" t="n"/>
      <c r="H1804" s="72" t="n"/>
      <c r="I1804" s="72" t="n"/>
      <c r="J1804" s="72" t="n"/>
      <c r="K1804" s="72" t="n"/>
      <c r="L1804" s="72" t="n"/>
      <c r="M1804" s="72" t="n"/>
      <c r="N1804" s="72" t="n"/>
      <c r="O1804" s="72" t="n"/>
      <c r="P1804" s="72" t="n"/>
      <c r="Q1804" s="72" t="n"/>
      <c r="R1804" s="72" t="n"/>
      <c r="S1804" s="72" t="n"/>
    </row>
    <row r="1805">
      <c r="B1805" s="72" t="n"/>
      <c r="C1805" s="72" t="n"/>
      <c r="D1805" s="72" t="n"/>
      <c r="E1805" s="72" t="n"/>
      <c r="F1805" s="72" t="n"/>
      <c r="G1805" s="72" t="n"/>
      <c r="H1805" s="72" t="n"/>
      <c r="I1805" s="72" t="n"/>
      <c r="J1805" s="72" t="n"/>
      <c r="K1805" s="72" t="n"/>
      <c r="L1805" s="72" t="n"/>
      <c r="M1805" s="72" t="n"/>
      <c r="N1805" s="72" t="n"/>
      <c r="O1805" s="72" t="n"/>
      <c r="P1805" s="72" t="n"/>
      <c r="Q1805" s="72" t="n"/>
      <c r="R1805" s="72" t="n"/>
      <c r="S1805" s="72" t="n"/>
    </row>
    <row r="1806">
      <c r="B1806" s="72" t="n"/>
      <c r="C1806" s="72" t="n"/>
      <c r="D1806" s="72" t="n"/>
      <c r="E1806" s="72" t="n"/>
      <c r="F1806" s="72" t="n"/>
      <c r="G1806" s="72" t="n"/>
      <c r="H1806" s="72" t="n"/>
      <c r="I1806" s="72" t="n"/>
      <c r="J1806" s="72" t="n"/>
      <c r="K1806" s="72" t="n"/>
      <c r="L1806" s="72" t="n"/>
      <c r="M1806" s="72" t="n"/>
      <c r="N1806" s="72" t="n"/>
      <c r="O1806" s="72" t="n"/>
      <c r="P1806" s="72" t="n"/>
      <c r="Q1806" s="72" t="n"/>
      <c r="R1806" s="72" t="n"/>
      <c r="S1806" s="72" t="n"/>
    </row>
    <row r="1807">
      <c r="B1807" s="72" t="n"/>
      <c r="C1807" s="72" t="n"/>
      <c r="D1807" s="72" t="n"/>
      <c r="E1807" s="72" t="n"/>
      <c r="F1807" s="72" t="n"/>
      <c r="G1807" s="72" t="n"/>
      <c r="H1807" s="72" t="n"/>
      <c r="I1807" s="72" t="n"/>
      <c r="J1807" s="72" t="n"/>
      <c r="K1807" s="72" t="n"/>
      <c r="L1807" s="72" t="n"/>
      <c r="M1807" s="72" t="n"/>
      <c r="N1807" s="72" t="n"/>
      <c r="O1807" s="72" t="n"/>
      <c r="P1807" s="72" t="n"/>
      <c r="Q1807" s="72" t="n"/>
      <c r="R1807" s="72" t="n"/>
      <c r="S1807" s="72" t="n"/>
    </row>
    <row r="1808">
      <c r="B1808" s="72" t="n"/>
      <c r="C1808" s="72" t="n"/>
      <c r="D1808" s="72" t="n"/>
      <c r="E1808" s="72" t="n"/>
      <c r="F1808" s="72" t="n"/>
      <c r="G1808" s="72" t="n"/>
      <c r="H1808" s="72" t="n"/>
      <c r="I1808" s="72" t="n"/>
      <c r="J1808" s="72" t="n"/>
      <c r="K1808" s="72" t="n"/>
      <c r="L1808" s="72" t="n"/>
      <c r="M1808" s="72" t="n"/>
      <c r="N1808" s="72" t="n"/>
      <c r="O1808" s="72" t="n"/>
      <c r="P1808" s="72" t="n"/>
      <c r="Q1808" s="72" t="n"/>
      <c r="R1808" s="72" t="n"/>
      <c r="S1808" s="72" t="n"/>
    </row>
    <row r="1809">
      <c r="B1809" s="72" t="n"/>
      <c r="C1809" s="72" t="n"/>
      <c r="D1809" s="72" t="n"/>
      <c r="E1809" s="72" t="n"/>
      <c r="F1809" s="72" t="n"/>
      <c r="G1809" s="72" t="n"/>
      <c r="H1809" s="72" t="n"/>
      <c r="I1809" s="72" t="n"/>
      <c r="J1809" s="72" t="n"/>
      <c r="K1809" s="72" t="n"/>
      <c r="L1809" s="72" t="n"/>
      <c r="M1809" s="72" t="n"/>
      <c r="N1809" s="72" t="n"/>
      <c r="O1809" s="72" t="n"/>
      <c r="P1809" s="72" t="n"/>
      <c r="Q1809" s="72" t="n"/>
      <c r="R1809" s="72" t="n"/>
      <c r="S1809" s="72" t="n"/>
    </row>
    <row r="1810">
      <c r="B1810" s="72" t="n"/>
      <c r="C1810" s="72" t="n"/>
      <c r="D1810" s="72" t="n"/>
      <c r="E1810" s="72" t="n"/>
      <c r="F1810" s="72" t="n"/>
      <c r="G1810" s="72" t="n"/>
      <c r="H1810" s="72" t="n"/>
      <c r="I1810" s="72" t="n"/>
      <c r="J1810" s="72" t="n"/>
      <c r="K1810" s="72" t="n"/>
      <c r="L1810" s="72" t="n"/>
      <c r="M1810" s="72" t="n"/>
      <c r="N1810" s="72" t="n"/>
      <c r="O1810" s="72" t="n"/>
      <c r="P1810" s="72" t="n"/>
      <c r="Q1810" s="72" t="n"/>
      <c r="R1810" s="72" t="n"/>
      <c r="S1810" s="72" t="n"/>
    </row>
    <row r="1811">
      <c r="B1811" s="72" t="n"/>
      <c r="C1811" s="72" t="n"/>
      <c r="D1811" s="72" t="n"/>
      <c r="E1811" s="72" t="n"/>
      <c r="F1811" s="72" t="n"/>
      <c r="G1811" s="72" t="n"/>
      <c r="H1811" s="72" t="n"/>
      <c r="I1811" s="72" t="n"/>
      <c r="J1811" s="72" t="n"/>
      <c r="K1811" s="72" t="n"/>
      <c r="L1811" s="72" t="n"/>
      <c r="M1811" s="72" t="n"/>
      <c r="N1811" s="72" t="n"/>
      <c r="O1811" s="72" t="n"/>
      <c r="P1811" s="72" t="n"/>
      <c r="Q1811" s="72" t="n"/>
      <c r="R1811" s="72" t="n"/>
      <c r="S1811" s="72" t="n"/>
    </row>
    <row r="1812">
      <c r="B1812" s="72" t="n"/>
      <c r="C1812" s="72" t="n"/>
      <c r="D1812" s="72" t="n"/>
      <c r="E1812" s="72" t="n"/>
      <c r="F1812" s="72" t="n"/>
      <c r="G1812" s="72" t="n"/>
      <c r="H1812" s="72" t="n"/>
      <c r="I1812" s="72" t="n"/>
      <c r="J1812" s="72" t="n"/>
      <c r="K1812" s="72" t="n"/>
      <c r="L1812" s="72" t="n"/>
      <c r="M1812" s="72" t="n"/>
      <c r="N1812" s="72" t="n"/>
      <c r="O1812" s="72" t="n"/>
      <c r="P1812" s="72" t="n"/>
      <c r="Q1812" s="72" t="n"/>
      <c r="R1812" s="72" t="n"/>
      <c r="S1812" s="72" t="n"/>
    </row>
    <row r="1813">
      <c r="B1813" s="72" t="n"/>
      <c r="C1813" s="72" t="n"/>
      <c r="D1813" s="72" t="n"/>
      <c r="E1813" s="72" t="n"/>
      <c r="F1813" s="72" t="n"/>
      <c r="G1813" s="72" t="n"/>
      <c r="H1813" s="72" t="n"/>
      <c r="I1813" s="72" t="n"/>
      <c r="J1813" s="72" t="n"/>
      <c r="K1813" s="72" t="n"/>
      <c r="L1813" s="72" t="n"/>
      <c r="M1813" s="72" t="n"/>
      <c r="N1813" s="72" t="n"/>
      <c r="O1813" s="72" t="n"/>
      <c r="P1813" s="72" t="n"/>
      <c r="Q1813" s="72" t="n"/>
      <c r="R1813" s="72" t="n"/>
      <c r="S1813" s="72" t="n"/>
    </row>
    <row r="1814">
      <c r="B1814" s="72" t="n"/>
      <c r="C1814" s="72" t="n"/>
      <c r="D1814" s="72" t="n"/>
      <c r="E1814" s="72" t="n"/>
      <c r="F1814" s="72" t="n"/>
      <c r="G1814" s="72" t="n"/>
      <c r="H1814" s="72" t="n"/>
      <c r="I1814" s="72" t="n"/>
      <c r="J1814" s="72" t="n"/>
      <c r="K1814" s="72" t="n"/>
      <c r="L1814" s="72" t="n"/>
      <c r="M1814" s="72" t="n"/>
      <c r="N1814" s="72" t="n"/>
      <c r="O1814" s="72" t="n"/>
      <c r="P1814" s="72" t="n"/>
      <c r="Q1814" s="72" t="n"/>
      <c r="R1814" s="72" t="n"/>
      <c r="S1814" s="72" t="n"/>
    </row>
    <row r="1815">
      <c r="B1815" s="72" t="n"/>
      <c r="C1815" s="72" t="n"/>
      <c r="D1815" s="72" t="n"/>
      <c r="E1815" s="72" t="n"/>
      <c r="F1815" s="72" t="n"/>
      <c r="G1815" s="72" t="n"/>
      <c r="H1815" s="72" t="n"/>
      <c r="I1815" s="72" t="n"/>
      <c r="J1815" s="72" t="n"/>
      <c r="K1815" s="72" t="n"/>
      <c r="L1815" s="72" t="n"/>
      <c r="M1815" s="72" t="n"/>
      <c r="N1815" s="72" t="n"/>
      <c r="O1815" s="72" t="n"/>
      <c r="P1815" s="72" t="n"/>
      <c r="Q1815" s="72" t="n"/>
      <c r="R1815" s="72" t="n"/>
      <c r="S1815" s="72" t="n"/>
    </row>
    <row r="1816">
      <c r="B1816" s="72" t="n"/>
      <c r="C1816" s="72" t="n"/>
      <c r="D1816" s="72" t="n"/>
      <c r="E1816" s="72" t="n"/>
      <c r="F1816" s="72" t="n"/>
      <c r="G1816" s="72" t="n"/>
      <c r="H1816" s="72" t="n"/>
      <c r="I1816" s="72" t="n"/>
      <c r="J1816" s="72" t="n"/>
      <c r="K1816" s="72" t="n"/>
      <c r="L1816" s="72" t="n"/>
      <c r="M1816" s="72" t="n"/>
      <c r="N1816" s="72" t="n"/>
      <c r="O1816" s="72" t="n"/>
      <c r="P1816" s="72" t="n"/>
      <c r="Q1816" s="72" t="n"/>
      <c r="R1816" s="72" t="n"/>
      <c r="S1816" s="72" t="n"/>
    </row>
    <row r="1817">
      <c r="B1817" s="72" t="n"/>
      <c r="C1817" s="72" t="n"/>
      <c r="D1817" s="72" t="n"/>
      <c r="E1817" s="72" t="n"/>
      <c r="F1817" s="72" t="n"/>
      <c r="G1817" s="72" t="n"/>
      <c r="H1817" s="72" t="n"/>
      <c r="I1817" s="72" t="n"/>
      <c r="J1817" s="72" t="n"/>
      <c r="K1817" s="72" t="n"/>
      <c r="L1817" s="72" t="n"/>
      <c r="M1817" s="72" t="n"/>
      <c r="N1817" s="72" t="n"/>
      <c r="O1817" s="72" t="n"/>
      <c r="P1817" s="72" t="n"/>
      <c r="Q1817" s="72" t="n"/>
      <c r="R1817" s="72" t="n"/>
      <c r="S1817" s="72" t="n"/>
    </row>
    <row r="1818">
      <c r="B1818" s="72" t="n"/>
      <c r="C1818" s="72" t="n"/>
      <c r="D1818" s="72" t="n"/>
      <c r="E1818" s="72" t="n"/>
      <c r="F1818" s="72" t="n"/>
      <c r="G1818" s="72" t="n"/>
      <c r="H1818" s="72" t="n"/>
      <c r="I1818" s="72" t="n"/>
      <c r="J1818" s="72" t="n"/>
      <c r="K1818" s="72" t="n"/>
      <c r="L1818" s="72" t="n"/>
      <c r="M1818" s="72" t="n"/>
      <c r="N1818" s="72" t="n"/>
      <c r="O1818" s="72" t="n"/>
      <c r="P1818" s="72" t="n"/>
      <c r="Q1818" s="72" t="n"/>
      <c r="R1818" s="72" t="n"/>
      <c r="S1818" s="72" t="n"/>
    </row>
    <row r="1819">
      <c r="B1819" s="72" t="n"/>
      <c r="C1819" s="72" t="n"/>
      <c r="D1819" s="72" t="n"/>
      <c r="E1819" s="72" t="n"/>
      <c r="F1819" s="72" t="n"/>
      <c r="G1819" s="72" t="n"/>
      <c r="H1819" s="72" t="n"/>
      <c r="I1819" s="72" t="n"/>
      <c r="J1819" s="72" t="n"/>
      <c r="K1819" s="72" t="n"/>
      <c r="L1819" s="72" t="n"/>
      <c r="M1819" s="72" t="n"/>
      <c r="N1819" s="72" t="n"/>
      <c r="O1819" s="72" t="n"/>
      <c r="P1819" s="72" t="n"/>
      <c r="Q1819" s="72" t="n"/>
      <c r="R1819" s="72" t="n"/>
      <c r="S1819" s="72" t="n"/>
    </row>
    <row r="1820">
      <c r="B1820" s="72" t="n"/>
      <c r="C1820" s="72" t="n"/>
      <c r="D1820" s="72" t="n"/>
      <c r="E1820" s="72" t="n"/>
      <c r="F1820" s="72" t="n"/>
      <c r="G1820" s="72" t="n"/>
      <c r="H1820" s="72" t="n"/>
      <c r="I1820" s="72" t="n"/>
      <c r="J1820" s="72" t="n"/>
      <c r="K1820" s="72" t="n"/>
      <c r="L1820" s="72" t="n"/>
      <c r="M1820" s="72" t="n"/>
      <c r="N1820" s="72" t="n"/>
      <c r="O1820" s="72" t="n"/>
      <c r="P1820" s="72" t="n"/>
      <c r="Q1820" s="72" t="n"/>
      <c r="R1820" s="72" t="n"/>
      <c r="S1820" s="72" t="n"/>
    </row>
    <row r="1821">
      <c r="B1821" s="72" t="n"/>
      <c r="C1821" s="72" t="n"/>
      <c r="D1821" s="72" t="n"/>
      <c r="E1821" s="72" t="n"/>
      <c r="F1821" s="72" t="n"/>
      <c r="G1821" s="72" t="n"/>
      <c r="H1821" s="72" t="n"/>
      <c r="I1821" s="72" t="n"/>
      <c r="J1821" s="72" t="n"/>
      <c r="K1821" s="72" t="n"/>
      <c r="L1821" s="72" t="n"/>
      <c r="M1821" s="72" t="n"/>
      <c r="N1821" s="72" t="n"/>
      <c r="O1821" s="72" t="n"/>
      <c r="P1821" s="72" t="n"/>
      <c r="Q1821" s="72" t="n"/>
      <c r="R1821" s="72" t="n"/>
      <c r="S1821" s="72" t="n"/>
    </row>
    <row r="1822">
      <c r="B1822" s="72" t="n"/>
      <c r="C1822" s="72" t="n"/>
      <c r="D1822" s="72" t="n"/>
      <c r="E1822" s="72" t="n"/>
      <c r="F1822" s="72" t="n"/>
      <c r="G1822" s="72" t="n"/>
      <c r="H1822" s="72" t="n"/>
      <c r="I1822" s="72" t="n"/>
      <c r="J1822" s="72" t="n"/>
      <c r="K1822" s="72" t="n"/>
      <c r="L1822" s="72" t="n"/>
      <c r="M1822" s="72" t="n"/>
      <c r="N1822" s="72" t="n"/>
      <c r="O1822" s="72" t="n"/>
      <c r="P1822" s="72" t="n"/>
      <c r="Q1822" s="72" t="n"/>
      <c r="R1822" s="72" t="n"/>
      <c r="S1822" s="72" t="n"/>
    </row>
    <row r="1823">
      <c r="B1823" s="72" t="n"/>
      <c r="C1823" s="72" t="n"/>
      <c r="D1823" s="72" t="n"/>
      <c r="E1823" s="72" t="n"/>
      <c r="F1823" s="72" t="n"/>
      <c r="G1823" s="72" t="n"/>
      <c r="H1823" s="72" t="n"/>
      <c r="I1823" s="72" t="n"/>
      <c r="J1823" s="72" t="n"/>
      <c r="K1823" s="72" t="n"/>
      <c r="L1823" s="72" t="n"/>
      <c r="M1823" s="72" t="n"/>
      <c r="N1823" s="72" t="n"/>
      <c r="O1823" s="72" t="n"/>
      <c r="P1823" s="72" t="n"/>
      <c r="Q1823" s="72" t="n"/>
      <c r="R1823" s="72" t="n"/>
      <c r="S1823" s="72" t="n"/>
    </row>
    <row r="1824">
      <c r="B1824" s="72" t="n"/>
      <c r="C1824" s="72" t="n"/>
      <c r="D1824" s="72" t="n"/>
      <c r="E1824" s="72" t="n"/>
      <c r="F1824" s="72" t="n"/>
      <c r="G1824" s="72" t="n"/>
      <c r="H1824" s="72" t="n"/>
      <c r="I1824" s="72" t="n"/>
      <c r="J1824" s="72" t="n"/>
      <c r="K1824" s="72" t="n"/>
      <c r="L1824" s="72" t="n"/>
      <c r="M1824" s="72" t="n"/>
      <c r="N1824" s="72" t="n"/>
      <c r="O1824" s="72" t="n"/>
      <c r="P1824" s="72" t="n"/>
      <c r="Q1824" s="72" t="n"/>
      <c r="R1824" s="72" t="n"/>
      <c r="S1824" s="72" t="n"/>
    </row>
    <row r="1825">
      <c r="B1825" s="72" t="n"/>
      <c r="C1825" s="72" t="n"/>
      <c r="D1825" s="72" t="n"/>
      <c r="E1825" s="72" t="n"/>
      <c r="F1825" s="72" t="n"/>
      <c r="G1825" s="72" t="n"/>
      <c r="H1825" s="72" t="n"/>
      <c r="I1825" s="72" t="n"/>
      <c r="J1825" s="72" t="n"/>
      <c r="K1825" s="72" t="n"/>
      <c r="L1825" s="72" t="n"/>
      <c r="M1825" s="72" t="n"/>
      <c r="N1825" s="72" t="n"/>
      <c r="O1825" s="72" t="n"/>
      <c r="P1825" s="72" t="n"/>
      <c r="Q1825" s="72" t="n"/>
      <c r="R1825" s="72" t="n"/>
      <c r="S1825" s="72" t="n"/>
    </row>
    <row r="1826">
      <c r="B1826" s="72" t="n"/>
      <c r="C1826" s="72" t="n"/>
      <c r="D1826" s="72" t="n"/>
      <c r="E1826" s="72" t="n"/>
      <c r="F1826" s="72" t="n"/>
      <c r="G1826" s="72" t="n"/>
      <c r="H1826" s="72" t="n"/>
      <c r="I1826" s="72" t="n"/>
      <c r="J1826" s="72" t="n"/>
      <c r="K1826" s="72" t="n"/>
      <c r="L1826" s="72" t="n"/>
      <c r="M1826" s="72" t="n"/>
      <c r="N1826" s="72" t="n"/>
      <c r="O1826" s="72" t="n"/>
      <c r="P1826" s="72" t="n"/>
      <c r="Q1826" s="72" t="n"/>
      <c r="R1826" s="72" t="n"/>
      <c r="S1826" s="72" t="n"/>
    </row>
    <row r="1827">
      <c r="B1827" s="72" t="n"/>
      <c r="C1827" s="72" t="n"/>
      <c r="D1827" s="72" t="n"/>
      <c r="E1827" s="72" t="n"/>
      <c r="F1827" s="72" t="n"/>
      <c r="G1827" s="72" t="n"/>
      <c r="H1827" s="72" t="n"/>
      <c r="I1827" s="72" t="n"/>
      <c r="J1827" s="72" t="n"/>
      <c r="K1827" s="72" t="n"/>
      <c r="L1827" s="72" t="n"/>
      <c r="M1827" s="72" t="n"/>
      <c r="N1827" s="72" t="n"/>
      <c r="O1827" s="72" t="n"/>
      <c r="P1827" s="72" t="n"/>
      <c r="Q1827" s="72" t="n"/>
      <c r="R1827" s="72" t="n"/>
      <c r="S1827" s="72" t="n"/>
    </row>
    <row r="1828">
      <c r="B1828" s="72" t="n"/>
      <c r="C1828" s="72" t="n"/>
      <c r="D1828" s="72" t="n"/>
      <c r="E1828" s="72" t="n"/>
      <c r="F1828" s="72" t="n"/>
      <c r="G1828" s="72" t="n"/>
      <c r="H1828" s="72" t="n"/>
      <c r="I1828" s="72" t="n"/>
      <c r="J1828" s="72" t="n"/>
      <c r="K1828" s="72" t="n"/>
      <c r="L1828" s="72" t="n"/>
      <c r="M1828" s="72" t="n"/>
      <c r="N1828" s="72" t="n"/>
      <c r="O1828" s="72" t="n"/>
      <c r="P1828" s="72" t="n"/>
      <c r="Q1828" s="72" t="n"/>
      <c r="R1828" s="72" t="n"/>
      <c r="S1828" s="72" t="n"/>
    </row>
    <row r="1829">
      <c r="B1829" s="72" t="n"/>
      <c r="C1829" s="72" t="n"/>
      <c r="D1829" s="72" t="n"/>
      <c r="E1829" s="72" t="n"/>
      <c r="F1829" s="72" t="n"/>
      <c r="G1829" s="72" t="n"/>
      <c r="H1829" s="72" t="n"/>
      <c r="I1829" s="72" t="n"/>
      <c r="J1829" s="72" t="n"/>
      <c r="K1829" s="72" t="n"/>
      <c r="L1829" s="72" t="n"/>
      <c r="M1829" s="72" t="n"/>
      <c r="N1829" s="72" t="n"/>
      <c r="O1829" s="72" t="n"/>
      <c r="P1829" s="72" t="n"/>
      <c r="Q1829" s="72" t="n"/>
      <c r="R1829" s="72" t="n"/>
      <c r="S1829" s="72" t="n"/>
    </row>
    <row r="1830">
      <c r="B1830" s="72" t="n"/>
      <c r="C1830" s="72" t="n"/>
      <c r="D1830" s="72" t="n"/>
      <c r="E1830" s="72" t="n"/>
      <c r="F1830" s="72" t="n"/>
      <c r="G1830" s="72" t="n"/>
      <c r="H1830" s="72" t="n"/>
      <c r="I1830" s="72" t="n"/>
      <c r="J1830" s="72" t="n"/>
      <c r="K1830" s="72" t="n"/>
      <c r="L1830" s="72" t="n"/>
      <c r="M1830" s="72" t="n"/>
      <c r="N1830" s="72" t="n"/>
      <c r="O1830" s="72" t="n"/>
      <c r="P1830" s="72" t="n"/>
      <c r="Q1830" s="72" t="n"/>
      <c r="R1830" s="72" t="n"/>
      <c r="S1830" s="72" t="n"/>
    </row>
    <row r="1831">
      <c r="B1831" s="72" t="n"/>
      <c r="C1831" s="72" t="n"/>
      <c r="D1831" s="72" t="n"/>
      <c r="E1831" s="72" t="n"/>
      <c r="F1831" s="72" t="n"/>
      <c r="G1831" s="72" t="n"/>
      <c r="H1831" s="72" t="n"/>
      <c r="I1831" s="72" t="n"/>
      <c r="J1831" s="72" t="n"/>
      <c r="K1831" s="72" t="n"/>
      <c r="L1831" s="72" t="n"/>
      <c r="M1831" s="72" t="n"/>
      <c r="N1831" s="72" t="n"/>
      <c r="O1831" s="72" t="n"/>
      <c r="P1831" s="72" t="n"/>
      <c r="Q1831" s="72" t="n"/>
      <c r="R1831" s="72" t="n"/>
      <c r="S1831" s="72" t="n"/>
    </row>
    <row r="1832">
      <c r="B1832" s="72" t="n"/>
      <c r="C1832" s="72" t="n"/>
      <c r="D1832" s="72" t="n"/>
      <c r="E1832" s="72" t="n"/>
      <c r="F1832" s="72" t="n"/>
      <c r="G1832" s="72" t="n"/>
      <c r="H1832" s="72" t="n"/>
      <c r="I1832" s="72" t="n"/>
      <c r="J1832" s="72" t="n"/>
      <c r="K1832" s="72" t="n"/>
      <c r="L1832" s="72" t="n"/>
      <c r="M1832" s="72" t="n"/>
      <c r="N1832" s="72" t="n"/>
      <c r="O1832" s="72" t="n"/>
      <c r="P1832" s="72" t="n"/>
      <c r="Q1832" s="72" t="n"/>
      <c r="R1832" s="72" t="n"/>
      <c r="S1832" s="72" t="n"/>
    </row>
    <row r="1833">
      <c r="B1833" s="72" t="n"/>
      <c r="C1833" s="72" t="n"/>
      <c r="D1833" s="72" t="n"/>
      <c r="E1833" s="72" t="n"/>
      <c r="F1833" s="72" t="n"/>
      <c r="G1833" s="72" t="n"/>
      <c r="H1833" s="72" t="n"/>
      <c r="I1833" s="72" t="n"/>
      <c r="J1833" s="72" t="n"/>
      <c r="K1833" s="72" t="n"/>
      <c r="L1833" s="72" t="n"/>
      <c r="M1833" s="72" t="n"/>
      <c r="N1833" s="72" t="n"/>
      <c r="O1833" s="72" t="n"/>
      <c r="P1833" s="72" t="n"/>
      <c r="Q1833" s="72" t="n"/>
      <c r="R1833" s="72" t="n"/>
      <c r="S1833" s="72" t="n"/>
    </row>
    <row r="1834">
      <c r="B1834" s="72" t="n"/>
      <c r="C1834" s="72" t="n"/>
      <c r="D1834" s="72" t="n"/>
      <c r="E1834" s="72" t="n"/>
      <c r="F1834" s="72" t="n"/>
      <c r="G1834" s="72" t="n"/>
      <c r="H1834" s="72" t="n"/>
      <c r="I1834" s="72" t="n"/>
      <c r="J1834" s="72" t="n"/>
      <c r="K1834" s="72" t="n"/>
      <c r="L1834" s="72" t="n"/>
      <c r="M1834" s="72" t="n"/>
      <c r="N1834" s="72" t="n"/>
      <c r="O1834" s="72" t="n"/>
      <c r="P1834" s="72" t="n"/>
      <c r="Q1834" s="72" t="n"/>
      <c r="R1834" s="72" t="n"/>
      <c r="S1834" s="72" t="n"/>
    </row>
    <row r="1835">
      <c r="B1835" s="72" t="n"/>
      <c r="C1835" s="72" t="n"/>
      <c r="D1835" s="72" t="n"/>
      <c r="E1835" s="72" t="n"/>
      <c r="F1835" s="72" t="n"/>
      <c r="G1835" s="72" t="n"/>
      <c r="H1835" s="72" t="n"/>
      <c r="I1835" s="72" t="n"/>
      <c r="J1835" s="72" t="n"/>
      <c r="K1835" s="72" t="n"/>
      <c r="L1835" s="72" t="n"/>
      <c r="M1835" s="72" t="n"/>
      <c r="N1835" s="72" t="n"/>
      <c r="O1835" s="72" t="n"/>
      <c r="P1835" s="72" t="n"/>
      <c r="Q1835" s="72" t="n"/>
      <c r="R1835" s="72" t="n"/>
      <c r="S1835" s="72" t="n"/>
    </row>
    <row r="1836">
      <c r="B1836" s="72" t="n"/>
      <c r="C1836" s="72" t="n"/>
      <c r="D1836" s="72" t="n"/>
      <c r="E1836" s="72" t="n"/>
      <c r="F1836" s="72" t="n"/>
      <c r="G1836" s="72" t="n"/>
      <c r="H1836" s="72" t="n"/>
      <c r="I1836" s="72" t="n"/>
      <c r="J1836" s="72" t="n"/>
      <c r="K1836" s="72" t="n"/>
      <c r="L1836" s="72" t="n"/>
      <c r="M1836" s="72" t="n"/>
      <c r="N1836" s="72" t="n"/>
      <c r="O1836" s="72" t="n"/>
      <c r="P1836" s="72" t="n"/>
      <c r="Q1836" s="72" t="n"/>
      <c r="R1836" s="72" t="n"/>
      <c r="S1836" s="72" t="n"/>
    </row>
    <row r="1837">
      <c r="B1837" s="72" t="n"/>
      <c r="C1837" s="72" t="n"/>
      <c r="D1837" s="72" t="n"/>
      <c r="E1837" s="72" t="n"/>
      <c r="F1837" s="72" t="n"/>
      <c r="G1837" s="72" t="n"/>
      <c r="H1837" s="72" t="n"/>
      <c r="I1837" s="72" t="n"/>
      <c r="J1837" s="72" t="n"/>
      <c r="K1837" s="72" t="n"/>
      <c r="L1837" s="72" t="n"/>
      <c r="M1837" s="72" t="n"/>
      <c r="N1837" s="72" t="n"/>
      <c r="O1837" s="72" t="n"/>
      <c r="P1837" s="72" t="n"/>
      <c r="Q1837" s="72" t="n"/>
      <c r="R1837" s="72" t="n"/>
      <c r="S1837" s="72" t="n"/>
    </row>
    <row r="1838">
      <c r="B1838" s="72" t="n"/>
      <c r="C1838" s="72" t="n"/>
      <c r="D1838" s="72" t="n"/>
      <c r="E1838" s="72" t="n"/>
      <c r="F1838" s="72" t="n"/>
      <c r="G1838" s="72" t="n"/>
      <c r="H1838" s="72" t="n"/>
      <c r="I1838" s="72" t="n"/>
      <c r="J1838" s="72" t="n"/>
      <c r="K1838" s="72" t="n"/>
      <c r="L1838" s="72" t="n"/>
      <c r="M1838" s="72" t="n"/>
      <c r="N1838" s="72" t="n"/>
      <c r="O1838" s="72" t="n"/>
      <c r="P1838" s="72" t="n"/>
      <c r="Q1838" s="72" t="n"/>
      <c r="R1838" s="72" t="n"/>
      <c r="S1838" s="72" t="n"/>
    </row>
    <row r="1839">
      <c r="B1839" s="72" t="n"/>
      <c r="C1839" s="72" t="n"/>
      <c r="D1839" s="72" t="n"/>
      <c r="E1839" s="72" t="n"/>
      <c r="F1839" s="72" t="n"/>
      <c r="G1839" s="72" t="n"/>
      <c r="H1839" s="72" t="n"/>
      <c r="I1839" s="72" t="n"/>
      <c r="J1839" s="72" t="n"/>
      <c r="K1839" s="72" t="n"/>
      <c r="L1839" s="72" t="n"/>
      <c r="M1839" s="72" t="n"/>
      <c r="N1839" s="72" t="n"/>
      <c r="O1839" s="72" t="n"/>
      <c r="P1839" s="72" t="n"/>
      <c r="Q1839" s="72" t="n"/>
      <c r="R1839" s="72" t="n"/>
      <c r="S1839" s="72" t="n"/>
    </row>
    <row r="1840">
      <c r="B1840" s="72" t="n"/>
      <c r="C1840" s="72" t="n"/>
      <c r="D1840" s="72" t="n"/>
      <c r="E1840" s="72" t="n"/>
      <c r="F1840" s="72" t="n"/>
      <c r="G1840" s="72" t="n"/>
      <c r="H1840" s="72" t="n"/>
      <c r="I1840" s="72" t="n"/>
      <c r="J1840" s="72" t="n"/>
      <c r="K1840" s="72" t="n"/>
      <c r="L1840" s="72" t="n"/>
      <c r="M1840" s="72" t="n"/>
      <c r="N1840" s="72" t="n"/>
      <c r="O1840" s="72" t="n"/>
      <c r="P1840" s="72" t="n"/>
      <c r="Q1840" s="72" t="n"/>
      <c r="R1840" s="72" t="n"/>
      <c r="S1840" s="72" t="n"/>
    </row>
    <row r="1841">
      <c r="B1841" s="72" t="n"/>
      <c r="C1841" s="72" t="n"/>
      <c r="D1841" s="72" t="n"/>
      <c r="E1841" s="72" t="n"/>
      <c r="F1841" s="72" t="n"/>
      <c r="G1841" s="72" t="n"/>
      <c r="H1841" s="72" t="n"/>
      <c r="I1841" s="72" t="n"/>
      <c r="J1841" s="72" t="n"/>
      <c r="K1841" s="72" t="n"/>
      <c r="L1841" s="72" t="n"/>
      <c r="M1841" s="72" t="n"/>
      <c r="N1841" s="72" t="n"/>
      <c r="O1841" s="72" t="n"/>
      <c r="P1841" s="72" t="n"/>
      <c r="Q1841" s="72" t="n"/>
      <c r="R1841" s="72" t="n"/>
      <c r="S1841" s="72" t="n"/>
    </row>
    <row r="1842">
      <c r="B1842" s="72" t="n"/>
      <c r="C1842" s="72" t="n"/>
      <c r="D1842" s="72" t="n"/>
      <c r="E1842" s="72" t="n"/>
      <c r="F1842" s="72" t="n"/>
      <c r="G1842" s="72" t="n"/>
      <c r="H1842" s="72" t="n"/>
      <c r="I1842" s="72" t="n"/>
      <c r="J1842" s="72" t="n"/>
      <c r="K1842" s="72" t="n"/>
      <c r="L1842" s="72" t="n"/>
      <c r="M1842" s="72" t="n"/>
      <c r="N1842" s="72" t="n"/>
      <c r="O1842" s="72" t="n"/>
      <c r="P1842" s="72" t="n"/>
      <c r="Q1842" s="72" t="n"/>
      <c r="R1842" s="72" t="n"/>
      <c r="S1842" s="72" t="n"/>
    </row>
    <row r="1843">
      <c r="B1843" s="72" t="n"/>
      <c r="C1843" s="72" t="n"/>
      <c r="D1843" s="72" t="n"/>
      <c r="E1843" s="72" t="n"/>
      <c r="F1843" s="72" t="n"/>
      <c r="G1843" s="72" t="n"/>
      <c r="H1843" s="72" t="n"/>
      <c r="I1843" s="72" t="n"/>
      <c r="J1843" s="72" t="n"/>
      <c r="K1843" s="72" t="n"/>
      <c r="L1843" s="72" t="n"/>
      <c r="M1843" s="72" t="n"/>
      <c r="N1843" s="72" t="n"/>
      <c r="O1843" s="72" t="n"/>
      <c r="P1843" s="72" t="n"/>
      <c r="Q1843" s="72" t="n"/>
      <c r="R1843" s="72" t="n"/>
      <c r="S1843" s="72" t="n"/>
    </row>
    <row r="1844">
      <c r="B1844" s="72" t="n"/>
      <c r="C1844" s="72" t="n"/>
      <c r="D1844" s="72" t="n"/>
      <c r="E1844" s="72" t="n"/>
      <c r="F1844" s="72" t="n"/>
      <c r="G1844" s="72" t="n"/>
      <c r="H1844" s="72" t="n"/>
      <c r="I1844" s="72" t="n"/>
      <c r="J1844" s="72" t="n"/>
      <c r="K1844" s="72" t="n"/>
      <c r="L1844" s="72" t="n"/>
      <c r="M1844" s="72" t="n"/>
      <c r="N1844" s="72" t="n"/>
      <c r="O1844" s="72" t="n"/>
      <c r="P1844" s="72" t="n"/>
      <c r="Q1844" s="72" t="n"/>
      <c r="R1844" s="72" t="n"/>
      <c r="S1844" s="72" t="n"/>
    </row>
    <row r="1845">
      <c r="B1845" s="72" t="n"/>
      <c r="C1845" s="72" t="n"/>
      <c r="D1845" s="72" t="n"/>
      <c r="E1845" s="72" t="n"/>
      <c r="F1845" s="72" t="n"/>
      <c r="G1845" s="72" t="n"/>
      <c r="H1845" s="72" t="n"/>
      <c r="I1845" s="72" t="n"/>
      <c r="J1845" s="72" t="n"/>
      <c r="K1845" s="72" t="n"/>
      <c r="L1845" s="72" t="n"/>
      <c r="M1845" s="72" t="n"/>
      <c r="N1845" s="72" t="n"/>
      <c r="O1845" s="72" t="n"/>
      <c r="P1845" s="72" t="n"/>
      <c r="Q1845" s="72" t="n"/>
      <c r="R1845" s="72" t="n"/>
      <c r="S1845" s="72" t="n"/>
    </row>
    <row r="1846">
      <c r="B1846" s="72" t="n"/>
      <c r="C1846" s="72" t="n"/>
      <c r="D1846" s="72" t="n"/>
      <c r="E1846" s="72" t="n"/>
      <c r="F1846" s="72" t="n"/>
      <c r="G1846" s="72" t="n"/>
      <c r="H1846" s="72" t="n"/>
      <c r="I1846" s="72" t="n"/>
      <c r="J1846" s="72" t="n"/>
      <c r="K1846" s="72" t="n"/>
      <c r="L1846" s="72" t="n"/>
      <c r="M1846" s="72" t="n"/>
      <c r="N1846" s="72" t="n"/>
      <c r="O1846" s="72" t="n"/>
      <c r="P1846" s="72" t="n"/>
      <c r="Q1846" s="72" t="n"/>
      <c r="R1846" s="72" t="n"/>
      <c r="S1846" s="72" t="n"/>
    </row>
    <row r="1847">
      <c r="B1847" s="72" t="n"/>
      <c r="C1847" s="72" t="n"/>
      <c r="D1847" s="72" t="n"/>
      <c r="E1847" s="72" t="n"/>
      <c r="F1847" s="72" t="n"/>
      <c r="G1847" s="72" t="n"/>
      <c r="H1847" s="72" t="n"/>
      <c r="I1847" s="72" t="n"/>
      <c r="J1847" s="72" t="n"/>
      <c r="K1847" s="72" t="n"/>
      <c r="L1847" s="72" t="n"/>
      <c r="M1847" s="72" t="n"/>
      <c r="N1847" s="72" t="n"/>
      <c r="O1847" s="72" t="n"/>
      <c r="P1847" s="72" t="n"/>
      <c r="Q1847" s="72" t="n"/>
      <c r="R1847" s="72" t="n"/>
      <c r="S1847" s="72" t="n"/>
    </row>
    <row r="1848">
      <c r="B1848" s="72" t="n"/>
      <c r="C1848" s="72" t="n"/>
      <c r="D1848" s="72" t="n"/>
      <c r="E1848" s="72" t="n"/>
      <c r="F1848" s="72" t="n"/>
      <c r="G1848" s="72" t="n"/>
      <c r="H1848" s="72" t="n"/>
      <c r="I1848" s="72" t="n"/>
      <c r="J1848" s="72" t="n"/>
      <c r="K1848" s="72" t="n"/>
      <c r="L1848" s="72" t="n"/>
      <c r="M1848" s="72" t="n"/>
      <c r="N1848" s="72" t="n"/>
      <c r="O1848" s="72" t="n"/>
      <c r="P1848" s="72" t="n"/>
      <c r="Q1848" s="72" t="n"/>
      <c r="R1848" s="72" t="n"/>
      <c r="S1848" s="72" t="n"/>
    </row>
    <row r="1849">
      <c r="B1849" s="72" t="n"/>
      <c r="C1849" s="72" t="n"/>
      <c r="D1849" s="72" t="n"/>
      <c r="E1849" s="72" t="n"/>
      <c r="F1849" s="72" t="n"/>
      <c r="G1849" s="72" t="n"/>
      <c r="H1849" s="72" t="n"/>
      <c r="I1849" s="72" t="n"/>
      <c r="J1849" s="72" t="n"/>
      <c r="K1849" s="72" t="n"/>
      <c r="L1849" s="72" t="n"/>
      <c r="M1849" s="72" t="n"/>
      <c r="N1849" s="72" t="n"/>
      <c r="O1849" s="72" t="n"/>
      <c r="P1849" s="72" t="n"/>
      <c r="Q1849" s="72" t="n"/>
      <c r="R1849" s="72" t="n"/>
      <c r="S1849" s="72" t="n"/>
    </row>
    <row r="1850">
      <c r="B1850" s="72" t="n"/>
      <c r="C1850" s="72" t="n"/>
      <c r="D1850" s="72" t="n"/>
      <c r="E1850" s="72" t="n"/>
      <c r="F1850" s="72" t="n"/>
      <c r="G1850" s="72" t="n"/>
      <c r="H1850" s="72" t="n"/>
      <c r="I1850" s="72" t="n"/>
      <c r="J1850" s="72" t="n"/>
      <c r="K1850" s="72" t="n"/>
      <c r="L1850" s="72" t="n"/>
      <c r="M1850" s="72" t="n"/>
      <c r="N1850" s="72" t="n"/>
      <c r="O1850" s="72" t="n"/>
      <c r="P1850" s="72" t="n"/>
      <c r="Q1850" s="72" t="n"/>
      <c r="R1850" s="72" t="n"/>
      <c r="S1850" s="72" t="n"/>
    </row>
    <row r="1851">
      <c r="B1851" s="72" t="n"/>
      <c r="C1851" s="72" t="n"/>
      <c r="D1851" s="72" t="n"/>
      <c r="E1851" s="72" t="n"/>
      <c r="F1851" s="72" t="n"/>
      <c r="G1851" s="72" t="n"/>
      <c r="H1851" s="72" t="n"/>
      <c r="I1851" s="72" t="n"/>
      <c r="J1851" s="72" t="n"/>
      <c r="K1851" s="72" t="n"/>
      <c r="L1851" s="72" t="n"/>
      <c r="M1851" s="72" t="n"/>
      <c r="N1851" s="72" t="n"/>
      <c r="O1851" s="72" t="n"/>
      <c r="P1851" s="72" t="n"/>
      <c r="Q1851" s="72" t="n"/>
      <c r="R1851" s="72" t="n"/>
      <c r="S1851" s="72" t="n"/>
    </row>
    <row r="1852">
      <c r="B1852" s="72" t="n"/>
      <c r="C1852" s="72" t="n"/>
      <c r="D1852" s="72" t="n"/>
      <c r="E1852" s="72" t="n"/>
      <c r="F1852" s="72" t="n"/>
      <c r="G1852" s="72" t="n"/>
      <c r="H1852" s="72" t="n"/>
      <c r="I1852" s="72" t="n"/>
      <c r="J1852" s="72" t="n"/>
      <c r="K1852" s="72" t="n"/>
      <c r="L1852" s="72" t="n"/>
      <c r="M1852" s="72" t="n"/>
      <c r="N1852" s="72" t="n"/>
      <c r="O1852" s="72" t="n"/>
      <c r="P1852" s="72" t="n"/>
      <c r="Q1852" s="72" t="n"/>
      <c r="R1852" s="72" t="n"/>
      <c r="S1852" s="72" t="n"/>
    </row>
    <row r="1853">
      <c r="B1853" s="72" t="n"/>
      <c r="C1853" s="72" t="n"/>
      <c r="D1853" s="72" t="n"/>
      <c r="E1853" s="72" t="n"/>
      <c r="F1853" s="72" t="n"/>
      <c r="G1853" s="72" t="n"/>
      <c r="H1853" s="72" t="n"/>
      <c r="I1853" s="72" t="n"/>
      <c r="J1853" s="72" t="n"/>
      <c r="K1853" s="72" t="n"/>
      <c r="L1853" s="72" t="n"/>
      <c r="M1853" s="72" t="n"/>
      <c r="N1853" s="72" t="n"/>
      <c r="O1853" s="72" t="n"/>
      <c r="P1853" s="72" t="n"/>
      <c r="Q1853" s="72" t="n"/>
      <c r="R1853" s="72" t="n"/>
      <c r="S1853" s="72" t="n"/>
    </row>
    <row r="1854">
      <c r="B1854" s="72" t="n"/>
      <c r="C1854" s="72" t="n"/>
      <c r="D1854" s="72" t="n"/>
      <c r="E1854" s="72" t="n"/>
      <c r="F1854" s="72" t="n"/>
      <c r="G1854" s="72" t="n"/>
      <c r="H1854" s="72" t="n"/>
      <c r="I1854" s="72" t="n"/>
      <c r="J1854" s="72" t="n"/>
      <c r="K1854" s="72" t="n"/>
      <c r="L1854" s="72" t="n"/>
      <c r="M1854" s="72" t="n"/>
      <c r="N1854" s="72" t="n"/>
      <c r="O1854" s="72" t="n"/>
      <c r="P1854" s="72" t="n"/>
      <c r="Q1854" s="72" t="n"/>
      <c r="R1854" s="72" t="n"/>
      <c r="S1854" s="72" t="n"/>
    </row>
    <row r="1855">
      <c r="B1855" s="72" t="n"/>
      <c r="C1855" s="72" t="n"/>
      <c r="D1855" s="72" t="n"/>
      <c r="E1855" s="72" t="n"/>
      <c r="F1855" s="72" t="n"/>
      <c r="G1855" s="72" t="n"/>
      <c r="H1855" s="72" t="n"/>
      <c r="I1855" s="72" t="n"/>
      <c r="J1855" s="72" t="n"/>
      <c r="K1855" s="72" t="n"/>
      <c r="L1855" s="72" t="n"/>
      <c r="M1855" s="72" t="n"/>
      <c r="N1855" s="72" t="n"/>
      <c r="O1855" s="72" t="n"/>
      <c r="P1855" s="72" t="n"/>
      <c r="Q1855" s="72" t="n"/>
      <c r="R1855" s="72" t="n"/>
      <c r="S1855" s="72" t="n"/>
    </row>
    <row r="1856">
      <c r="B1856" s="72" t="n"/>
      <c r="C1856" s="72" t="n"/>
      <c r="D1856" s="72" t="n"/>
      <c r="E1856" s="72" t="n"/>
      <c r="F1856" s="72" t="n"/>
      <c r="G1856" s="72" t="n"/>
      <c r="H1856" s="72" t="n"/>
      <c r="I1856" s="72" t="n"/>
      <c r="J1856" s="72" t="n"/>
      <c r="K1856" s="72" t="n"/>
      <c r="L1856" s="72" t="n"/>
      <c r="M1856" s="72" t="n"/>
      <c r="N1856" s="72" t="n"/>
      <c r="O1856" s="72" t="n"/>
      <c r="P1856" s="72" t="n"/>
      <c r="Q1856" s="72" t="n"/>
      <c r="R1856" s="72" t="n"/>
      <c r="S1856" s="72" t="n"/>
    </row>
    <row r="1857">
      <c r="B1857" s="72" t="n"/>
      <c r="C1857" s="72" t="n"/>
      <c r="D1857" s="72" t="n"/>
      <c r="E1857" s="72" t="n"/>
      <c r="F1857" s="72" t="n"/>
      <c r="G1857" s="72" t="n"/>
      <c r="H1857" s="72" t="n"/>
      <c r="I1857" s="72" t="n"/>
      <c r="J1857" s="72" t="n"/>
      <c r="K1857" s="72" t="n"/>
      <c r="L1857" s="72" t="n"/>
      <c r="M1857" s="72" t="n"/>
      <c r="N1857" s="72" t="n"/>
      <c r="O1857" s="72" t="n"/>
      <c r="P1857" s="72" t="n"/>
      <c r="Q1857" s="72" t="n"/>
      <c r="R1857" s="72" t="n"/>
      <c r="S1857" s="72" t="n"/>
    </row>
    <row r="1858">
      <c r="B1858" s="72" t="n"/>
      <c r="C1858" s="72" t="n"/>
      <c r="D1858" s="72" t="n"/>
      <c r="E1858" s="72" t="n"/>
      <c r="F1858" s="72" t="n"/>
      <c r="G1858" s="72" t="n"/>
      <c r="H1858" s="72" t="n"/>
      <c r="I1858" s="72" t="n"/>
      <c r="J1858" s="72" t="n"/>
      <c r="K1858" s="72" t="n"/>
      <c r="L1858" s="72" t="n"/>
      <c r="M1858" s="72" t="n"/>
      <c r="N1858" s="72" t="n"/>
      <c r="O1858" s="72" t="n"/>
      <c r="P1858" s="72" t="n"/>
      <c r="Q1858" s="72" t="n"/>
      <c r="R1858" s="72" t="n"/>
      <c r="S1858" s="72" t="n"/>
    </row>
    <row r="1859">
      <c r="B1859" s="72" t="n"/>
      <c r="C1859" s="72" t="n"/>
      <c r="D1859" s="72" t="n"/>
      <c r="E1859" s="72" t="n"/>
      <c r="F1859" s="72" t="n"/>
      <c r="G1859" s="72" t="n"/>
      <c r="H1859" s="72" t="n"/>
      <c r="I1859" s="72" t="n"/>
      <c r="J1859" s="72" t="n"/>
      <c r="K1859" s="72" t="n"/>
      <c r="L1859" s="72" t="n"/>
      <c r="M1859" s="72" t="n"/>
      <c r="N1859" s="72" t="n"/>
      <c r="O1859" s="72" t="n"/>
      <c r="P1859" s="72" t="n"/>
      <c r="Q1859" s="72" t="n"/>
      <c r="R1859" s="72" t="n"/>
      <c r="S1859" s="72" t="n"/>
    </row>
    <row r="1860">
      <c r="B1860" s="72" t="n"/>
      <c r="C1860" s="72" t="n"/>
      <c r="D1860" s="72" t="n"/>
      <c r="E1860" s="72" t="n"/>
      <c r="F1860" s="72" t="n"/>
      <c r="G1860" s="72" t="n"/>
      <c r="H1860" s="72" t="n"/>
      <c r="I1860" s="72" t="n"/>
      <c r="J1860" s="72" t="n"/>
      <c r="K1860" s="72" t="n"/>
      <c r="L1860" s="72" t="n"/>
      <c r="M1860" s="72" t="n"/>
      <c r="N1860" s="72" t="n"/>
      <c r="O1860" s="72" t="n"/>
      <c r="P1860" s="72" t="n"/>
      <c r="Q1860" s="72" t="n"/>
      <c r="R1860" s="72" t="n"/>
      <c r="S1860" s="72" t="n"/>
    </row>
    <row r="1861">
      <c r="B1861" s="72" t="n"/>
      <c r="C1861" s="72" t="n"/>
      <c r="D1861" s="72" t="n"/>
      <c r="E1861" s="72" t="n"/>
      <c r="F1861" s="72" t="n"/>
      <c r="G1861" s="72" t="n"/>
      <c r="H1861" s="72" t="n"/>
      <c r="I1861" s="72" t="n"/>
      <c r="J1861" s="72" t="n"/>
      <c r="K1861" s="72" t="n"/>
      <c r="L1861" s="72" t="n"/>
      <c r="M1861" s="72" t="n"/>
      <c r="N1861" s="72" t="n"/>
      <c r="O1861" s="72" t="n"/>
      <c r="P1861" s="72" t="n"/>
      <c r="Q1861" s="72" t="n"/>
      <c r="R1861" s="72" t="n"/>
      <c r="S1861" s="72" t="n"/>
    </row>
    <row r="1862">
      <c r="B1862" s="72" t="n"/>
      <c r="C1862" s="72" t="n"/>
      <c r="D1862" s="72" t="n"/>
      <c r="E1862" s="72" t="n"/>
      <c r="F1862" s="72" t="n"/>
      <c r="G1862" s="72" t="n"/>
      <c r="H1862" s="72" t="n"/>
      <c r="I1862" s="72" t="n"/>
      <c r="J1862" s="72" t="n"/>
      <c r="K1862" s="72" t="n"/>
      <c r="L1862" s="72" t="n"/>
      <c r="M1862" s="72" t="n"/>
      <c r="N1862" s="72" t="n"/>
      <c r="O1862" s="72" t="n"/>
      <c r="P1862" s="72" t="n"/>
      <c r="Q1862" s="72" t="n"/>
      <c r="R1862" s="72" t="n"/>
      <c r="S1862" s="72" t="n"/>
    </row>
    <row r="1863">
      <c r="B1863" s="72" t="n"/>
      <c r="C1863" s="72" t="n"/>
      <c r="D1863" s="72" t="n"/>
      <c r="E1863" s="72" t="n"/>
      <c r="F1863" s="72" t="n"/>
      <c r="G1863" s="72" t="n"/>
      <c r="H1863" s="72" t="n"/>
      <c r="I1863" s="72" t="n"/>
      <c r="J1863" s="72" t="n"/>
      <c r="K1863" s="72" t="n"/>
      <c r="L1863" s="72" t="n"/>
      <c r="M1863" s="72" t="n"/>
      <c r="N1863" s="72" t="n"/>
      <c r="O1863" s="72" t="n"/>
      <c r="P1863" s="72" t="n"/>
      <c r="Q1863" s="72" t="n"/>
      <c r="R1863" s="72" t="n"/>
      <c r="S1863" s="72" t="n"/>
    </row>
    <row r="1864">
      <c r="B1864" s="72" t="n"/>
      <c r="C1864" s="72" t="n"/>
      <c r="D1864" s="72" t="n"/>
      <c r="E1864" s="72" t="n"/>
      <c r="F1864" s="72" t="n"/>
      <c r="G1864" s="72" t="n"/>
      <c r="H1864" s="72" t="n"/>
      <c r="I1864" s="72" t="n"/>
      <c r="J1864" s="72" t="n"/>
      <c r="K1864" s="72" t="n"/>
      <c r="L1864" s="72" t="n"/>
      <c r="M1864" s="72" t="n"/>
      <c r="N1864" s="72" t="n"/>
      <c r="O1864" s="72" t="n"/>
      <c r="P1864" s="72" t="n"/>
      <c r="Q1864" s="72" t="n"/>
      <c r="R1864" s="72" t="n"/>
      <c r="S1864" s="72" t="n"/>
    </row>
    <row r="1865">
      <c r="B1865" s="72" t="n"/>
      <c r="C1865" s="72" t="n"/>
      <c r="D1865" s="72" t="n"/>
      <c r="E1865" s="72" t="n"/>
      <c r="F1865" s="72" t="n"/>
      <c r="G1865" s="72" t="n"/>
      <c r="H1865" s="72" t="n"/>
      <c r="I1865" s="72" t="n"/>
      <c r="J1865" s="72" t="n"/>
      <c r="K1865" s="72" t="n"/>
      <c r="L1865" s="72" t="n"/>
      <c r="M1865" s="72" t="n"/>
      <c r="N1865" s="72" t="n"/>
      <c r="O1865" s="72" t="n"/>
      <c r="P1865" s="72" t="n"/>
      <c r="Q1865" s="72" t="n"/>
      <c r="R1865" s="72" t="n"/>
      <c r="S1865" s="72" t="n"/>
    </row>
    <row r="1866">
      <c r="B1866" s="72" t="n"/>
      <c r="C1866" s="72" t="n"/>
      <c r="D1866" s="72" t="n"/>
      <c r="E1866" s="72" t="n"/>
      <c r="F1866" s="72" t="n"/>
      <c r="G1866" s="72" t="n"/>
      <c r="H1866" s="72" t="n"/>
      <c r="I1866" s="72" t="n"/>
      <c r="J1866" s="72" t="n"/>
      <c r="K1866" s="72" t="n"/>
      <c r="L1866" s="72" t="n"/>
      <c r="M1866" s="72" t="n"/>
      <c r="N1866" s="72" t="n"/>
      <c r="O1866" s="72" t="n"/>
      <c r="P1866" s="72" t="n"/>
      <c r="Q1866" s="72" t="n"/>
      <c r="R1866" s="72" t="n"/>
      <c r="S1866" s="72" t="n"/>
    </row>
    <row r="1867">
      <c r="B1867" s="72" t="n"/>
      <c r="C1867" s="72" t="n"/>
      <c r="D1867" s="72" t="n"/>
      <c r="E1867" s="72" t="n"/>
      <c r="F1867" s="72" t="n"/>
      <c r="G1867" s="72" t="n"/>
      <c r="H1867" s="72" t="n"/>
      <c r="I1867" s="72" t="n"/>
      <c r="J1867" s="72" t="n"/>
      <c r="K1867" s="72" t="n"/>
      <c r="L1867" s="72" t="n"/>
      <c r="M1867" s="72" t="n"/>
      <c r="N1867" s="72" t="n"/>
      <c r="O1867" s="72" t="n"/>
      <c r="P1867" s="72" t="n"/>
      <c r="Q1867" s="72" t="n"/>
      <c r="R1867" s="72" t="n"/>
      <c r="S1867" s="72" t="n"/>
    </row>
    <row r="1868">
      <c r="B1868" s="72" t="n"/>
      <c r="C1868" s="72" t="n"/>
      <c r="D1868" s="72" t="n"/>
      <c r="E1868" s="72" t="n"/>
      <c r="F1868" s="72" t="n"/>
      <c r="G1868" s="72" t="n"/>
      <c r="H1868" s="72" t="n"/>
      <c r="I1868" s="72" t="n"/>
      <c r="J1868" s="72" t="n"/>
      <c r="K1868" s="72" t="n"/>
      <c r="L1868" s="72" t="n"/>
      <c r="M1868" s="72" t="n"/>
      <c r="N1868" s="72" t="n"/>
      <c r="O1868" s="72" t="n"/>
      <c r="P1868" s="72" t="n"/>
      <c r="Q1868" s="72" t="n"/>
      <c r="R1868" s="72" t="n"/>
      <c r="S1868" s="72" t="n"/>
    </row>
    <row r="1869">
      <c r="B1869" s="72" t="n"/>
      <c r="C1869" s="72" t="n"/>
      <c r="D1869" s="72" t="n"/>
      <c r="E1869" s="72" t="n"/>
      <c r="F1869" s="72" t="n"/>
      <c r="G1869" s="72" t="n"/>
      <c r="H1869" s="72" t="n"/>
      <c r="I1869" s="72" t="n"/>
      <c r="J1869" s="72" t="n"/>
      <c r="K1869" s="72" t="n"/>
      <c r="L1869" s="72" t="n"/>
      <c r="M1869" s="72" t="n"/>
      <c r="N1869" s="72" t="n"/>
      <c r="O1869" s="72" t="n"/>
      <c r="P1869" s="72" t="n"/>
      <c r="Q1869" s="72" t="n"/>
      <c r="R1869" s="72" t="n"/>
      <c r="S1869" s="72" t="n"/>
    </row>
    <row r="1870">
      <c r="B1870" s="72" t="n"/>
      <c r="C1870" s="72" t="n"/>
      <c r="D1870" s="72" t="n"/>
      <c r="E1870" s="72" t="n"/>
      <c r="F1870" s="72" t="n"/>
      <c r="G1870" s="72" t="n"/>
      <c r="H1870" s="72" t="n"/>
      <c r="I1870" s="72" t="n"/>
      <c r="J1870" s="72" t="n"/>
      <c r="K1870" s="72" t="n"/>
      <c r="L1870" s="72" t="n"/>
      <c r="M1870" s="72" t="n"/>
      <c r="N1870" s="72" t="n"/>
      <c r="O1870" s="72" t="n"/>
      <c r="P1870" s="72" t="n"/>
      <c r="Q1870" s="72" t="n"/>
      <c r="R1870" s="72" t="n"/>
      <c r="S1870" s="72" t="n"/>
    </row>
    <row r="1871">
      <c r="B1871" s="72" t="n"/>
      <c r="C1871" s="72" t="n"/>
      <c r="D1871" s="72" t="n"/>
      <c r="E1871" s="72" t="n"/>
      <c r="F1871" s="72" t="n"/>
      <c r="G1871" s="72" t="n"/>
      <c r="H1871" s="72" t="n"/>
      <c r="I1871" s="72" t="n"/>
      <c r="J1871" s="72" t="n"/>
      <c r="K1871" s="72" t="n"/>
      <c r="L1871" s="72" t="n"/>
      <c r="M1871" s="72" t="n"/>
      <c r="N1871" s="72" t="n"/>
      <c r="O1871" s="72" t="n"/>
      <c r="P1871" s="72" t="n"/>
      <c r="Q1871" s="72" t="n"/>
      <c r="R1871" s="72" t="n"/>
      <c r="S1871" s="72" t="n"/>
    </row>
    <row r="1872">
      <c r="B1872" s="72" t="n"/>
      <c r="C1872" s="72" t="n"/>
      <c r="D1872" s="72" t="n"/>
      <c r="E1872" s="72" t="n"/>
      <c r="F1872" s="72" t="n"/>
      <c r="G1872" s="72" t="n"/>
      <c r="H1872" s="72" t="n"/>
      <c r="I1872" s="72" t="n"/>
      <c r="J1872" s="72" t="n"/>
      <c r="K1872" s="72" t="n"/>
      <c r="L1872" s="72" t="n"/>
      <c r="M1872" s="72" t="n"/>
      <c r="N1872" s="72" t="n"/>
      <c r="O1872" s="72" t="n"/>
      <c r="P1872" s="72" t="n"/>
      <c r="Q1872" s="72" t="n"/>
      <c r="R1872" s="72" t="n"/>
      <c r="S1872" s="72" t="n"/>
    </row>
    <row r="1873">
      <c r="B1873" s="72" t="n"/>
      <c r="C1873" s="72" t="n"/>
      <c r="D1873" s="72" t="n"/>
      <c r="E1873" s="72" t="n"/>
      <c r="F1873" s="72" t="n"/>
      <c r="G1873" s="72" t="n"/>
      <c r="H1873" s="72" t="n"/>
      <c r="I1873" s="72" t="n"/>
      <c r="J1873" s="72" t="n"/>
      <c r="K1873" s="72" t="n"/>
      <c r="L1873" s="72" t="n"/>
      <c r="M1873" s="72" t="n"/>
      <c r="N1873" s="72" t="n"/>
      <c r="O1873" s="72" t="n"/>
      <c r="P1873" s="72" t="n"/>
      <c r="Q1873" s="72" t="n"/>
      <c r="R1873" s="72" t="n"/>
      <c r="S1873" s="72" t="n"/>
    </row>
    <row r="1874">
      <c r="B1874" s="72" t="n"/>
      <c r="C1874" s="72" t="n"/>
      <c r="D1874" s="72" t="n"/>
      <c r="E1874" s="72" t="n"/>
      <c r="F1874" s="72" t="n"/>
      <c r="G1874" s="72" t="n"/>
      <c r="H1874" s="72" t="n"/>
      <c r="I1874" s="72" t="n"/>
      <c r="J1874" s="72" t="n"/>
      <c r="K1874" s="72" t="n"/>
      <c r="L1874" s="72" t="n"/>
      <c r="M1874" s="72" t="n"/>
      <c r="N1874" s="72" t="n"/>
      <c r="O1874" s="72" t="n"/>
      <c r="P1874" s="72" t="n"/>
      <c r="Q1874" s="72" t="n"/>
      <c r="R1874" s="72" t="n"/>
      <c r="S1874" s="72" t="n"/>
    </row>
    <row r="1875">
      <c r="B1875" s="72" t="n"/>
      <c r="C1875" s="72" t="n"/>
      <c r="D1875" s="72" t="n"/>
      <c r="E1875" s="72" t="n"/>
      <c r="F1875" s="72" t="n"/>
      <c r="G1875" s="72" t="n"/>
      <c r="H1875" s="72" t="n"/>
      <c r="I1875" s="72" t="n"/>
      <c r="J1875" s="72" t="n"/>
      <c r="K1875" s="72" t="n"/>
      <c r="L1875" s="72" t="n"/>
      <c r="M1875" s="72" t="n"/>
      <c r="N1875" s="72" t="n"/>
      <c r="O1875" s="72" t="n"/>
      <c r="P1875" s="72" t="n"/>
      <c r="Q1875" s="72" t="n"/>
      <c r="R1875" s="72" t="n"/>
      <c r="S1875" s="72" t="n"/>
    </row>
    <row r="1876">
      <c r="B1876" s="72" t="n"/>
      <c r="C1876" s="72" t="n"/>
      <c r="D1876" s="72" t="n"/>
      <c r="E1876" s="72" t="n"/>
      <c r="F1876" s="72" t="n"/>
      <c r="G1876" s="72" t="n"/>
      <c r="H1876" s="72" t="n"/>
      <c r="I1876" s="72" t="n"/>
      <c r="J1876" s="72" t="n"/>
      <c r="K1876" s="72" t="n"/>
      <c r="L1876" s="72" t="n"/>
      <c r="M1876" s="72" t="n"/>
      <c r="N1876" s="72" t="n"/>
      <c r="O1876" s="72" t="n"/>
      <c r="P1876" s="72" t="n"/>
      <c r="Q1876" s="72" t="n"/>
      <c r="R1876" s="72" t="n"/>
      <c r="S1876" s="72" t="n"/>
    </row>
    <row r="1877">
      <c r="B1877" s="72" t="n"/>
      <c r="C1877" s="72" t="n"/>
      <c r="D1877" s="72" t="n"/>
      <c r="E1877" s="72" t="n"/>
      <c r="F1877" s="72" t="n"/>
      <c r="G1877" s="72" t="n"/>
      <c r="H1877" s="72" t="n"/>
      <c r="I1877" s="72" t="n"/>
      <c r="J1877" s="72" t="n"/>
      <c r="K1877" s="72" t="n"/>
      <c r="L1877" s="72" t="n"/>
      <c r="M1877" s="72" t="n"/>
      <c r="N1877" s="72" t="n"/>
      <c r="O1877" s="72" t="n"/>
      <c r="P1877" s="72" t="n"/>
      <c r="Q1877" s="72" t="n"/>
      <c r="R1877" s="72" t="n"/>
      <c r="S1877" s="72" t="n"/>
    </row>
    <row r="1878">
      <c r="B1878" s="72" t="n"/>
      <c r="C1878" s="72" t="n"/>
      <c r="D1878" s="72" t="n"/>
      <c r="E1878" s="72" t="n"/>
      <c r="F1878" s="72" t="n"/>
      <c r="G1878" s="72" t="n"/>
      <c r="H1878" s="72" t="n"/>
      <c r="I1878" s="72" t="n"/>
      <c r="J1878" s="72" t="n"/>
      <c r="K1878" s="72" t="n"/>
      <c r="L1878" s="72" t="n"/>
      <c r="M1878" s="72" t="n"/>
      <c r="N1878" s="72" t="n"/>
      <c r="O1878" s="72" t="n"/>
      <c r="P1878" s="72" t="n"/>
      <c r="Q1878" s="72" t="n"/>
      <c r="R1878" s="72" t="n"/>
      <c r="S1878" s="72" t="n"/>
    </row>
    <row r="1879">
      <c r="B1879" s="72" t="n"/>
      <c r="C1879" s="72" t="n"/>
      <c r="D1879" s="72" t="n"/>
      <c r="E1879" s="72" t="n"/>
      <c r="F1879" s="72" t="n"/>
      <c r="G1879" s="72" t="n"/>
      <c r="H1879" s="72" t="n"/>
      <c r="I1879" s="72" t="n"/>
      <c r="J1879" s="72" t="n"/>
      <c r="K1879" s="72" t="n"/>
      <c r="L1879" s="72" t="n"/>
      <c r="M1879" s="72" t="n"/>
      <c r="N1879" s="72" t="n"/>
      <c r="O1879" s="72" t="n"/>
      <c r="P1879" s="72" t="n"/>
      <c r="Q1879" s="72" t="n"/>
      <c r="R1879" s="72" t="n"/>
      <c r="S1879" s="72" t="n"/>
    </row>
    <row r="1880">
      <c r="B1880" s="72" t="n"/>
      <c r="C1880" s="72" t="n"/>
      <c r="D1880" s="72" t="n"/>
      <c r="E1880" s="72" t="n"/>
      <c r="F1880" s="72" t="n"/>
      <c r="G1880" s="72" t="n"/>
      <c r="H1880" s="72" t="n"/>
      <c r="I1880" s="72" t="n"/>
      <c r="J1880" s="72" t="n"/>
      <c r="K1880" s="72" t="n"/>
      <c r="L1880" s="72" t="n"/>
      <c r="M1880" s="72" t="n"/>
      <c r="N1880" s="72" t="n"/>
      <c r="O1880" s="72" t="n"/>
      <c r="P1880" s="72" t="n"/>
      <c r="Q1880" s="72" t="n"/>
      <c r="R1880" s="72" t="n"/>
      <c r="S1880" s="72" t="n"/>
    </row>
    <row r="1881">
      <c r="B1881" s="72" t="n"/>
      <c r="C1881" s="72" t="n"/>
      <c r="D1881" s="72" t="n"/>
      <c r="E1881" s="72" t="n"/>
      <c r="F1881" s="72" t="n"/>
      <c r="G1881" s="72" t="n"/>
      <c r="H1881" s="72" t="n"/>
      <c r="I1881" s="72" t="n"/>
      <c r="J1881" s="72" t="n"/>
      <c r="K1881" s="72" t="n"/>
      <c r="L1881" s="72" t="n"/>
      <c r="M1881" s="72" t="n"/>
      <c r="N1881" s="72" t="n"/>
      <c r="O1881" s="72" t="n"/>
      <c r="P1881" s="72" t="n"/>
      <c r="Q1881" s="72" t="n"/>
      <c r="R1881" s="72" t="n"/>
      <c r="S1881" s="72" t="n"/>
    </row>
    <row r="1882">
      <c r="B1882" s="72" t="n"/>
      <c r="C1882" s="72" t="n"/>
      <c r="D1882" s="72" t="n"/>
      <c r="E1882" s="72" t="n"/>
      <c r="F1882" s="72" t="n"/>
      <c r="G1882" s="72" t="n"/>
      <c r="H1882" s="72" t="n"/>
      <c r="I1882" s="72" t="n"/>
      <c r="J1882" s="72" t="n"/>
      <c r="K1882" s="72" t="n"/>
      <c r="L1882" s="72" t="n"/>
      <c r="M1882" s="72" t="n"/>
      <c r="N1882" s="72" t="n"/>
      <c r="O1882" s="72" t="n"/>
      <c r="P1882" s="72" t="n"/>
      <c r="Q1882" s="72" t="n"/>
      <c r="R1882" s="72" t="n"/>
      <c r="S1882" s="72" t="n"/>
    </row>
    <row r="1883">
      <c r="B1883" s="72" t="n"/>
      <c r="C1883" s="72" t="n"/>
      <c r="D1883" s="72" t="n"/>
      <c r="E1883" s="72" t="n"/>
      <c r="F1883" s="72" t="n"/>
      <c r="G1883" s="72" t="n"/>
      <c r="H1883" s="72" t="n"/>
      <c r="I1883" s="72" t="n"/>
      <c r="J1883" s="72" t="n"/>
      <c r="K1883" s="72" t="n"/>
      <c r="L1883" s="72" t="n"/>
      <c r="M1883" s="72" t="n"/>
      <c r="N1883" s="72" t="n"/>
      <c r="O1883" s="72" t="n"/>
      <c r="P1883" s="72" t="n"/>
      <c r="Q1883" s="72" t="n"/>
      <c r="R1883" s="72" t="n"/>
      <c r="S1883" s="72" t="n"/>
    </row>
    <row r="1884">
      <c r="B1884" s="72" t="n"/>
      <c r="C1884" s="72" t="n"/>
      <c r="D1884" s="72" t="n"/>
      <c r="E1884" s="72" t="n"/>
      <c r="F1884" s="72" t="n"/>
      <c r="G1884" s="72" t="n"/>
      <c r="H1884" s="72" t="n"/>
      <c r="I1884" s="72" t="n"/>
      <c r="J1884" s="72" t="n"/>
      <c r="K1884" s="72" t="n"/>
      <c r="L1884" s="72" t="n"/>
      <c r="M1884" s="72" t="n"/>
      <c r="N1884" s="72" t="n"/>
      <c r="O1884" s="72" t="n"/>
      <c r="P1884" s="72" t="n"/>
      <c r="Q1884" s="72" t="n"/>
      <c r="R1884" s="72" t="n"/>
      <c r="S1884" s="72" t="n"/>
    </row>
    <row r="1885">
      <c r="B1885" s="72" t="n"/>
      <c r="C1885" s="72" t="n"/>
      <c r="D1885" s="72" t="n"/>
      <c r="E1885" s="72" t="n"/>
      <c r="F1885" s="72" t="n"/>
      <c r="G1885" s="72" t="n"/>
      <c r="H1885" s="72" t="n"/>
      <c r="I1885" s="72" t="n"/>
      <c r="J1885" s="72" t="n"/>
      <c r="K1885" s="72" t="n"/>
      <c r="L1885" s="72" t="n"/>
      <c r="M1885" s="72" t="n"/>
      <c r="N1885" s="72" t="n"/>
      <c r="O1885" s="72" t="n"/>
      <c r="P1885" s="72" t="n"/>
      <c r="Q1885" s="72" t="n"/>
      <c r="R1885" s="72" t="n"/>
      <c r="S1885" s="72" t="n"/>
    </row>
    <row r="1886">
      <c r="B1886" s="72" t="n"/>
      <c r="C1886" s="72" t="n"/>
      <c r="D1886" s="72" t="n"/>
      <c r="E1886" s="72" t="n"/>
      <c r="F1886" s="72" t="n"/>
      <c r="G1886" s="72" t="n"/>
      <c r="H1886" s="72" t="n"/>
      <c r="I1886" s="72" t="n"/>
      <c r="J1886" s="72" t="n"/>
      <c r="K1886" s="72" t="n"/>
      <c r="L1886" s="72" t="n"/>
      <c r="M1886" s="72" t="n"/>
      <c r="N1886" s="72" t="n"/>
      <c r="O1886" s="72" t="n"/>
      <c r="P1886" s="72" t="n"/>
      <c r="Q1886" s="72" t="n"/>
      <c r="R1886" s="72" t="n"/>
      <c r="S1886" s="72" t="n"/>
    </row>
    <row r="1887">
      <c r="B1887" s="72" t="n"/>
      <c r="C1887" s="72" t="n"/>
      <c r="D1887" s="72" t="n"/>
      <c r="E1887" s="72" t="n"/>
      <c r="F1887" s="72" t="n"/>
      <c r="G1887" s="72" t="n"/>
      <c r="H1887" s="72" t="n"/>
      <c r="I1887" s="72" t="n"/>
      <c r="J1887" s="72" t="n"/>
      <c r="K1887" s="72" t="n"/>
      <c r="L1887" s="72" t="n"/>
      <c r="M1887" s="72" t="n"/>
      <c r="N1887" s="72" t="n"/>
      <c r="O1887" s="72" t="n"/>
      <c r="P1887" s="72" t="n"/>
      <c r="Q1887" s="72" t="n"/>
      <c r="R1887" s="72" t="n"/>
      <c r="S1887" s="72" t="n"/>
    </row>
    <row r="1888">
      <c r="B1888" s="72" t="n"/>
      <c r="C1888" s="72" t="n"/>
      <c r="D1888" s="72" t="n"/>
      <c r="E1888" s="72" t="n"/>
      <c r="F1888" s="72" t="n"/>
      <c r="G1888" s="72" t="n"/>
      <c r="H1888" s="72" t="n"/>
      <c r="I1888" s="72" t="n"/>
      <c r="J1888" s="72" t="n"/>
      <c r="K1888" s="72" t="n"/>
      <c r="L1888" s="72" t="n"/>
      <c r="M1888" s="72" t="n"/>
      <c r="N1888" s="72" t="n"/>
      <c r="O1888" s="72" t="n"/>
      <c r="P1888" s="72" t="n"/>
      <c r="Q1888" s="72" t="n"/>
      <c r="R1888" s="72" t="n"/>
      <c r="S1888" s="72" t="n"/>
    </row>
    <row r="1889">
      <c r="B1889" s="72" t="n"/>
      <c r="C1889" s="72" t="n"/>
      <c r="D1889" s="72" t="n"/>
      <c r="E1889" s="72" t="n"/>
      <c r="F1889" s="72" t="n"/>
      <c r="G1889" s="72" t="n"/>
      <c r="H1889" s="72" t="n"/>
      <c r="I1889" s="72" t="n"/>
      <c r="J1889" s="72" t="n"/>
      <c r="K1889" s="72" t="n"/>
      <c r="L1889" s="72" t="n"/>
      <c r="M1889" s="72" t="n"/>
      <c r="N1889" s="72" t="n"/>
      <c r="O1889" s="72" t="n"/>
      <c r="P1889" s="72" t="n"/>
      <c r="Q1889" s="72" t="n"/>
      <c r="R1889" s="72" t="n"/>
      <c r="S1889" s="72" t="n"/>
    </row>
    <row r="1890">
      <c r="B1890" s="72" t="n"/>
      <c r="C1890" s="72" t="n"/>
      <c r="D1890" s="72" t="n"/>
      <c r="E1890" s="72" t="n"/>
      <c r="F1890" s="72" t="n"/>
      <c r="G1890" s="72" t="n"/>
      <c r="H1890" s="72" t="n"/>
      <c r="I1890" s="72" t="n"/>
      <c r="J1890" s="72" t="n"/>
      <c r="K1890" s="72" t="n"/>
      <c r="L1890" s="72" t="n"/>
      <c r="M1890" s="72" t="n"/>
      <c r="N1890" s="72" t="n"/>
      <c r="O1890" s="72" t="n"/>
      <c r="P1890" s="72" t="n"/>
      <c r="Q1890" s="72" t="n"/>
      <c r="R1890" s="72" t="n"/>
      <c r="S1890" s="72" t="n"/>
    </row>
    <row r="1891">
      <c r="B1891" s="72" t="n"/>
      <c r="C1891" s="72" t="n"/>
      <c r="D1891" s="72" t="n"/>
      <c r="E1891" s="72" t="n"/>
      <c r="F1891" s="72" t="n"/>
      <c r="G1891" s="72" t="n"/>
      <c r="H1891" s="72" t="n"/>
      <c r="I1891" s="72" t="n"/>
      <c r="J1891" s="72" t="n"/>
      <c r="K1891" s="72" t="n"/>
      <c r="L1891" s="72" t="n"/>
      <c r="M1891" s="72" t="n"/>
      <c r="N1891" s="72" t="n"/>
      <c r="O1891" s="72" t="n"/>
      <c r="P1891" s="72" t="n"/>
      <c r="Q1891" s="72" t="n"/>
      <c r="R1891" s="72" t="n"/>
      <c r="S1891" s="72" t="n"/>
    </row>
    <row r="1892">
      <c r="B1892" s="72" t="n"/>
      <c r="C1892" s="72" t="n"/>
      <c r="D1892" s="72" t="n"/>
      <c r="E1892" s="72" t="n"/>
      <c r="F1892" s="72" t="n"/>
      <c r="G1892" s="72" t="n"/>
      <c r="H1892" s="72" t="n"/>
      <c r="I1892" s="72" t="n"/>
      <c r="J1892" s="72" t="n"/>
      <c r="K1892" s="72" t="n"/>
      <c r="L1892" s="72" t="n"/>
      <c r="M1892" s="72" t="n"/>
      <c r="N1892" s="72" t="n"/>
      <c r="O1892" s="72" t="n"/>
      <c r="P1892" s="72" t="n"/>
      <c r="Q1892" s="72" t="n"/>
      <c r="R1892" s="72" t="n"/>
      <c r="S1892" s="72" t="n"/>
    </row>
    <row r="1893">
      <c r="B1893" s="72" t="n"/>
      <c r="C1893" s="72" t="n"/>
      <c r="D1893" s="72" t="n"/>
      <c r="E1893" s="72" t="n"/>
      <c r="F1893" s="72" t="n"/>
      <c r="G1893" s="72" t="n"/>
      <c r="H1893" s="72" t="n"/>
      <c r="I1893" s="72" t="n"/>
      <c r="J1893" s="72" t="n"/>
      <c r="K1893" s="72" t="n"/>
      <c r="L1893" s="72" t="n"/>
      <c r="M1893" s="72" t="n"/>
      <c r="N1893" s="72" t="n"/>
      <c r="O1893" s="72" t="n"/>
      <c r="P1893" s="72" t="n"/>
      <c r="Q1893" s="72" t="n"/>
      <c r="R1893" s="72" t="n"/>
      <c r="S1893" s="72" t="n"/>
    </row>
    <row r="1894">
      <c r="B1894" s="72" t="n"/>
      <c r="C1894" s="72" t="n"/>
      <c r="D1894" s="72" t="n"/>
      <c r="E1894" s="72" t="n"/>
      <c r="F1894" s="72" t="n"/>
      <c r="G1894" s="72" t="n"/>
      <c r="H1894" s="72" t="n"/>
      <c r="I1894" s="72" t="n"/>
      <c r="J1894" s="72" t="n"/>
      <c r="K1894" s="72" t="n"/>
      <c r="L1894" s="72" t="n"/>
      <c r="M1894" s="72" t="n"/>
      <c r="N1894" s="72" t="n"/>
      <c r="O1894" s="72" t="n"/>
      <c r="P1894" s="72" t="n"/>
      <c r="Q1894" s="72" t="n"/>
      <c r="R1894" s="72" t="n"/>
      <c r="S1894" s="72" t="n"/>
    </row>
    <row r="1895">
      <c r="B1895" s="72" t="n"/>
      <c r="C1895" s="72" t="n"/>
      <c r="D1895" s="72" t="n"/>
      <c r="E1895" s="72" t="n"/>
      <c r="F1895" s="72" t="n"/>
      <c r="G1895" s="72" t="n"/>
      <c r="H1895" s="72" t="n"/>
      <c r="I1895" s="72" t="n"/>
      <c r="J1895" s="72" t="n"/>
      <c r="K1895" s="72" t="n"/>
      <c r="L1895" s="72" t="n"/>
      <c r="M1895" s="72" t="n"/>
      <c r="N1895" s="72" t="n"/>
      <c r="O1895" s="72" t="n"/>
      <c r="P1895" s="72" t="n"/>
      <c r="Q1895" s="72" t="n"/>
      <c r="R1895" s="72" t="n"/>
      <c r="S1895" s="72" t="n"/>
    </row>
    <row r="1896">
      <c r="B1896" s="72" t="n"/>
      <c r="C1896" s="72" t="n"/>
      <c r="D1896" s="72" t="n"/>
      <c r="E1896" s="72" t="n"/>
      <c r="F1896" s="72" t="n"/>
      <c r="G1896" s="72" t="n"/>
      <c r="H1896" s="72" t="n"/>
      <c r="I1896" s="72" t="n"/>
      <c r="J1896" s="72" t="n"/>
      <c r="K1896" s="72" t="n"/>
      <c r="L1896" s="72" t="n"/>
      <c r="M1896" s="72" t="n"/>
      <c r="N1896" s="72" t="n"/>
      <c r="O1896" s="72" t="n"/>
      <c r="P1896" s="72" t="n"/>
      <c r="Q1896" s="72" t="n"/>
      <c r="R1896" s="72" t="n"/>
      <c r="S1896" s="72" t="n"/>
    </row>
    <row r="1897">
      <c r="B1897" s="72" t="n"/>
      <c r="C1897" s="72" t="n"/>
      <c r="D1897" s="72" t="n"/>
      <c r="E1897" s="72" t="n"/>
      <c r="F1897" s="72" t="n"/>
      <c r="G1897" s="72" t="n"/>
      <c r="H1897" s="72" t="n"/>
      <c r="I1897" s="72" t="n"/>
      <c r="J1897" s="72" t="n"/>
      <c r="K1897" s="72" t="n"/>
      <c r="L1897" s="72" t="n"/>
      <c r="M1897" s="72" t="n"/>
      <c r="N1897" s="72" t="n"/>
      <c r="O1897" s="72" t="n"/>
      <c r="P1897" s="72" t="n"/>
      <c r="Q1897" s="72" t="n"/>
      <c r="R1897" s="72" t="n"/>
      <c r="S1897" s="72" t="n"/>
    </row>
    <row r="1898">
      <c r="B1898" s="72" t="n"/>
      <c r="C1898" s="72" t="n"/>
      <c r="D1898" s="72" t="n"/>
      <c r="E1898" s="72" t="n"/>
      <c r="F1898" s="72" t="n"/>
      <c r="G1898" s="72" t="n"/>
      <c r="H1898" s="72" t="n"/>
      <c r="I1898" s="72" t="n"/>
      <c r="J1898" s="72" t="n"/>
      <c r="K1898" s="72" t="n"/>
      <c r="L1898" s="72" t="n"/>
      <c r="M1898" s="72" t="n"/>
      <c r="N1898" s="72" t="n"/>
      <c r="O1898" s="72" t="n"/>
      <c r="P1898" s="72" t="n"/>
      <c r="Q1898" s="72" t="n"/>
      <c r="R1898" s="72" t="n"/>
      <c r="S1898" s="72" t="n"/>
    </row>
    <row r="1899">
      <c r="B1899" s="72" t="n"/>
      <c r="C1899" s="72" t="n"/>
      <c r="D1899" s="72" t="n"/>
      <c r="E1899" s="72" t="n"/>
      <c r="F1899" s="72" t="n"/>
      <c r="G1899" s="72" t="n"/>
      <c r="H1899" s="72" t="n"/>
      <c r="I1899" s="72" t="n"/>
      <c r="J1899" s="72" t="n"/>
      <c r="K1899" s="72" t="n"/>
      <c r="L1899" s="72" t="n"/>
      <c r="M1899" s="72" t="n"/>
      <c r="N1899" s="72" t="n"/>
      <c r="O1899" s="72" t="n"/>
      <c r="P1899" s="72" t="n"/>
      <c r="Q1899" s="72" t="n"/>
      <c r="R1899" s="72" t="n"/>
      <c r="S1899" s="72" t="n"/>
    </row>
    <row r="1900">
      <c r="B1900" s="72" t="n"/>
      <c r="C1900" s="72" t="n"/>
      <c r="D1900" s="72" t="n"/>
      <c r="E1900" s="72" t="n"/>
      <c r="F1900" s="72" t="n"/>
      <c r="G1900" s="72" t="n"/>
      <c r="H1900" s="72" t="n"/>
      <c r="I1900" s="72" t="n"/>
      <c r="J1900" s="72" t="n"/>
      <c r="K1900" s="72" t="n"/>
      <c r="L1900" s="72" t="n"/>
      <c r="M1900" s="72" t="n"/>
      <c r="N1900" s="72" t="n"/>
      <c r="O1900" s="72" t="n"/>
      <c r="P1900" s="72" t="n"/>
      <c r="Q1900" s="72" t="n"/>
      <c r="R1900" s="72" t="n"/>
      <c r="S1900" s="72" t="n"/>
    </row>
    <row r="1901">
      <c r="B1901" s="72" t="n"/>
      <c r="C1901" s="72" t="n"/>
      <c r="D1901" s="72" t="n"/>
      <c r="E1901" s="72" t="n"/>
      <c r="F1901" s="72" t="n"/>
      <c r="G1901" s="72" t="n"/>
      <c r="H1901" s="72" t="n"/>
      <c r="I1901" s="72" t="n"/>
      <c r="J1901" s="72" t="n"/>
      <c r="K1901" s="72" t="n"/>
      <c r="L1901" s="72" t="n"/>
      <c r="M1901" s="72" t="n"/>
      <c r="N1901" s="72" t="n"/>
      <c r="O1901" s="72" t="n"/>
      <c r="P1901" s="72" t="n"/>
      <c r="Q1901" s="72" t="n"/>
      <c r="R1901" s="72" t="n"/>
      <c r="S1901" s="72" t="n"/>
    </row>
    <row r="1902">
      <c r="B1902" s="72" t="n"/>
      <c r="C1902" s="72" t="n"/>
      <c r="D1902" s="72" t="n"/>
      <c r="E1902" s="72" t="n"/>
      <c r="F1902" s="72" t="n"/>
      <c r="G1902" s="72" t="n"/>
      <c r="H1902" s="72" t="n"/>
      <c r="I1902" s="72" t="n"/>
      <c r="J1902" s="72" t="n"/>
      <c r="K1902" s="72" t="n"/>
      <c r="L1902" s="72" t="n"/>
      <c r="M1902" s="72" t="n"/>
      <c r="N1902" s="72" t="n"/>
      <c r="O1902" s="72" t="n"/>
      <c r="P1902" s="72" t="n"/>
      <c r="Q1902" s="72" t="n"/>
      <c r="R1902" s="72" t="n"/>
      <c r="S1902" s="72" t="n"/>
    </row>
    <row r="1903">
      <c r="B1903" s="72" t="n"/>
      <c r="C1903" s="72" t="n"/>
      <c r="D1903" s="72" t="n"/>
      <c r="E1903" s="72" t="n"/>
      <c r="F1903" s="72" t="n"/>
      <c r="G1903" s="72" t="n"/>
      <c r="H1903" s="72" t="n"/>
      <c r="I1903" s="72" t="n"/>
      <c r="J1903" s="72" t="n"/>
      <c r="K1903" s="72" t="n"/>
      <c r="L1903" s="72" t="n"/>
      <c r="M1903" s="72" t="n"/>
      <c r="N1903" s="72" t="n"/>
      <c r="O1903" s="72" t="n"/>
      <c r="P1903" s="72" t="n"/>
      <c r="Q1903" s="72" t="n"/>
      <c r="R1903" s="72" t="n"/>
      <c r="S1903" s="72" t="n"/>
    </row>
    <row r="1904">
      <c r="B1904" s="72" t="n"/>
      <c r="C1904" s="72" t="n"/>
      <c r="D1904" s="72" t="n"/>
      <c r="E1904" s="72" t="n"/>
      <c r="F1904" s="72" t="n"/>
      <c r="G1904" s="72" t="n"/>
      <c r="H1904" s="72" t="n"/>
      <c r="I1904" s="72" t="n"/>
      <c r="J1904" s="72" t="n"/>
      <c r="K1904" s="72" t="n"/>
      <c r="L1904" s="72" t="n"/>
      <c r="M1904" s="72" t="n"/>
      <c r="N1904" s="72" t="n"/>
      <c r="O1904" s="72" t="n"/>
      <c r="P1904" s="72" t="n"/>
      <c r="Q1904" s="72" t="n"/>
      <c r="R1904" s="72" t="n"/>
      <c r="S1904" s="72" t="n"/>
    </row>
    <row r="1905">
      <c r="B1905" s="72" t="n"/>
      <c r="C1905" s="72" t="n"/>
      <c r="D1905" s="72" t="n"/>
      <c r="E1905" s="72" t="n"/>
      <c r="F1905" s="72" t="n"/>
      <c r="G1905" s="72" t="n"/>
      <c r="H1905" s="72" t="n"/>
      <c r="I1905" s="72" t="n"/>
      <c r="J1905" s="72" t="n"/>
      <c r="K1905" s="72" t="n"/>
      <c r="L1905" s="72" t="n"/>
      <c r="M1905" s="72" t="n"/>
      <c r="N1905" s="72" t="n"/>
      <c r="O1905" s="72" t="n"/>
      <c r="P1905" s="72" t="n"/>
      <c r="Q1905" s="72" t="n"/>
      <c r="R1905" s="72" t="n"/>
      <c r="S1905" s="72" t="n"/>
    </row>
    <row r="1906">
      <c r="B1906" s="72" t="n"/>
      <c r="C1906" s="72" t="n"/>
      <c r="D1906" s="72" t="n"/>
      <c r="E1906" s="72" t="n"/>
      <c r="F1906" s="72" t="n"/>
      <c r="G1906" s="72" t="n"/>
      <c r="H1906" s="72" t="n"/>
      <c r="I1906" s="72" t="n"/>
      <c r="J1906" s="72" t="n"/>
      <c r="K1906" s="72" t="n"/>
      <c r="L1906" s="72" t="n"/>
      <c r="M1906" s="72" t="n"/>
      <c r="N1906" s="72" t="n"/>
      <c r="O1906" s="72" t="n"/>
      <c r="P1906" s="72" t="n"/>
      <c r="Q1906" s="72" t="n"/>
      <c r="R1906" s="72" t="n"/>
      <c r="S1906" s="72" t="n"/>
    </row>
    <row r="1907">
      <c r="B1907" s="72" t="n"/>
      <c r="C1907" s="72" t="n"/>
      <c r="D1907" s="72" t="n"/>
      <c r="E1907" s="72" t="n"/>
      <c r="F1907" s="72" t="n"/>
      <c r="G1907" s="72" t="n"/>
      <c r="H1907" s="72" t="n"/>
      <c r="I1907" s="72" t="n"/>
      <c r="J1907" s="72" t="n"/>
      <c r="K1907" s="72" t="n"/>
      <c r="L1907" s="72" t="n"/>
      <c r="M1907" s="72" t="n"/>
      <c r="N1907" s="72" t="n"/>
      <c r="O1907" s="72" t="n"/>
      <c r="P1907" s="72" t="n"/>
      <c r="Q1907" s="72" t="n"/>
      <c r="R1907" s="72" t="n"/>
      <c r="S1907" s="72" t="n"/>
    </row>
    <row r="1908">
      <c r="B1908" s="72" t="n"/>
      <c r="C1908" s="72" t="n"/>
      <c r="D1908" s="72" t="n"/>
      <c r="E1908" s="72" t="n"/>
      <c r="F1908" s="72" t="n"/>
      <c r="G1908" s="72" t="n"/>
      <c r="H1908" s="72" t="n"/>
      <c r="I1908" s="72" t="n"/>
      <c r="J1908" s="72" t="n"/>
      <c r="K1908" s="72" t="n"/>
      <c r="L1908" s="72" t="n"/>
      <c r="M1908" s="72" t="n"/>
      <c r="N1908" s="72" t="n"/>
      <c r="O1908" s="72" t="n"/>
      <c r="P1908" s="72" t="n"/>
      <c r="Q1908" s="72" t="n"/>
      <c r="R1908" s="72" t="n"/>
      <c r="S1908" s="72" t="n"/>
    </row>
    <row r="1909">
      <c r="B1909" s="72" t="n"/>
      <c r="C1909" s="72" t="n"/>
      <c r="D1909" s="72" t="n"/>
      <c r="E1909" s="72" t="n"/>
      <c r="F1909" s="72" t="n"/>
      <c r="G1909" s="72" t="n"/>
      <c r="H1909" s="72" t="n"/>
      <c r="I1909" s="72" t="n"/>
      <c r="J1909" s="72" t="n"/>
      <c r="K1909" s="72" t="n"/>
      <c r="L1909" s="72" t="n"/>
      <c r="M1909" s="72" t="n"/>
      <c r="N1909" s="72" t="n"/>
      <c r="O1909" s="72" t="n"/>
      <c r="P1909" s="72" t="n"/>
      <c r="Q1909" s="72" t="n"/>
      <c r="R1909" s="72" t="n"/>
      <c r="S1909" s="72" t="n"/>
    </row>
    <row r="1910">
      <c r="B1910" s="72" t="n"/>
      <c r="C1910" s="72" t="n"/>
      <c r="D1910" s="72" t="n"/>
      <c r="E1910" s="72" t="n"/>
      <c r="F1910" s="72" t="n"/>
      <c r="G1910" s="72" t="n"/>
      <c r="H1910" s="72" t="n"/>
      <c r="I1910" s="72" t="n"/>
      <c r="J1910" s="72" t="n"/>
      <c r="K1910" s="72" t="n"/>
      <c r="L1910" s="72" t="n"/>
      <c r="M1910" s="72" t="n"/>
      <c r="N1910" s="72" t="n"/>
      <c r="O1910" s="72" t="n"/>
      <c r="P1910" s="72" t="n"/>
      <c r="Q1910" s="72" t="n"/>
      <c r="R1910" s="72" t="n"/>
      <c r="S1910" s="72" t="n"/>
    </row>
    <row r="1911">
      <c r="B1911" s="72" t="n"/>
      <c r="C1911" s="72" t="n"/>
      <c r="D1911" s="72" t="n"/>
      <c r="E1911" s="72" t="n"/>
      <c r="F1911" s="72" t="n"/>
      <c r="G1911" s="72" t="n"/>
      <c r="H1911" s="72" t="n"/>
      <c r="I1911" s="72" t="n"/>
      <c r="J1911" s="72" t="n"/>
      <c r="K1911" s="72" t="n"/>
      <c r="L1911" s="72" t="n"/>
      <c r="M1911" s="72" t="n"/>
      <c r="N1911" s="72" t="n"/>
      <c r="O1911" s="72" t="n"/>
      <c r="P1911" s="72" t="n"/>
      <c r="Q1911" s="72" t="n"/>
      <c r="R1911" s="72" t="n"/>
      <c r="S1911" s="72" t="n"/>
    </row>
    <row r="1912">
      <c r="B1912" s="72" t="n"/>
      <c r="C1912" s="72" t="n"/>
      <c r="D1912" s="72" t="n"/>
      <c r="E1912" s="72" t="n"/>
      <c r="F1912" s="72" t="n"/>
      <c r="G1912" s="72" t="n"/>
      <c r="H1912" s="72" t="n"/>
      <c r="I1912" s="72" t="n"/>
      <c r="J1912" s="72" t="n"/>
      <c r="K1912" s="72" t="n"/>
      <c r="L1912" s="72" t="n"/>
      <c r="M1912" s="72" t="n"/>
      <c r="N1912" s="72" t="n"/>
      <c r="O1912" s="72" t="n"/>
      <c r="P1912" s="72" t="n"/>
      <c r="Q1912" s="72" t="n"/>
      <c r="R1912" s="72" t="n"/>
      <c r="S1912" s="72" t="n"/>
    </row>
    <row r="1913">
      <c r="B1913" s="72" t="n"/>
      <c r="C1913" s="72" t="n"/>
      <c r="D1913" s="72" t="n"/>
      <c r="E1913" s="72" t="n"/>
      <c r="F1913" s="72" t="n"/>
      <c r="G1913" s="72" t="n"/>
      <c r="H1913" s="72" t="n"/>
      <c r="I1913" s="72" t="n"/>
      <c r="J1913" s="72" t="n"/>
      <c r="K1913" s="72" t="n"/>
      <c r="L1913" s="72" t="n"/>
      <c r="M1913" s="72" t="n"/>
      <c r="N1913" s="72" t="n"/>
      <c r="O1913" s="72" t="n"/>
      <c r="P1913" s="72" t="n"/>
      <c r="Q1913" s="72" t="n"/>
      <c r="R1913" s="72" t="n"/>
      <c r="S1913" s="72" t="n"/>
    </row>
    <row r="1914">
      <c r="B1914" s="72" t="n"/>
      <c r="C1914" s="72" t="n"/>
      <c r="D1914" s="72" t="n"/>
      <c r="E1914" s="72" t="n"/>
      <c r="F1914" s="72" t="n"/>
      <c r="G1914" s="72" t="n"/>
      <c r="H1914" s="72" t="n"/>
      <c r="I1914" s="72" t="n"/>
      <c r="J1914" s="72" t="n"/>
      <c r="K1914" s="72" t="n"/>
      <c r="L1914" s="72" t="n"/>
      <c r="M1914" s="72" t="n"/>
      <c r="N1914" s="72" t="n"/>
      <c r="O1914" s="72" t="n"/>
      <c r="P1914" s="72" t="n"/>
      <c r="Q1914" s="72" t="n"/>
      <c r="R1914" s="72" t="n"/>
      <c r="S1914" s="72" t="n"/>
    </row>
    <row r="1915">
      <c r="B1915" s="72" t="n"/>
      <c r="C1915" s="72" t="n"/>
      <c r="D1915" s="72" t="n"/>
      <c r="E1915" s="72" t="n"/>
      <c r="F1915" s="72" t="n"/>
      <c r="G1915" s="72" t="n"/>
      <c r="H1915" s="72" t="n"/>
      <c r="I1915" s="72" t="n"/>
      <c r="J1915" s="72" t="n"/>
      <c r="K1915" s="72" t="n"/>
      <c r="L1915" s="72" t="n"/>
      <c r="M1915" s="72" t="n"/>
      <c r="N1915" s="72" t="n"/>
      <c r="O1915" s="72" t="n"/>
      <c r="P1915" s="72" t="n"/>
      <c r="Q1915" s="72" t="n"/>
      <c r="R1915" s="72" t="n"/>
      <c r="S1915" s="72" t="n"/>
    </row>
    <row r="1916">
      <c r="B1916" s="72" t="n"/>
      <c r="C1916" s="72" t="n"/>
      <c r="D1916" s="72" t="n"/>
      <c r="E1916" s="72" t="n"/>
      <c r="F1916" s="72" t="n"/>
      <c r="G1916" s="72" t="n"/>
      <c r="H1916" s="72" t="n"/>
      <c r="I1916" s="72" t="n"/>
      <c r="J1916" s="72" t="n"/>
      <c r="K1916" s="72" t="n"/>
      <c r="L1916" s="72" t="n"/>
      <c r="M1916" s="72" t="n"/>
      <c r="N1916" s="72" t="n"/>
      <c r="O1916" s="72" t="n"/>
      <c r="P1916" s="72" t="n"/>
      <c r="Q1916" s="72" t="n"/>
      <c r="R1916" s="72" t="n"/>
      <c r="S1916" s="72" t="n"/>
    </row>
    <row r="1917">
      <c r="B1917" s="72" t="n"/>
      <c r="C1917" s="72" t="n"/>
      <c r="D1917" s="72" t="n"/>
      <c r="E1917" s="72" t="n"/>
      <c r="F1917" s="72" t="n"/>
      <c r="G1917" s="72" t="n"/>
      <c r="H1917" s="72" t="n"/>
      <c r="I1917" s="72" t="n"/>
      <c r="J1917" s="72" t="n"/>
      <c r="K1917" s="72" t="n"/>
      <c r="L1917" s="72" t="n"/>
      <c r="M1917" s="72" t="n"/>
      <c r="N1917" s="72" t="n"/>
      <c r="O1917" s="72" t="n"/>
      <c r="P1917" s="72" t="n"/>
      <c r="Q1917" s="72" t="n"/>
      <c r="R1917" s="72" t="n"/>
      <c r="S1917" s="72" t="n"/>
    </row>
    <row r="1918">
      <c r="B1918" s="72" t="n"/>
      <c r="C1918" s="72" t="n"/>
      <c r="D1918" s="72" t="n"/>
      <c r="E1918" s="72" t="n"/>
      <c r="F1918" s="72" t="n"/>
      <c r="G1918" s="72" t="n"/>
      <c r="H1918" s="72" t="n"/>
      <c r="I1918" s="72" t="n"/>
      <c r="J1918" s="72" t="n"/>
      <c r="K1918" s="72" t="n"/>
      <c r="L1918" s="72" t="n"/>
      <c r="M1918" s="72" t="n"/>
      <c r="N1918" s="72" t="n"/>
      <c r="O1918" s="72" t="n"/>
      <c r="P1918" s="72" t="n"/>
      <c r="Q1918" s="72" t="n"/>
      <c r="R1918" s="72" t="n"/>
      <c r="S1918" s="72" t="n"/>
    </row>
    <row r="1919">
      <c r="B1919" s="72" t="n"/>
      <c r="C1919" s="72" t="n"/>
      <c r="D1919" s="72" t="n"/>
      <c r="E1919" s="72" t="n"/>
      <c r="F1919" s="72" t="n"/>
      <c r="G1919" s="72" t="n"/>
      <c r="H1919" s="72" t="n"/>
      <c r="I1919" s="72" t="n"/>
      <c r="J1919" s="72" t="n"/>
      <c r="K1919" s="72" t="n"/>
      <c r="L1919" s="72" t="n"/>
      <c r="M1919" s="72" t="n"/>
      <c r="N1919" s="72" t="n"/>
      <c r="O1919" s="72" t="n"/>
      <c r="P1919" s="72" t="n"/>
      <c r="Q1919" s="72" t="n"/>
      <c r="R1919" s="72" t="n"/>
      <c r="S1919" s="72" t="n"/>
    </row>
    <row r="1920">
      <c r="B1920" s="72" t="n"/>
      <c r="C1920" s="72" t="n"/>
      <c r="D1920" s="72" t="n"/>
      <c r="E1920" s="72" t="n"/>
      <c r="F1920" s="72" t="n"/>
      <c r="G1920" s="72" t="n"/>
      <c r="H1920" s="72" t="n"/>
      <c r="I1920" s="72" t="n"/>
      <c r="J1920" s="72" t="n"/>
      <c r="K1920" s="72" t="n"/>
      <c r="L1920" s="72" t="n"/>
      <c r="M1920" s="72" t="n"/>
      <c r="N1920" s="72" t="n"/>
      <c r="O1920" s="72" t="n"/>
      <c r="P1920" s="72" t="n"/>
      <c r="Q1920" s="72" t="n"/>
      <c r="R1920" s="72" t="n"/>
      <c r="S1920" s="72" t="n"/>
    </row>
    <row r="1921">
      <c r="B1921" s="72" t="n"/>
      <c r="C1921" s="72" t="n"/>
      <c r="D1921" s="72" t="n"/>
      <c r="E1921" s="72" t="n"/>
      <c r="F1921" s="72" t="n"/>
      <c r="G1921" s="72" t="n"/>
      <c r="H1921" s="72" t="n"/>
      <c r="I1921" s="72" t="n"/>
      <c r="J1921" s="72" t="n"/>
      <c r="K1921" s="72" t="n"/>
      <c r="L1921" s="72" t="n"/>
      <c r="M1921" s="72" t="n"/>
      <c r="N1921" s="72" t="n"/>
      <c r="O1921" s="72" t="n"/>
      <c r="P1921" s="72" t="n"/>
      <c r="Q1921" s="72" t="n"/>
      <c r="R1921" s="72" t="n"/>
      <c r="S1921" s="72" t="n"/>
    </row>
    <row r="1922">
      <c r="B1922" s="72" t="n"/>
      <c r="C1922" s="72" t="n"/>
      <c r="D1922" s="72" t="n"/>
      <c r="E1922" s="72" t="n"/>
      <c r="F1922" s="72" t="n"/>
      <c r="G1922" s="72" t="n"/>
      <c r="H1922" s="72" t="n"/>
      <c r="I1922" s="72" t="n"/>
      <c r="J1922" s="72" t="n"/>
      <c r="K1922" s="72" t="n"/>
      <c r="L1922" s="72" t="n"/>
      <c r="M1922" s="72" t="n"/>
      <c r="N1922" s="72" t="n"/>
      <c r="O1922" s="72" t="n"/>
      <c r="P1922" s="72" t="n"/>
      <c r="Q1922" s="72" t="n"/>
      <c r="R1922" s="72" t="n"/>
      <c r="S1922" s="72" t="n"/>
    </row>
    <row r="1923">
      <c r="B1923" s="72" t="n"/>
      <c r="C1923" s="72" t="n"/>
      <c r="D1923" s="72" t="n"/>
      <c r="E1923" s="72" t="n"/>
      <c r="F1923" s="72" t="n"/>
      <c r="G1923" s="72" t="n"/>
      <c r="H1923" s="72" t="n"/>
      <c r="I1923" s="72" t="n"/>
      <c r="J1923" s="72" t="n"/>
      <c r="K1923" s="72" t="n"/>
      <c r="L1923" s="72" t="n"/>
      <c r="M1923" s="72" t="n"/>
      <c r="N1923" s="72" t="n"/>
      <c r="O1923" s="72" t="n"/>
      <c r="P1923" s="72" t="n"/>
      <c r="Q1923" s="72" t="n"/>
      <c r="R1923" s="72" t="n"/>
      <c r="S1923" s="72" t="n"/>
    </row>
    <row r="1924">
      <c r="B1924" s="72" t="n"/>
      <c r="C1924" s="72" t="n"/>
      <c r="D1924" s="72" t="n"/>
      <c r="E1924" s="72" t="n"/>
      <c r="F1924" s="72" t="n"/>
      <c r="G1924" s="72" t="n"/>
      <c r="H1924" s="72" t="n"/>
      <c r="I1924" s="72" t="n"/>
      <c r="J1924" s="72" t="n"/>
      <c r="K1924" s="72" t="n"/>
      <c r="L1924" s="72" t="n"/>
      <c r="M1924" s="72" t="n"/>
      <c r="N1924" s="72" t="n"/>
      <c r="O1924" s="72" t="n"/>
      <c r="P1924" s="72" t="n"/>
      <c r="Q1924" s="72" t="n"/>
      <c r="R1924" s="72" t="n"/>
      <c r="S1924" s="72" t="n"/>
    </row>
    <row r="1925">
      <c r="B1925" s="72" t="n"/>
      <c r="C1925" s="72" t="n"/>
      <c r="D1925" s="72" t="n"/>
      <c r="E1925" s="72" t="n"/>
      <c r="F1925" s="72" t="n"/>
      <c r="G1925" s="72" t="n"/>
      <c r="H1925" s="72" t="n"/>
      <c r="I1925" s="72" t="n"/>
      <c r="J1925" s="72" t="n"/>
      <c r="K1925" s="72" t="n"/>
      <c r="L1925" s="72" t="n"/>
      <c r="M1925" s="72" t="n"/>
      <c r="N1925" s="72" t="n"/>
      <c r="O1925" s="72" t="n"/>
      <c r="P1925" s="72" t="n"/>
      <c r="Q1925" s="72" t="n"/>
      <c r="R1925" s="72" t="n"/>
      <c r="S1925" s="72" t="n"/>
    </row>
    <row r="1926">
      <c r="B1926" s="72" t="n"/>
      <c r="C1926" s="72" t="n"/>
      <c r="D1926" s="72" t="n"/>
      <c r="E1926" s="72" t="n"/>
      <c r="F1926" s="72" t="n"/>
      <c r="G1926" s="72" t="n"/>
      <c r="H1926" s="72" t="n"/>
      <c r="I1926" s="72" t="n"/>
      <c r="J1926" s="72" t="n"/>
      <c r="K1926" s="72" t="n"/>
      <c r="L1926" s="72" t="n"/>
      <c r="M1926" s="72" t="n"/>
      <c r="N1926" s="72" t="n"/>
      <c r="O1926" s="72" t="n"/>
      <c r="P1926" s="72" t="n"/>
      <c r="Q1926" s="72" t="n"/>
      <c r="R1926" s="72" t="n"/>
      <c r="S1926" s="72" t="n"/>
    </row>
    <row r="1927">
      <c r="B1927" s="72" t="n"/>
      <c r="C1927" s="72" t="n"/>
      <c r="D1927" s="72" t="n"/>
      <c r="E1927" s="72" t="n"/>
      <c r="F1927" s="72" t="n"/>
      <c r="G1927" s="72" t="n"/>
      <c r="H1927" s="72" t="n"/>
      <c r="I1927" s="72" t="n"/>
      <c r="J1927" s="72" t="n"/>
      <c r="K1927" s="72" t="n"/>
      <c r="L1927" s="72" t="n"/>
      <c r="M1927" s="72" t="n"/>
      <c r="N1927" s="72" t="n"/>
      <c r="O1927" s="72" t="n"/>
      <c r="P1927" s="72" t="n"/>
      <c r="Q1927" s="72" t="n"/>
      <c r="R1927" s="72" t="n"/>
      <c r="S1927" s="72" t="n"/>
    </row>
    <row r="1928">
      <c r="B1928" s="72" t="n"/>
      <c r="C1928" s="72" t="n"/>
      <c r="D1928" s="72" t="n"/>
      <c r="E1928" s="72" t="n"/>
      <c r="F1928" s="72" t="n"/>
      <c r="G1928" s="72" t="n"/>
      <c r="H1928" s="72" t="n"/>
      <c r="I1928" s="72" t="n"/>
      <c r="J1928" s="72" t="n"/>
      <c r="K1928" s="72" t="n"/>
      <c r="L1928" s="72" t="n"/>
      <c r="M1928" s="72" t="n"/>
      <c r="N1928" s="72" t="n"/>
      <c r="O1928" s="72" t="n"/>
      <c r="P1928" s="72" t="n"/>
      <c r="Q1928" s="72" t="n"/>
      <c r="R1928" s="72" t="n"/>
      <c r="S1928" s="72" t="n"/>
    </row>
    <row r="1929">
      <c r="B1929" s="72" t="n"/>
      <c r="C1929" s="72" t="n"/>
      <c r="D1929" s="72" t="n"/>
      <c r="E1929" s="72" t="n"/>
      <c r="F1929" s="72" t="n"/>
      <c r="G1929" s="72" t="n"/>
      <c r="H1929" s="72" t="n"/>
      <c r="I1929" s="72" t="n"/>
      <c r="J1929" s="72" t="n"/>
      <c r="K1929" s="72" t="n"/>
      <c r="L1929" s="72" t="n"/>
      <c r="M1929" s="72" t="n"/>
      <c r="N1929" s="72" t="n"/>
      <c r="O1929" s="72" t="n"/>
      <c r="P1929" s="72" t="n"/>
      <c r="Q1929" s="72" t="n"/>
      <c r="R1929" s="72" t="n"/>
      <c r="S1929" s="72" t="n"/>
    </row>
    <row r="1930">
      <c r="B1930" s="72" t="n"/>
      <c r="C1930" s="72" t="n"/>
      <c r="D1930" s="72" t="n"/>
      <c r="E1930" s="72" t="n"/>
      <c r="F1930" s="72" t="n"/>
      <c r="G1930" s="72" t="n"/>
      <c r="H1930" s="72" t="n"/>
      <c r="I1930" s="72" t="n"/>
      <c r="J1930" s="72" t="n"/>
      <c r="K1930" s="72" t="n"/>
      <c r="L1930" s="72" t="n"/>
      <c r="M1930" s="72" t="n"/>
      <c r="N1930" s="72" t="n"/>
      <c r="O1930" s="72" t="n"/>
      <c r="P1930" s="72" t="n"/>
      <c r="Q1930" s="72" t="n"/>
      <c r="R1930" s="72" t="n"/>
      <c r="S1930" s="72" t="n"/>
    </row>
    <row r="1931">
      <c r="B1931" s="72" t="n"/>
      <c r="C1931" s="72" t="n"/>
      <c r="D1931" s="72" t="n"/>
      <c r="E1931" s="72" t="n"/>
      <c r="F1931" s="72" t="n"/>
      <c r="G1931" s="72" t="n"/>
      <c r="H1931" s="72" t="n"/>
      <c r="I1931" s="72" t="n"/>
      <c r="J1931" s="72" t="n"/>
      <c r="K1931" s="72" t="n"/>
      <c r="L1931" s="72" t="n"/>
      <c r="M1931" s="72" t="n"/>
      <c r="N1931" s="72" t="n"/>
      <c r="O1931" s="72" t="n"/>
      <c r="P1931" s="72" t="n"/>
      <c r="Q1931" s="72" t="n"/>
      <c r="R1931" s="72" t="n"/>
      <c r="S1931" s="72" t="n"/>
    </row>
    <row r="1932">
      <c r="B1932" s="72" t="n"/>
      <c r="C1932" s="72" t="n"/>
      <c r="D1932" s="72" t="n"/>
      <c r="E1932" s="72" t="n"/>
      <c r="F1932" s="72" t="n"/>
      <c r="G1932" s="72" t="n"/>
      <c r="H1932" s="72" t="n"/>
      <c r="I1932" s="72" t="n"/>
      <c r="J1932" s="72" t="n"/>
      <c r="K1932" s="72" t="n"/>
      <c r="L1932" s="72" t="n"/>
      <c r="M1932" s="72" t="n"/>
      <c r="N1932" s="72" t="n"/>
      <c r="O1932" s="72" t="n"/>
      <c r="P1932" s="72" t="n"/>
      <c r="Q1932" s="72" t="n"/>
      <c r="R1932" s="72" t="n"/>
      <c r="S1932" s="72" t="n"/>
    </row>
    <row r="1933">
      <c r="B1933" s="72" t="n"/>
      <c r="C1933" s="72" t="n"/>
      <c r="D1933" s="72" t="n"/>
      <c r="E1933" s="72" t="n"/>
      <c r="F1933" s="72" t="n"/>
      <c r="G1933" s="72" t="n"/>
      <c r="H1933" s="72" t="n"/>
      <c r="I1933" s="72" t="n"/>
      <c r="J1933" s="72" t="n"/>
      <c r="K1933" s="72" t="n"/>
      <c r="L1933" s="72" t="n"/>
      <c r="M1933" s="72" t="n"/>
      <c r="N1933" s="72" t="n"/>
      <c r="O1933" s="72" t="n"/>
      <c r="P1933" s="72" t="n"/>
      <c r="Q1933" s="72" t="n"/>
      <c r="R1933" s="72" t="n"/>
      <c r="S1933" s="72" t="n"/>
    </row>
    <row r="1934">
      <c r="B1934" s="72" t="n"/>
      <c r="C1934" s="72" t="n"/>
      <c r="D1934" s="72" t="n"/>
      <c r="E1934" s="72" t="n"/>
      <c r="F1934" s="72" t="n"/>
      <c r="G1934" s="72" t="n"/>
      <c r="H1934" s="72" t="n"/>
      <c r="I1934" s="72" t="n"/>
      <c r="J1934" s="72" t="n"/>
      <c r="K1934" s="72" t="n"/>
      <c r="L1934" s="72" t="n"/>
      <c r="M1934" s="72" t="n"/>
      <c r="N1934" s="72" t="n"/>
      <c r="O1934" s="72" t="n"/>
      <c r="P1934" s="72" t="n"/>
      <c r="Q1934" s="72" t="n"/>
      <c r="R1934" s="72" t="n"/>
      <c r="S1934" s="72" t="n"/>
    </row>
    <row r="1935">
      <c r="B1935" s="72" t="n"/>
      <c r="C1935" s="72" t="n"/>
      <c r="D1935" s="72" t="n"/>
      <c r="E1935" s="72" t="n"/>
      <c r="F1935" s="72" t="n"/>
      <c r="G1935" s="72" t="n"/>
      <c r="H1935" s="72" t="n"/>
      <c r="I1935" s="72" t="n"/>
      <c r="J1935" s="72" t="n"/>
      <c r="K1935" s="72" t="n"/>
      <c r="L1935" s="72" t="n"/>
      <c r="M1935" s="72" t="n"/>
      <c r="N1935" s="72" t="n"/>
      <c r="O1935" s="72" t="n"/>
      <c r="P1935" s="72" t="n"/>
      <c r="Q1935" s="72" t="n"/>
      <c r="R1935" s="72" t="n"/>
      <c r="S1935" s="72" t="n"/>
    </row>
    <row r="1936">
      <c r="B1936" s="72" t="n"/>
      <c r="C1936" s="72" t="n"/>
      <c r="D1936" s="72" t="n"/>
      <c r="E1936" s="72" t="n"/>
      <c r="F1936" s="72" t="n"/>
      <c r="G1936" s="72" t="n"/>
      <c r="H1936" s="72" t="n"/>
      <c r="I1936" s="72" t="n"/>
      <c r="J1936" s="72" t="n"/>
      <c r="K1936" s="72" t="n"/>
      <c r="L1936" s="72" t="n"/>
      <c r="M1936" s="72" t="n"/>
      <c r="N1936" s="72" t="n"/>
      <c r="O1936" s="72" t="n"/>
      <c r="P1936" s="72" t="n"/>
      <c r="Q1936" s="72" t="n"/>
      <c r="R1936" s="72" t="n"/>
      <c r="S1936" s="72" t="n"/>
    </row>
    <row r="1937">
      <c r="B1937" s="72" t="n"/>
      <c r="C1937" s="72" t="n"/>
      <c r="D1937" s="72" t="n"/>
      <c r="E1937" s="72" t="n"/>
      <c r="F1937" s="72" t="n"/>
      <c r="G1937" s="72" t="n"/>
      <c r="H1937" s="72" t="n"/>
      <c r="I1937" s="72" t="n"/>
      <c r="J1937" s="72" t="n"/>
      <c r="K1937" s="72" t="n"/>
      <c r="L1937" s="72" t="n"/>
      <c r="M1937" s="72" t="n"/>
      <c r="N1937" s="72" t="n"/>
      <c r="O1937" s="72" t="n"/>
      <c r="P1937" s="72" t="n"/>
      <c r="Q1937" s="72" t="n"/>
      <c r="R1937" s="72" t="n"/>
      <c r="S1937" s="72" t="n"/>
    </row>
    <row r="1938">
      <c r="B1938" s="72" t="n"/>
      <c r="C1938" s="72" t="n"/>
      <c r="D1938" s="72" t="n"/>
      <c r="E1938" s="72" t="n"/>
      <c r="F1938" s="72" t="n"/>
      <c r="G1938" s="72" t="n"/>
      <c r="H1938" s="72" t="n"/>
      <c r="I1938" s="72" t="n"/>
      <c r="J1938" s="72" t="n"/>
      <c r="K1938" s="72" t="n"/>
      <c r="L1938" s="72" t="n"/>
      <c r="M1938" s="72" t="n"/>
      <c r="N1938" s="72" t="n"/>
      <c r="O1938" s="72" t="n"/>
      <c r="P1938" s="72" t="n"/>
      <c r="Q1938" s="72" t="n"/>
      <c r="R1938" s="72" t="n"/>
      <c r="S1938" s="72" t="n"/>
    </row>
    <row r="1939">
      <c r="B1939" s="72" t="n"/>
      <c r="C1939" s="72" t="n"/>
      <c r="D1939" s="72" t="n"/>
      <c r="E1939" s="72" t="n"/>
      <c r="F1939" s="72" t="n"/>
      <c r="G1939" s="72" t="n"/>
      <c r="H1939" s="72" t="n"/>
      <c r="I1939" s="72" t="n"/>
      <c r="J1939" s="72" t="n"/>
      <c r="K1939" s="72" t="n"/>
      <c r="L1939" s="72" t="n"/>
      <c r="M1939" s="72" t="n"/>
      <c r="N1939" s="72" t="n"/>
      <c r="O1939" s="72" t="n"/>
      <c r="P1939" s="72" t="n"/>
      <c r="Q1939" s="72" t="n"/>
      <c r="R1939" s="72" t="n"/>
      <c r="S1939" s="72" t="n"/>
    </row>
    <row r="1940">
      <c r="B1940" s="72" t="n"/>
      <c r="C1940" s="72" t="n"/>
      <c r="D1940" s="72" t="n"/>
      <c r="E1940" s="72" t="n"/>
      <c r="F1940" s="72" t="n"/>
      <c r="G1940" s="72" t="n"/>
      <c r="H1940" s="72" t="n"/>
      <c r="I1940" s="72" t="n"/>
      <c r="J1940" s="72" t="n"/>
      <c r="K1940" s="72" t="n"/>
      <c r="L1940" s="72" t="n"/>
      <c r="M1940" s="72" t="n"/>
      <c r="N1940" s="72" t="n"/>
      <c r="O1940" s="72" t="n"/>
      <c r="P1940" s="72" t="n"/>
      <c r="Q1940" s="72" t="n"/>
      <c r="R1940" s="72" t="n"/>
      <c r="S1940" s="72" t="n"/>
    </row>
    <row r="1941">
      <c r="B1941" s="72" t="n"/>
      <c r="C1941" s="72" t="n"/>
      <c r="D1941" s="72" t="n"/>
      <c r="E1941" s="72" t="n"/>
      <c r="F1941" s="72" t="n"/>
      <c r="G1941" s="72" t="n"/>
      <c r="H1941" s="72" t="n"/>
      <c r="I1941" s="72" t="n"/>
      <c r="J1941" s="72" t="n"/>
      <c r="K1941" s="72" t="n"/>
      <c r="L1941" s="72" t="n"/>
      <c r="M1941" s="72" t="n"/>
      <c r="N1941" s="72" t="n"/>
      <c r="O1941" s="72" t="n"/>
      <c r="P1941" s="72" t="n"/>
      <c r="Q1941" s="72" t="n"/>
      <c r="R1941" s="72" t="n"/>
      <c r="S1941" s="72" t="n"/>
    </row>
    <row r="1942">
      <c r="B1942" s="72" t="n"/>
      <c r="C1942" s="72" t="n"/>
      <c r="D1942" s="72" t="n"/>
      <c r="E1942" s="72" t="n"/>
      <c r="F1942" s="72" t="n"/>
      <c r="G1942" s="72" t="n"/>
      <c r="H1942" s="72" t="n"/>
      <c r="I1942" s="72" t="n"/>
      <c r="J1942" s="72" t="n"/>
      <c r="K1942" s="72" t="n"/>
      <c r="L1942" s="72" t="n"/>
      <c r="M1942" s="72" t="n"/>
      <c r="N1942" s="72" t="n"/>
      <c r="O1942" s="72" t="n"/>
      <c r="P1942" s="72" t="n"/>
      <c r="Q1942" s="72" t="n"/>
      <c r="R1942" s="72" t="n"/>
      <c r="S1942" s="72" t="n"/>
    </row>
    <row r="1943">
      <c r="B1943" s="72" t="n"/>
      <c r="C1943" s="72" t="n"/>
      <c r="D1943" s="72" t="n"/>
      <c r="E1943" s="72" t="n"/>
      <c r="F1943" s="72" t="n"/>
      <c r="G1943" s="72" t="n"/>
      <c r="H1943" s="72" t="n"/>
      <c r="I1943" s="72" t="n"/>
      <c r="J1943" s="72" t="n"/>
      <c r="K1943" s="72" t="n"/>
      <c r="L1943" s="72" t="n"/>
      <c r="M1943" s="72" t="n"/>
      <c r="N1943" s="72" t="n"/>
      <c r="O1943" s="72" t="n"/>
      <c r="P1943" s="72" t="n"/>
      <c r="Q1943" s="72" t="n"/>
      <c r="R1943" s="72" t="n"/>
      <c r="S1943" s="72" t="n"/>
    </row>
    <row r="1944">
      <c r="B1944" s="72" t="n"/>
      <c r="C1944" s="72" t="n"/>
      <c r="D1944" s="72" t="n"/>
      <c r="E1944" s="72" t="n"/>
      <c r="F1944" s="72" t="n"/>
      <c r="G1944" s="72" t="n"/>
      <c r="H1944" s="72" t="n"/>
      <c r="I1944" s="72" t="n"/>
      <c r="J1944" s="72" t="n"/>
      <c r="K1944" s="72" t="n"/>
      <c r="L1944" s="72" t="n"/>
      <c r="M1944" s="72" t="n"/>
      <c r="N1944" s="72" t="n"/>
      <c r="O1944" s="72" t="n"/>
      <c r="P1944" s="72" t="n"/>
      <c r="Q1944" s="72" t="n"/>
      <c r="R1944" s="72" t="n"/>
      <c r="S1944" s="72" t="n"/>
    </row>
    <row r="1945">
      <c r="B1945" s="72" t="n"/>
      <c r="C1945" s="72" t="n"/>
      <c r="D1945" s="72" t="n"/>
      <c r="E1945" s="72" t="n"/>
      <c r="F1945" s="72" t="n"/>
      <c r="G1945" s="72" t="n"/>
      <c r="H1945" s="72" t="n"/>
      <c r="I1945" s="72" t="n"/>
      <c r="J1945" s="72" t="n"/>
      <c r="K1945" s="72" t="n"/>
      <c r="L1945" s="72" t="n"/>
      <c r="M1945" s="72" t="n"/>
      <c r="N1945" s="72" t="n"/>
      <c r="O1945" s="72" t="n"/>
      <c r="P1945" s="72" t="n"/>
      <c r="Q1945" s="72" t="n"/>
      <c r="R1945" s="72" t="n"/>
      <c r="S1945" s="72" t="n"/>
    </row>
    <row r="1946">
      <c r="B1946" s="72" t="n"/>
      <c r="C1946" s="72" t="n"/>
      <c r="D1946" s="72" t="n"/>
      <c r="E1946" s="72" t="n"/>
      <c r="F1946" s="72" t="n"/>
      <c r="G1946" s="72" t="n"/>
      <c r="H1946" s="72" t="n"/>
      <c r="I1946" s="72" t="n"/>
      <c r="J1946" s="72" t="n"/>
      <c r="K1946" s="72" t="n"/>
      <c r="L1946" s="72" t="n"/>
      <c r="M1946" s="72" t="n"/>
      <c r="N1946" s="72" t="n"/>
      <c r="O1946" s="72" t="n"/>
      <c r="P1946" s="72" t="n"/>
      <c r="Q1946" s="72" t="n"/>
      <c r="R1946" s="72" t="n"/>
      <c r="S1946" s="72" t="n"/>
    </row>
    <row r="1947">
      <c r="B1947" s="72" t="n"/>
      <c r="C1947" s="72" t="n"/>
      <c r="D1947" s="72" t="n"/>
      <c r="E1947" s="72" t="n"/>
      <c r="F1947" s="72" t="n"/>
      <c r="G1947" s="72" t="n"/>
      <c r="H1947" s="72" t="n"/>
      <c r="I1947" s="72" t="n"/>
      <c r="J1947" s="72" t="n"/>
      <c r="K1947" s="72" t="n"/>
      <c r="L1947" s="72" t="n"/>
      <c r="M1947" s="72" t="n"/>
      <c r="N1947" s="72" t="n"/>
      <c r="O1947" s="72" t="n"/>
      <c r="P1947" s="72" t="n"/>
      <c r="Q1947" s="72" t="n"/>
      <c r="R1947" s="72" t="n"/>
      <c r="S1947" s="72" t="n"/>
    </row>
    <row r="1948">
      <c r="B1948" s="72" t="n"/>
      <c r="C1948" s="72" t="n"/>
      <c r="D1948" s="72" t="n"/>
      <c r="E1948" s="72" t="n"/>
      <c r="F1948" s="72" t="n"/>
      <c r="G1948" s="72" t="n"/>
      <c r="H1948" s="72" t="n"/>
      <c r="I1948" s="72" t="n"/>
      <c r="J1948" s="72" t="n"/>
      <c r="K1948" s="72" t="n"/>
      <c r="L1948" s="72" t="n"/>
      <c r="M1948" s="72" t="n"/>
      <c r="N1948" s="72" t="n"/>
      <c r="O1948" s="72" t="n"/>
      <c r="P1948" s="72" t="n"/>
      <c r="Q1948" s="72" t="n"/>
      <c r="R1948" s="72" t="n"/>
      <c r="S1948" s="72" t="n"/>
    </row>
    <row r="1949">
      <c r="B1949" s="72" t="n"/>
      <c r="C1949" s="72" t="n"/>
      <c r="D1949" s="72" t="n"/>
      <c r="E1949" s="72" t="n"/>
      <c r="F1949" s="72" t="n"/>
      <c r="G1949" s="72" t="n"/>
      <c r="H1949" s="72" t="n"/>
      <c r="I1949" s="72" t="n"/>
      <c r="J1949" s="72" t="n"/>
      <c r="K1949" s="72" t="n"/>
      <c r="L1949" s="72" t="n"/>
      <c r="M1949" s="72" t="n"/>
      <c r="N1949" s="72" t="n"/>
      <c r="O1949" s="72" t="n"/>
      <c r="P1949" s="72" t="n"/>
      <c r="Q1949" s="72" t="n"/>
      <c r="R1949" s="72" t="n"/>
      <c r="S1949" s="72" t="n"/>
    </row>
    <row r="1950">
      <c r="B1950" s="72" t="n"/>
      <c r="C1950" s="72" t="n"/>
      <c r="D1950" s="72" t="n"/>
      <c r="E1950" s="72" t="n"/>
      <c r="F1950" s="72" t="n"/>
      <c r="G1950" s="72" t="n"/>
      <c r="H1950" s="72" t="n"/>
      <c r="I1950" s="72" t="n"/>
      <c r="J1950" s="72" t="n"/>
      <c r="K1950" s="72" t="n"/>
      <c r="L1950" s="72" t="n"/>
      <c r="M1950" s="72" t="n"/>
      <c r="N1950" s="72" t="n"/>
      <c r="O1950" s="72" t="n"/>
      <c r="P1950" s="72" t="n"/>
      <c r="Q1950" s="72" t="n"/>
      <c r="R1950" s="72" t="n"/>
      <c r="S1950" s="72" t="n"/>
    </row>
    <row r="1951">
      <c r="B1951" s="72" t="n"/>
      <c r="C1951" s="72" t="n"/>
      <c r="D1951" s="72" t="n"/>
      <c r="E1951" s="72" t="n"/>
      <c r="F1951" s="72" t="n"/>
      <c r="G1951" s="72" t="n"/>
      <c r="H1951" s="72" t="n"/>
      <c r="I1951" s="72" t="n"/>
      <c r="J1951" s="72" t="n"/>
      <c r="K1951" s="72" t="n"/>
      <c r="L1951" s="72" t="n"/>
      <c r="M1951" s="72" t="n"/>
      <c r="N1951" s="72" t="n"/>
      <c r="O1951" s="72" t="n"/>
      <c r="P1951" s="72" t="n"/>
      <c r="Q1951" s="72" t="n"/>
      <c r="R1951" s="72" t="n"/>
      <c r="S1951" s="72" t="n"/>
    </row>
    <row r="1952">
      <c r="B1952" s="72" t="n"/>
      <c r="C1952" s="72" t="n"/>
      <c r="D1952" s="72" t="n"/>
      <c r="E1952" s="72" t="n"/>
      <c r="F1952" s="72" t="n"/>
      <c r="G1952" s="72" t="n"/>
      <c r="H1952" s="72" t="n"/>
      <c r="I1952" s="72" t="n"/>
      <c r="J1952" s="72" t="n"/>
      <c r="K1952" s="72" t="n"/>
      <c r="L1952" s="72" t="n"/>
      <c r="M1952" s="72" t="n"/>
      <c r="N1952" s="72" t="n"/>
      <c r="O1952" s="72" t="n"/>
      <c r="P1952" s="72" t="n"/>
      <c r="Q1952" s="72" t="n"/>
      <c r="R1952" s="72" t="n"/>
      <c r="S1952" s="72" t="n"/>
    </row>
    <row r="1953">
      <c r="B1953" s="72" t="n"/>
      <c r="C1953" s="72" t="n"/>
      <c r="D1953" s="72" t="n"/>
      <c r="E1953" s="72" t="n"/>
      <c r="F1953" s="72" t="n"/>
      <c r="G1953" s="72" t="n"/>
      <c r="H1953" s="72" t="n"/>
      <c r="I1953" s="72" t="n"/>
      <c r="J1953" s="72" t="n"/>
      <c r="K1953" s="72" t="n"/>
      <c r="L1953" s="72" t="n"/>
      <c r="M1953" s="72" t="n"/>
      <c r="N1953" s="72" t="n"/>
      <c r="O1953" s="72" t="n"/>
      <c r="P1953" s="72" t="n"/>
      <c r="Q1953" s="72" t="n"/>
      <c r="R1953" s="72" t="n"/>
      <c r="S1953" s="72" t="n"/>
    </row>
    <row r="1954">
      <c r="B1954" s="72" t="n"/>
      <c r="C1954" s="72" t="n"/>
      <c r="D1954" s="72" t="n"/>
      <c r="E1954" s="72" t="n"/>
      <c r="F1954" s="72" t="n"/>
      <c r="G1954" s="72" t="n"/>
      <c r="H1954" s="72" t="n"/>
      <c r="I1954" s="72" t="n"/>
      <c r="J1954" s="72" t="n"/>
      <c r="K1954" s="72" t="n"/>
      <c r="L1954" s="72" t="n"/>
      <c r="M1954" s="72" t="n"/>
      <c r="N1954" s="72" t="n"/>
      <c r="O1954" s="72" t="n"/>
      <c r="P1954" s="72" t="n"/>
      <c r="Q1954" s="72" t="n"/>
      <c r="R1954" s="72" t="n"/>
      <c r="S1954" s="72" t="n"/>
    </row>
    <row r="1955">
      <c r="B1955" s="72" t="n"/>
      <c r="C1955" s="72" t="n"/>
      <c r="D1955" s="72" t="n"/>
      <c r="E1955" s="72" t="n"/>
      <c r="F1955" s="72" t="n"/>
      <c r="G1955" s="72" t="n"/>
      <c r="H1955" s="72" t="n"/>
      <c r="I1955" s="72" t="n"/>
      <c r="J1955" s="72" t="n"/>
      <c r="K1955" s="72" t="n"/>
      <c r="L1955" s="72" t="n"/>
      <c r="M1955" s="72" t="n"/>
      <c r="N1955" s="72" t="n"/>
      <c r="O1955" s="72" t="n"/>
      <c r="P1955" s="72" t="n"/>
      <c r="Q1955" s="72" t="n"/>
      <c r="R1955" s="72" t="n"/>
      <c r="S1955" s="72" t="n"/>
    </row>
    <row r="1956">
      <c r="B1956" s="72" t="n"/>
      <c r="C1956" s="72" t="n"/>
      <c r="D1956" s="72" t="n"/>
      <c r="E1956" s="72" t="n"/>
      <c r="F1956" s="72" t="n"/>
      <c r="G1956" s="72" t="n"/>
      <c r="H1956" s="72" t="n"/>
      <c r="I1956" s="72" t="n"/>
      <c r="J1956" s="72" t="n"/>
      <c r="K1956" s="72" t="n"/>
      <c r="L1956" s="72" t="n"/>
      <c r="M1956" s="72" t="n"/>
      <c r="N1956" s="72" t="n"/>
      <c r="O1956" s="72" t="n"/>
      <c r="P1956" s="72" t="n"/>
      <c r="Q1956" s="72" t="n"/>
      <c r="R1956" s="72" t="n"/>
      <c r="S1956" s="72" t="n"/>
    </row>
    <row r="1957">
      <c r="B1957" s="72" t="n"/>
      <c r="C1957" s="72" t="n"/>
      <c r="D1957" s="72" t="n"/>
      <c r="E1957" s="72" t="n"/>
      <c r="F1957" s="72" t="n"/>
      <c r="G1957" s="72" t="n"/>
      <c r="H1957" s="72" t="n"/>
      <c r="I1957" s="72" t="n"/>
      <c r="J1957" s="72" t="n"/>
      <c r="K1957" s="72" t="n"/>
      <c r="L1957" s="72" t="n"/>
      <c r="M1957" s="72" t="n"/>
      <c r="N1957" s="72" t="n"/>
      <c r="O1957" s="72" t="n"/>
      <c r="P1957" s="72" t="n"/>
      <c r="Q1957" s="72" t="n"/>
      <c r="R1957" s="72" t="n"/>
      <c r="S1957" s="72" t="n"/>
    </row>
    <row r="1958">
      <c r="B1958" s="72" t="n"/>
      <c r="C1958" s="72" t="n"/>
      <c r="D1958" s="72" t="n"/>
      <c r="E1958" s="72" t="n"/>
      <c r="F1958" s="72" t="n"/>
      <c r="G1958" s="72" t="n"/>
      <c r="H1958" s="72" t="n"/>
      <c r="I1958" s="72" t="n"/>
      <c r="J1958" s="72" t="n"/>
      <c r="K1958" s="72" t="n"/>
      <c r="L1958" s="72" t="n"/>
      <c r="M1958" s="72" t="n"/>
      <c r="N1958" s="72" t="n"/>
      <c r="O1958" s="72" t="n"/>
      <c r="P1958" s="72" t="n"/>
      <c r="Q1958" s="72" t="n"/>
      <c r="R1958" s="72" t="n"/>
      <c r="S1958" s="72" t="n"/>
    </row>
    <row r="1959">
      <c r="B1959" s="72" t="n"/>
      <c r="C1959" s="72" t="n"/>
      <c r="D1959" s="72" t="n"/>
      <c r="E1959" s="72" t="n"/>
      <c r="F1959" s="72" t="n"/>
      <c r="G1959" s="72" t="n"/>
      <c r="H1959" s="72" t="n"/>
      <c r="I1959" s="72" t="n"/>
      <c r="J1959" s="72" t="n"/>
      <c r="K1959" s="72" t="n"/>
      <c r="L1959" s="72" t="n"/>
      <c r="M1959" s="72" t="n"/>
      <c r="N1959" s="72" t="n"/>
      <c r="O1959" s="72" t="n"/>
      <c r="P1959" s="72" t="n"/>
      <c r="Q1959" s="72" t="n"/>
      <c r="R1959" s="72" t="n"/>
      <c r="S1959" s="72" t="n"/>
    </row>
    <row r="1960">
      <c r="B1960" s="72" t="n"/>
      <c r="C1960" s="72" t="n"/>
      <c r="D1960" s="72" t="n"/>
      <c r="E1960" s="72" t="n"/>
      <c r="F1960" s="72" t="n"/>
      <c r="G1960" s="72" t="n"/>
      <c r="H1960" s="72" t="n"/>
      <c r="I1960" s="72" t="n"/>
      <c r="J1960" s="72" t="n"/>
      <c r="K1960" s="72" t="n"/>
      <c r="L1960" s="72" t="n"/>
      <c r="M1960" s="72" t="n"/>
      <c r="N1960" s="72" t="n"/>
      <c r="O1960" s="72" t="n"/>
      <c r="P1960" s="72" t="n"/>
      <c r="Q1960" s="72" t="n"/>
      <c r="R1960" s="72" t="n"/>
      <c r="S1960" s="72" t="n"/>
    </row>
    <row r="1961">
      <c r="B1961" s="72" t="n"/>
      <c r="C1961" s="72" t="n"/>
      <c r="D1961" s="72" t="n"/>
      <c r="E1961" s="72" t="n"/>
      <c r="F1961" s="72" t="n"/>
      <c r="G1961" s="72" t="n"/>
      <c r="H1961" s="72" t="n"/>
      <c r="I1961" s="72" t="n"/>
      <c r="J1961" s="72" t="n"/>
      <c r="K1961" s="72" t="n"/>
      <c r="L1961" s="72" t="n"/>
      <c r="M1961" s="72" t="n"/>
      <c r="N1961" s="72" t="n"/>
      <c r="O1961" s="72" t="n"/>
      <c r="P1961" s="72" t="n"/>
      <c r="Q1961" s="72" t="n"/>
      <c r="R1961" s="72" t="n"/>
      <c r="S1961" s="72" t="n"/>
    </row>
    <row r="1962">
      <c r="B1962" s="72" t="n"/>
      <c r="C1962" s="72" t="n"/>
      <c r="D1962" s="72" t="n"/>
      <c r="E1962" s="72" t="n"/>
      <c r="F1962" s="72" t="n"/>
      <c r="G1962" s="72" t="n"/>
      <c r="H1962" s="72" t="n"/>
      <c r="I1962" s="72" t="n"/>
      <c r="J1962" s="72" t="n"/>
      <c r="K1962" s="72" t="n"/>
      <c r="L1962" s="72" t="n"/>
      <c r="M1962" s="72" t="n"/>
      <c r="N1962" s="72" t="n"/>
      <c r="O1962" s="72" t="n"/>
      <c r="P1962" s="72" t="n"/>
      <c r="Q1962" s="72" t="n"/>
      <c r="R1962" s="72" t="n"/>
      <c r="S1962" s="72" t="n"/>
    </row>
    <row r="1963">
      <c r="B1963" s="72" t="n"/>
      <c r="C1963" s="72" t="n"/>
      <c r="D1963" s="72" t="n"/>
      <c r="E1963" s="72" t="n"/>
      <c r="F1963" s="72" t="n"/>
      <c r="G1963" s="72" t="n"/>
      <c r="H1963" s="72" t="n"/>
      <c r="I1963" s="72" t="n"/>
      <c r="J1963" s="72" t="n"/>
      <c r="K1963" s="72" t="n"/>
      <c r="L1963" s="72" t="n"/>
      <c r="M1963" s="72" t="n"/>
      <c r="N1963" s="72" t="n"/>
      <c r="O1963" s="72" t="n"/>
      <c r="P1963" s="72" t="n"/>
      <c r="Q1963" s="72" t="n"/>
      <c r="R1963" s="72" t="n"/>
      <c r="S1963" s="72" t="n"/>
    </row>
    <row r="1964">
      <c r="B1964" s="72" t="n"/>
      <c r="C1964" s="72" t="n"/>
      <c r="D1964" s="72" t="n"/>
      <c r="E1964" s="72" t="n"/>
      <c r="F1964" s="72" t="n"/>
      <c r="G1964" s="72" t="n"/>
      <c r="H1964" s="72" t="n"/>
      <c r="I1964" s="72" t="n"/>
      <c r="J1964" s="72" t="n"/>
      <c r="K1964" s="72" t="n"/>
      <c r="L1964" s="72" t="n"/>
      <c r="M1964" s="72" t="n"/>
      <c r="N1964" s="72" t="n"/>
      <c r="O1964" s="72" t="n"/>
      <c r="P1964" s="72" t="n"/>
      <c r="Q1964" s="72" t="n"/>
      <c r="R1964" s="72" t="n"/>
      <c r="S1964" s="72" t="n"/>
    </row>
    <row r="1965">
      <c r="B1965" s="72" t="n"/>
      <c r="C1965" s="72" t="n"/>
      <c r="D1965" s="72" t="n"/>
      <c r="E1965" s="72" t="n"/>
      <c r="F1965" s="72" t="n"/>
      <c r="G1965" s="72" t="n"/>
      <c r="H1965" s="72" t="n"/>
      <c r="I1965" s="72" t="n"/>
      <c r="J1965" s="72" t="n"/>
      <c r="K1965" s="72" t="n"/>
      <c r="L1965" s="72" t="n"/>
      <c r="M1965" s="72" t="n"/>
      <c r="N1965" s="72" t="n"/>
      <c r="O1965" s="72" t="n"/>
      <c r="P1965" s="72" t="n"/>
      <c r="Q1965" s="72" t="n"/>
      <c r="R1965" s="72" t="n"/>
      <c r="S1965" s="72" t="n"/>
    </row>
    <row r="1966">
      <c r="B1966" s="72" t="n"/>
      <c r="C1966" s="72" t="n"/>
      <c r="D1966" s="72" t="n"/>
      <c r="E1966" s="72" t="n"/>
      <c r="F1966" s="72" t="n"/>
      <c r="G1966" s="72" t="n"/>
      <c r="H1966" s="72" t="n"/>
      <c r="I1966" s="72" t="n"/>
      <c r="J1966" s="72" t="n"/>
      <c r="K1966" s="72" t="n"/>
      <c r="L1966" s="72" t="n"/>
      <c r="M1966" s="72" t="n"/>
      <c r="N1966" s="72" t="n"/>
      <c r="O1966" s="72" t="n"/>
      <c r="P1966" s="72" t="n"/>
      <c r="Q1966" s="72" t="n"/>
      <c r="R1966" s="72" t="n"/>
      <c r="S1966" s="72" t="n"/>
    </row>
    <row r="1967">
      <c r="B1967" s="72" t="n"/>
      <c r="C1967" s="72" t="n"/>
      <c r="D1967" s="72" t="n"/>
      <c r="E1967" s="72" t="n"/>
      <c r="F1967" s="72" t="n"/>
      <c r="G1967" s="72" t="n"/>
      <c r="H1967" s="72" t="n"/>
      <c r="I1967" s="72" t="n"/>
      <c r="J1967" s="72" t="n"/>
      <c r="K1967" s="72" t="n"/>
      <c r="L1967" s="72" t="n"/>
      <c r="M1967" s="72" t="n"/>
      <c r="N1967" s="72" t="n"/>
      <c r="O1967" s="72" t="n"/>
      <c r="P1967" s="72" t="n"/>
      <c r="Q1967" s="72" t="n"/>
      <c r="R1967" s="72" t="n"/>
      <c r="S1967" s="72" t="n"/>
    </row>
    <row r="1968">
      <c r="B1968" s="72" t="n"/>
      <c r="C1968" s="72" t="n"/>
      <c r="D1968" s="72" t="n"/>
      <c r="E1968" s="72" t="n"/>
      <c r="F1968" s="72" t="n"/>
      <c r="G1968" s="72" t="n"/>
      <c r="H1968" s="72" t="n"/>
      <c r="I1968" s="72" t="n"/>
      <c r="J1968" s="72" t="n"/>
      <c r="K1968" s="72" t="n"/>
      <c r="L1968" s="72" t="n"/>
      <c r="M1968" s="72" t="n"/>
      <c r="N1968" s="72" t="n"/>
      <c r="O1968" s="72" t="n"/>
      <c r="P1968" s="72" t="n"/>
      <c r="Q1968" s="72" t="n"/>
      <c r="R1968" s="72" t="n"/>
      <c r="S1968" s="72" t="n"/>
    </row>
    <row r="1969">
      <c r="B1969" s="72" t="n"/>
      <c r="C1969" s="72" t="n"/>
      <c r="D1969" s="72" t="n"/>
      <c r="E1969" s="72" t="n"/>
      <c r="F1969" s="72" t="n"/>
      <c r="G1969" s="72" t="n"/>
      <c r="H1969" s="72" t="n"/>
      <c r="I1969" s="72" t="n"/>
      <c r="J1969" s="72" t="n"/>
      <c r="K1969" s="72" t="n"/>
      <c r="L1969" s="72" t="n"/>
      <c r="M1969" s="72" t="n"/>
      <c r="N1969" s="72" t="n"/>
      <c r="O1969" s="72" t="n"/>
      <c r="P1969" s="72" t="n"/>
      <c r="Q1969" s="72" t="n"/>
      <c r="R1969" s="72" t="n"/>
      <c r="S1969" s="72" t="n"/>
    </row>
    <row r="1970">
      <c r="B1970" s="72" t="n"/>
      <c r="C1970" s="72" t="n"/>
      <c r="D1970" s="72" t="n"/>
      <c r="E1970" s="72" t="n"/>
      <c r="F1970" s="72" t="n"/>
      <c r="G1970" s="72" t="n"/>
      <c r="H1970" s="72" t="n"/>
      <c r="I1970" s="72" t="n"/>
      <c r="J1970" s="72" t="n"/>
      <c r="K1970" s="72" t="n"/>
      <c r="L1970" s="72" t="n"/>
      <c r="M1970" s="72" t="n"/>
      <c r="N1970" s="72" t="n"/>
      <c r="O1970" s="72" t="n"/>
      <c r="P1970" s="72" t="n"/>
      <c r="Q1970" s="72" t="n"/>
      <c r="R1970" s="72" t="n"/>
      <c r="S1970" s="72" t="n"/>
    </row>
    <row r="1971">
      <c r="B1971" s="72" t="n"/>
      <c r="C1971" s="72" t="n"/>
      <c r="D1971" s="72" t="n"/>
      <c r="E1971" s="72" t="n"/>
      <c r="F1971" s="72" t="n"/>
      <c r="G1971" s="72" t="n"/>
      <c r="H1971" s="72" t="n"/>
      <c r="I1971" s="72" t="n"/>
      <c r="J1971" s="72" t="n"/>
      <c r="K1971" s="72" t="n"/>
      <c r="L1971" s="72" t="n"/>
      <c r="M1971" s="72" t="n"/>
      <c r="N1971" s="72" t="n"/>
      <c r="O1971" s="72" t="n"/>
      <c r="P1971" s="72" t="n"/>
      <c r="Q1971" s="72" t="n"/>
      <c r="R1971" s="72" t="n"/>
      <c r="S1971" s="72" t="n"/>
    </row>
    <row r="1972">
      <c r="B1972" s="72" t="n"/>
      <c r="C1972" s="72" t="n"/>
      <c r="D1972" s="72" t="n"/>
      <c r="E1972" s="72" t="n"/>
      <c r="F1972" s="72" t="n"/>
      <c r="G1972" s="72" t="n"/>
      <c r="H1972" s="72" t="n"/>
      <c r="I1972" s="72" t="n"/>
      <c r="J1972" s="72" t="n"/>
      <c r="K1972" s="72" t="n"/>
      <c r="L1972" s="72" t="n"/>
      <c r="M1972" s="72" t="n"/>
      <c r="N1972" s="72" t="n"/>
      <c r="O1972" s="72" t="n"/>
      <c r="P1972" s="72" t="n"/>
      <c r="Q1972" s="72" t="n"/>
      <c r="R1972" s="72" t="n"/>
      <c r="S1972" s="72" t="n"/>
    </row>
    <row r="1973">
      <c r="B1973" s="72" t="n"/>
      <c r="C1973" s="72" t="n"/>
      <c r="D1973" s="72" t="n"/>
      <c r="E1973" s="72" t="n"/>
      <c r="F1973" s="72" t="n"/>
      <c r="G1973" s="72" t="n"/>
      <c r="H1973" s="72" t="n"/>
      <c r="I1973" s="72" t="n"/>
      <c r="J1973" s="72" t="n"/>
      <c r="K1973" s="72" t="n"/>
      <c r="L1973" s="72" t="n"/>
      <c r="M1973" s="72" t="n"/>
      <c r="N1973" s="72" t="n"/>
      <c r="O1973" s="72" t="n"/>
      <c r="P1973" s="72" t="n"/>
      <c r="Q1973" s="72" t="n"/>
      <c r="R1973" s="72" t="n"/>
      <c r="S1973" s="72" t="n"/>
    </row>
    <row r="1974">
      <c r="B1974" s="72" t="n"/>
      <c r="C1974" s="72" t="n"/>
      <c r="D1974" s="72" t="n"/>
      <c r="E1974" s="72" t="n"/>
      <c r="F1974" s="72" t="n"/>
      <c r="G1974" s="72" t="n"/>
      <c r="H1974" s="72" t="n"/>
      <c r="I1974" s="72" t="n"/>
      <c r="J1974" s="72" t="n"/>
      <c r="K1974" s="72" t="n"/>
      <c r="L1974" s="72" t="n"/>
      <c r="M1974" s="72" t="n"/>
      <c r="N1974" s="72" t="n"/>
      <c r="O1974" s="72" t="n"/>
      <c r="P1974" s="72" t="n"/>
      <c r="Q1974" s="72" t="n"/>
      <c r="R1974" s="72" t="n"/>
      <c r="S1974" s="72" t="n"/>
    </row>
    <row r="1975">
      <c r="B1975" s="72" t="n"/>
      <c r="C1975" s="72" t="n"/>
      <c r="D1975" s="72" t="n"/>
      <c r="E1975" s="72" t="n"/>
      <c r="F1975" s="72" t="n"/>
      <c r="G1975" s="72" t="n"/>
      <c r="H1975" s="72" t="n"/>
      <c r="I1975" s="72" t="n"/>
      <c r="J1975" s="72" t="n"/>
      <c r="K1975" s="72" t="n"/>
      <c r="L1975" s="72" t="n"/>
      <c r="M1975" s="72" t="n"/>
      <c r="N1975" s="72" t="n"/>
      <c r="O1975" s="72" t="n"/>
      <c r="P1975" s="72" t="n"/>
      <c r="Q1975" s="72" t="n"/>
      <c r="R1975" s="72" t="n"/>
      <c r="S1975" s="72" t="n"/>
    </row>
    <row r="1976">
      <c r="B1976" s="72" t="n"/>
      <c r="C1976" s="72" t="n"/>
      <c r="D1976" s="72" t="n"/>
      <c r="E1976" s="72" t="n"/>
      <c r="F1976" s="72" t="n"/>
      <c r="G1976" s="72" t="n"/>
      <c r="H1976" s="72" t="n"/>
      <c r="I1976" s="72" t="n"/>
      <c r="J1976" s="72" t="n"/>
      <c r="K1976" s="72" t="n"/>
      <c r="L1976" s="72" t="n"/>
      <c r="M1976" s="72" t="n"/>
      <c r="N1976" s="72" t="n"/>
      <c r="O1976" s="72" t="n"/>
      <c r="P1976" s="72" t="n"/>
      <c r="Q1976" s="72" t="n"/>
      <c r="R1976" s="72" t="n"/>
      <c r="S1976" s="72" t="n"/>
    </row>
    <row r="1977">
      <c r="B1977" s="72" t="n"/>
      <c r="C1977" s="72" t="n"/>
      <c r="D1977" s="72" t="n"/>
      <c r="E1977" s="72" t="n"/>
      <c r="F1977" s="72" t="n"/>
      <c r="G1977" s="72" t="n"/>
      <c r="H1977" s="72" t="n"/>
      <c r="I1977" s="72" t="n"/>
      <c r="J1977" s="72" t="n"/>
      <c r="K1977" s="72" t="n"/>
      <c r="L1977" s="72" t="n"/>
      <c r="M1977" s="72" t="n"/>
      <c r="N1977" s="72" t="n"/>
      <c r="O1977" s="72" t="n"/>
      <c r="P1977" s="72" t="n"/>
      <c r="Q1977" s="72" t="n"/>
      <c r="R1977" s="72" t="n"/>
      <c r="S1977" s="72" t="n"/>
    </row>
    <row r="1978">
      <c r="B1978" s="72" t="n"/>
      <c r="C1978" s="72" t="n"/>
      <c r="D1978" s="72" t="n"/>
      <c r="E1978" s="72" t="n"/>
      <c r="F1978" s="72" t="n"/>
      <c r="G1978" s="72" t="n"/>
      <c r="H1978" s="72" t="n"/>
      <c r="I1978" s="72" t="n"/>
      <c r="J1978" s="72" t="n"/>
      <c r="K1978" s="72" t="n"/>
      <c r="L1978" s="72" t="n"/>
      <c r="M1978" s="72" t="n"/>
      <c r="N1978" s="72" t="n"/>
      <c r="O1978" s="72" t="n"/>
      <c r="P1978" s="72" t="n"/>
      <c r="Q1978" s="72" t="n"/>
      <c r="R1978" s="72" t="n"/>
      <c r="S1978" s="72" t="n"/>
    </row>
    <row r="1979">
      <c r="B1979" s="72" t="n"/>
      <c r="C1979" s="72" t="n"/>
      <c r="D1979" s="72" t="n"/>
      <c r="E1979" s="72" t="n"/>
      <c r="F1979" s="72" t="n"/>
      <c r="G1979" s="72" t="n"/>
      <c r="H1979" s="72" t="n"/>
      <c r="I1979" s="72" t="n"/>
      <c r="J1979" s="72" t="n"/>
      <c r="K1979" s="72" t="n"/>
      <c r="L1979" s="72" t="n"/>
      <c r="M1979" s="72" t="n"/>
      <c r="N1979" s="72" t="n"/>
      <c r="O1979" s="72" t="n"/>
      <c r="P1979" s="72" t="n"/>
      <c r="Q1979" s="72" t="n"/>
      <c r="R1979" s="72" t="n"/>
      <c r="S1979" s="72" t="n"/>
    </row>
    <row r="1980">
      <c r="B1980" s="72" t="n"/>
      <c r="C1980" s="72" t="n"/>
      <c r="D1980" s="72" t="n"/>
      <c r="E1980" s="72" t="n"/>
      <c r="F1980" s="72" t="n"/>
      <c r="G1980" s="72" t="n"/>
      <c r="H1980" s="72" t="n"/>
      <c r="I1980" s="72" t="n"/>
      <c r="J1980" s="72" t="n"/>
      <c r="K1980" s="72" t="n"/>
      <c r="L1980" s="72" t="n"/>
      <c r="M1980" s="72" t="n"/>
      <c r="N1980" s="72" t="n"/>
      <c r="O1980" s="72" t="n"/>
      <c r="P1980" s="72" t="n"/>
      <c r="Q1980" s="72" t="n"/>
      <c r="R1980" s="72" t="n"/>
      <c r="S1980" s="72" t="n"/>
    </row>
    <row r="1981">
      <c r="B1981" s="72" t="n"/>
      <c r="C1981" s="72" t="n"/>
      <c r="D1981" s="72" t="n"/>
      <c r="E1981" s="72" t="n"/>
      <c r="F1981" s="72" t="n"/>
      <c r="G1981" s="72" t="n"/>
      <c r="H1981" s="72" t="n"/>
      <c r="I1981" s="72" t="n"/>
      <c r="J1981" s="72" t="n"/>
      <c r="K1981" s="72" t="n"/>
      <c r="L1981" s="72" t="n"/>
      <c r="M1981" s="72" t="n"/>
      <c r="N1981" s="72" t="n"/>
      <c r="O1981" s="72" t="n"/>
      <c r="P1981" s="72" t="n"/>
      <c r="Q1981" s="72" t="n"/>
      <c r="R1981" s="72" t="n"/>
      <c r="S1981" s="72" t="n"/>
    </row>
    <row r="1982">
      <c r="B1982" s="72" t="n"/>
      <c r="C1982" s="72" t="n"/>
      <c r="D1982" s="72" t="n"/>
      <c r="E1982" s="72" t="n"/>
      <c r="F1982" s="72" t="n"/>
      <c r="G1982" s="72" t="n"/>
      <c r="H1982" s="72" t="n"/>
      <c r="I1982" s="72" t="n"/>
      <c r="J1982" s="72" t="n"/>
      <c r="K1982" s="72" t="n"/>
      <c r="L1982" s="72" t="n"/>
      <c r="M1982" s="72" t="n"/>
      <c r="N1982" s="72" t="n"/>
      <c r="O1982" s="72" t="n"/>
      <c r="P1982" s="72" t="n"/>
      <c r="Q1982" s="72" t="n"/>
      <c r="R1982" s="72" t="n"/>
      <c r="S1982" s="72" t="n"/>
    </row>
    <row r="1983">
      <c r="B1983" s="72" t="n"/>
      <c r="C1983" s="72" t="n"/>
      <c r="D1983" s="72" t="n"/>
      <c r="E1983" s="72" t="n"/>
      <c r="F1983" s="72" t="n"/>
      <c r="G1983" s="72" t="n"/>
      <c r="H1983" s="72" t="n"/>
      <c r="I1983" s="72" t="n"/>
      <c r="J1983" s="72" t="n"/>
      <c r="K1983" s="72" t="n"/>
      <c r="L1983" s="72" t="n"/>
      <c r="M1983" s="72" t="n"/>
      <c r="N1983" s="72" t="n"/>
      <c r="O1983" s="72" t="n"/>
      <c r="P1983" s="72" t="n"/>
      <c r="Q1983" s="72" t="n"/>
      <c r="R1983" s="72" t="n"/>
      <c r="S1983" s="72" t="n"/>
    </row>
    <row r="1984">
      <c r="B1984" s="72" t="n"/>
      <c r="C1984" s="72" t="n"/>
      <c r="D1984" s="72" t="n"/>
      <c r="E1984" s="72" t="n"/>
      <c r="F1984" s="72" t="n"/>
      <c r="G1984" s="72" t="n"/>
      <c r="H1984" s="72" t="n"/>
      <c r="I1984" s="72" t="n"/>
      <c r="J1984" s="72" t="n"/>
      <c r="K1984" s="72" t="n"/>
      <c r="L1984" s="72" t="n"/>
      <c r="M1984" s="72" t="n"/>
      <c r="N1984" s="72" t="n"/>
      <c r="O1984" s="72" t="n"/>
      <c r="P1984" s="72" t="n"/>
      <c r="Q1984" s="72" t="n"/>
      <c r="R1984" s="72" t="n"/>
      <c r="S1984" s="72" t="n"/>
    </row>
    <row r="1985">
      <c r="B1985" s="72" t="n"/>
      <c r="C1985" s="72" t="n"/>
      <c r="D1985" s="72" t="n"/>
      <c r="E1985" s="72" t="n"/>
      <c r="F1985" s="72" t="n"/>
      <c r="G1985" s="72" t="n"/>
      <c r="H1985" s="72" t="n"/>
      <c r="I1985" s="72" t="n"/>
      <c r="J1985" s="72" t="n"/>
      <c r="K1985" s="72" t="n"/>
      <c r="L1985" s="72" t="n"/>
      <c r="M1985" s="72" t="n"/>
      <c r="N1985" s="72" t="n"/>
      <c r="O1985" s="72" t="n"/>
      <c r="P1985" s="72" t="n"/>
      <c r="Q1985" s="72" t="n"/>
      <c r="R1985" s="72" t="n"/>
      <c r="S1985" s="72" t="n"/>
    </row>
    <row r="1986">
      <c r="B1986" s="72" t="n"/>
      <c r="C1986" s="72" t="n"/>
      <c r="D1986" s="72" t="n"/>
      <c r="E1986" s="72" t="n"/>
      <c r="F1986" s="72" t="n"/>
      <c r="G1986" s="72" t="n"/>
      <c r="H1986" s="72" t="n"/>
      <c r="I1986" s="72" t="n"/>
      <c r="J1986" s="72" t="n"/>
      <c r="K1986" s="72" t="n"/>
      <c r="L1986" s="72" t="n"/>
      <c r="M1986" s="72" t="n"/>
      <c r="N1986" s="72" t="n"/>
      <c r="O1986" s="72" t="n"/>
      <c r="P1986" s="72" t="n"/>
      <c r="Q1986" s="72" t="n"/>
      <c r="R1986" s="72" t="n"/>
      <c r="S1986" s="72" t="n"/>
    </row>
    <row r="1987">
      <c r="B1987" s="72" t="n"/>
      <c r="C1987" s="72" t="n"/>
      <c r="D1987" s="72" t="n"/>
      <c r="E1987" s="72" t="n"/>
      <c r="F1987" s="72" t="n"/>
      <c r="G1987" s="72" t="n"/>
      <c r="H1987" s="72" t="n"/>
      <c r="I1987" s="72" t="n"/>
      <c r="J1987" s="72" t="n"/>
      <c r="K1987" s="72" t="n"/>
      <c r="L1987" s="72" t="n"/>
      <c r="M1987" s="72" t="n"/>
      <c r="N1987" s="72" t="n"/>
      <c r="O1987" s="72" t="n"/>
      <c r="P1987" s="72" t="n"/>
      <c r="Q1987" s="72" t="n"/>
      <c r="R1987" s="72" t="n"/>
      <c r="S1987" s="72" t="n"/>
    </row>
    <row r="1988">
      <c r="B1988" s="72" t="n"/>
      <c r="C1988" s="72" t="n"/>
      <c r="D1988" s="72" t="n"/>
      <c r="E1988" s="72" t="n"/>
      <c r="F1988" s="72" t="n"/>
      <c r="G1988" s="72" t="n"/>
      <c r="H1988" s="72" t="n"/>
      <c r="I1988" s="72" t="n"/>
      <c r="J1988" s="72" t="n"/>
      <c r="K1988" s="72" t="n"/>
      <c r="L1988" s="72" t="n"/>
      <c r="M1988" s="72" t="n"/>
      <c r="N1988" s="72" t="n"/>
      <c r="O1988" s="72" t="n"/>
      <c r="P1988" s="72" t="n"/>
      <c r="Q1988" s="72" t="n"/>
      <c r="R1988" s="72" t="n"/>
      <c r="S1988" s="72" t="n"/>
    </row>
    <row r="1989">
      <c r="B1989" s="72" t="n"/>
      <c r="C1989" s="72" t="n"/>
      <c r="D1989" s="72" t="n"/>
      <c r="E1989" s="72" t="n"/>
      <c r="F1989" s="72" t="n"/>
      <c r="G1989" s="72" t="n"/>
      <c r="H1989" s="72" t="n"/>
      <c r="I1989" s="72" t="n"/>
      <c r="J1989" s="72" t="n"/>
      <c r="K1989" s="72" t="n"/>
      <c r="L1989" s="72" t="n"/>
      <c r="M1989" s="72" t="n"/>
      <c r="N1989" s="72" t="n"/>
      <c r="O1989" s="72" t="n"/>
      <c r="P1989" s="72" t="n"/>
      <c r="Q1989" s="72" t="n"/>
      <c r="R1989" s="72" t="n"/>
      <c r="S1989" s="72" t="n"/>
    </row>
    <row r="1990">
      <c r="B1990" s="72" t="n"/>
      <c r="C1990" s="72" t="n"/>
      <c r="D1990" s="72" t="n"/>
      <c r="E1990" s="72" t="n"/>
      <c r="F1990" s="72" t="n"/>
      <c r="G1990" s="72" t="n"/>
      <c r="H1990" s="72" t="n"/>
      <c r="I1990" s="72" t="n"/>
      <c r="J1990" s="72" t="n"/>
      <c r="K1990" s="72" t="n"/>
      <c r="L1990" s="72" t="n"/>
      <c r="M1990" s="72" t="n"/>
      <c r="N1990" s="72" t="n"/>
      <c r="O1990" s="72" t="n"/>
      <c r="P1990" s="72" t="n"/>
      <c r="Q1990" s="72" t="n"/>
      <c r="R1990" s="72" t="n"/>
      <c r="S1990" s="72" t="n"/>
    </row>
    <row r="1991">
      <c r="B1991" s="72" t="n"/>
      <c r="C1991" s="72" t="n"/>
      <c r="D1991" s="72" t="n"/>
      <c r="E1991" s="72" t="n"/>
      <c r="F1991" s="72" t="n"/>
      <c r="G1991" s="72" t="n"/>
      <c r="H1991" s="72" t="n"/>
      <c r="I1991" s="72" t="n"/>
      <c r="J1991" s="72" t="n"/>
      <c r="K1991" s="72" t="n"/>
      <c r="L1991" s="72" t="n"/>
      <c r="M1991" s="72" t="n"/>
      <c r="N1991" s="72" t="n"/>
      <c r="O1991" s="72" t="n"/>
      <c r="P1991" s="72" t="n"/>
      <c r="Q1991" s="72" t="n"/>
      <c r="R1991" s="72" t="n"/>
      <c r="S1991" s="72" t="n"/>
    </row>
    <row r="1992">
      <c r="B1992" s="72" t="n"/>
      <c r="C1992" s="72" t="n"/>
      <c r="D1992" s="72" t="n"/>
      <c r="E1992" s="72" t="n"/>
      <c r="F1992" s="72" t="n"/>
      <c r="G1992" s="72" t="n"/>
      <c r="H1992" s="72" t="n"/>
      <c r="I1992" s="72" t="n"/>
      <c r="J1992" s="72" t="n"/>
      <c r="K1992" s="72" t="n"/>
      <c r="L1992" s="72" t="n"/>
      <c r="M1992" s="72" t="n"/>
      <c r="N1992" s="72" t="n"/>
      <c r="O1992" s="72" t="n"/>
      <c r="P1992" s="72" t="n"/>
      <c r="Q1992" s="72" t="n"/>
      <c r="R1992" s="72" t="n"/>
      <c r="S1992" s="72" t="n"/>
    </row>
    <row r="1993">
      <c r="B1993" s="72" t="n"/>
      <c r="C1993" s="72" t="n"/>
      <c r="D1993" s="72" t="n"/>
      <c r="E1993" s="72" t="n"/>
      <c r="F1993" s="72" t="n"/>
      <c r="G1993" s="72" t="n"/>
      <c r="H1993" s="72" t="n"/>
      <c r="I1993" s="72" t="n"/>
      <c r="J1993" s="72" t="n"/>
      <c r="K1993" s="72" t="n"/>
      <c r="L1993" s="72" t="n"/>
      <c r="M1993" s="72" t="n"/>
      <c r="N1993" s="72" t="n"/>
      <c r="O1993" s="72" t="n"/>
      <c r="P1993" s="72" t="n"/>
      <c r="Q1993" s="72" t="n"/>
      <c r="R1993" s="72" t="n"/>
      <c r="S1993" s="72" t="n"/>
    </row>
    <row r="1994">
      <c r="B1994" s="72" t="n"/>
      <c r="C1994" s="72" t="n"/>
      <c r="D1994" s="72" t="n"/>
      <c r="E1994" s="72" t="n"/>
      <c r="F1994" s="72" t="n"/>
      <c r="G1994" s="72" t="n"/>
      <c r="H1994" s="72" t="n"/>
      <c r="I1994" s="72" t="n"/>
      <c r="J1994" s="72" t="n"/>
      <c r="K1994" s="72" t="n"/>
      <c r="L1994" s="72" t="n"/>
      <c r="M1994" s="72" t="n"/>
      <c r="N1994" s="72" t="n"/>
      <c r="O1994" s="72" t="n"/>
      <c r="P1994" s="72" t="n"/>
      <c r="Q1994" s="72" t="n"/>
      <c r="R1994" s="72" t="n"/>
      <c r="S1994" s="72" t="n"/>
    </row>
    <row r="1995">
      <c r="B1995" s="72" t="n"/>
      <c r="C1995" s="72" t="n"/>
      <c r="D1995" s="72" t="n"/>
      <c r="E1995" s="72" t="n"/>
      <c r="F1995" s="72" t="n"/>
      <c r="G1995" s="72" t="n"/>
      <c r="H1995" s="72" t="n"/>
      <c r="I1995" s="72" t="n"/>
      <c r="J1995" s="72" t="n"/>
      <c r="K1995" s="72" t="n"/>
      <c r="L1995" s="72" t="n"/>
      <c r="M1995" s="72" t="n"/>
      <c r="N1995" s="72" t="n"/>
      <c r="O1995" s="72" t="n"/>
      <c r="P1995" s="72" t="n"/>
      <c r="Q1995" s="72" t="n"/>
      <c r="R1995" s="72" t="n"/>
      <c r="S1995" s="72" t="n"/>
    </row>
    <row r="1996">
      <c r="B1996" s="72" t="n"/>
      <c r="C1996" s="72" t="n"/>
      <c r="D1996" s="72" t="n"/>
      <c r="E1996" s="72" t="n"/>
      <c r="F1996" s="72" t="n"/>
      <c r="G1996" s="72" t="n"/>
      <c r="H1996" s="72" t="n"/>
      <c r="I1996" s="72" t="n"/>
      <c r="J1996" s="72" t="n"/>
      <c r="K1996" s="72" t="n"/>
      <c r="L1996" s="72" t="n"/>
      <c r="M1996" s="72" t="n"/>
      <c r="N1996" s="72" t="n"/>
      <c r="O1996" s="72" t="n"/>
      <c r="P1996" s="72" t="n"/>
      <c r="Q1996" s="72" t="n"/>
      <c r="R1996" s="72" t="n"/>
      <c r="S1996" s="72" t="n"/>
    </row>
    <row r="1997">
      <c r="B1997" s="72" t="n"/>
      <c r="C1997" s="72" t="n"/>
      <c r="D1997" s="72" t="n"/>
      <c r="E1997" s="72" t="n"/>
      <c r="F1997" s="72" t="n"/>
      <c r="G1997" s="72" t="n"/>
      <c r="H1997" s="72" t="n"/>
      <c r="I1997" s="72" t="n"/>
      <c r="J1997" s="72" t="n"/>
      <c r="K1997" s="72" t="n"/>
      <c r="L1997" s="72" t="n"/>
      <c r="M1997" s="72" t="n"/>
      <c r="N1997" s="72" t="n"/>
      <c r="O1997" s="72" t="n"/>
      <c r="P1997" s="72" t="n"/>
      <c r="Q1997" s="72" t="n"/>
      <c r="R1997" s="72" t="n"/>
      <c r="S1997" s="72" t="n"/>
    </row>
    <row r="1998">
      <c r="B1998" s="72" t="n"/>
      <c r="C1998" s="72" t="n"/>
      <c r="D1998" s="72" t="n"/>
      <c r="E1998" s="72" t="n"/>
      <c r="F1998" s="72" t="n"/>
      <c r="G1998" s="72" t="n"/>
      <c r="H1998" s="72" t="n"/>
      <c r="I1998" s="72" t="n"/>
      <c r="J1998" s="72" t="n"/>
      <c r="K1998" s="72" t="n"/>
      <c r="L1998" s="72" t="n"/>
      <c r="M1998" s="72" t="n"/>
      <c r="N1998" s="72" t="n"/>
      <c r="O1998" s="72" t="n"/>
      <c r="P1998" s="72" t="n"/>
      <c r="Q1998" s="72" t="n"/>
      <c r="R1998" s="72" t="n"/>
      <c r="S1998" s="72" t="n"/>
    </row>
    <row r="1999">
      <c r="B1999" s="72" t="n"/>
      <c r="C1999" s="72" t="n"/>
      <c r="D1999" s="72" t="n"/>
      <c r="E1999" s="72" t="n"/>
      <c r="F1999" s="72" t="n"/>
      <c r="G1999" s="72" t="n"/>
      <c r="H1999" s="72" t="n"/>
      <c r="I1999" s="72" t="n"/>
      <c r="J1999" s="72" t="n"/>
      <c r="K1999" s="72" t="n"/>
      <c r="L1999" s="72" t="n"/>
      <c r="M1999" s="72" t="n"/>
      <c r="N1999" s="72" t="n"/>
      <c r="O1999" s="72" t="n"/>
      <c r="P1999" s="72" t="n"/>
      <c r="Q1999" s="72" t="n"/>
      <c r="R1999" s="72" t="n"/>
      <c r="S1999" s="72" t="n"/>
    </row>
    <row r="2000">
      <c r="B2000" s="72" t="n"/>
      <c r="C2000" s="72" t="n"/>
      <c r="D2000" s="72" t="n"/>
      <c r="E2000" s="72" t="n"/>
      <c r="F2000" s="72" t="n"/>
      <c r="G2000" s="72" t="n"/>
      <c r="H2000" s="72" t="n"/>
      <c r="I2000" s="72" t="n"/>
      <c r="J2000" s="72" t="n"/>
      <c r="K2000" s="72" t="n"/>
      <c r="L2000" s="72" t="n"/>
      <c r="M2000" s="72" t="n"/>
      <c r="N2000" s="72" t="n"/>
      <c r="O2000" s="72" t="n"/>
      <c r="P2000" s="72" t="n"/>
      <c r="Q2000" s="72" t="n"/>
      <c r="R2000" s="72" t="n"/>
      <c r="S2000" s="72" t="n"/>
    </row>
    <row r="2001">
      <c r="B2001" s="72" t="n"/>
      <c r="C2001" s="72" t="n"/>
      <c r="D2001" s="72" t="n"/>
      <c r="E2001" s="72" t="n"/>
      <c r="F2001" s="72" t="n"/>
      <c r="G2001" s="72" t="n"/>
      <c r="H2001" s="72" t="n"/>
      <c r="I2001" s="72" t="n"/>
      <c r="J2001" s="72" t="n"/>
      <c r="K2001" s="72" t="n"/>
      <c r="L2001" s="72" t="n"/>
      <c r="M2001" s="72" t="n"/>
      <c r="N2001" s="72" t="n"/>
      <c r="O2001" s="72" t="n"/>
      <c r="P2001" s="72" t="n"/>
      <c r="Q2001" s="72" t="n"/>
      <c r="R2001" s="72" t="n"/>
      <c r="S2001" s="72" t="n"/>
    </row>
    <row r="2002">
      <c r="B2002" s="72" t="n"/>
      <c r="C2002" s="72" t="n"/>
      <c r="D2002" s="72" t="n"/>
      <c r="E2002" s="72" t="n"/>
      <c r="F2002" s="72" t="n"/>
      <c r="G2002" s="72" t="n"/>
      <c r="H2002" s="72" t="n"/>
      <c r="I2002" s="72" t="n"/>
      <c r="J2002" s="72" t="n"/>
      <c r="K2002" s="72" t="n"/>
      <c r="L2002" s="72" t="n"/>
      <c r="M2002" s="72" t="n"/>
      <c r="N2002" s="72" t="n"/>
      <c r="O2002" s="72" t="n"/>
      <c r="P2002" s="72" t="n"/>
      <c r="Q2002" s="72" t="n"/>
      <c r="R2002" s="72" t="n"/>
      <c r="S2002" s="72" t="n"/>
    </row>
    <row r="2003">
      <c r="B2003" s="72" t="n"/>
      <c r="C2003" s="72" t="n"/>
      <c r="D2003" s="72" t="n"/>
      <c r="E2003" s="72" t="n"/>
      <c r="F2003" s="72" t="n"/>
      <c r="G2003" s="72" t="n"/>
      <c r="H2003" s="72" t="n"/>
      <c r="I2003" s="72" t="n"/>
      <c r="J2003" s="72" t="n"/>
      <c r="K2003" s="72" t="n"/>
      <c r="L2003" s="72" t="n"/>
      <c r="M2003" s="72" t="n"/>
      <c r="N2003" s="72" t="n"/>
      <c r="O2003" s="72" t="n"/>
      <c r="P2003" s="72" t="n"/>
      <c r="Q2003" s="72" t="n"/>
      <c r="R2003" s="72" t="n"/>
      <c r="S2003" s="72" t="n"/>
    </row>
    <row r="2004">
      <c r="B2004" s="72" t="n"/>
      <c r="C2004" s="72" t="n"/>
      <c r="D2004" s="72" t="n"/>
      <c r="E2004" s="72" t="n"/>
      <c r="F2004" s="72" t="n"/>
      <c r="G2004" s="72" t="n"/>
      <c r="H2004" s="72" t="n"/>
      <c r="I2004" s="72" t="n"/>
      <c r="J2004" s="72" t="n"/>
      <c r="K2004" s="72" t="n"/>
      <c r="L2004" s="72" t="n"/>
      <c r="M2004" s="72" t="n"/>
      <c r="N2004" s="72" t="n"/>
      <c r="O2004" s="72" t="n"/>
      <c r="P2004" s="72" t="n"/>
      <c r="Q2004" s="72" t="n"/>
      <c r="R2004" s="72" t="n"/>
      <c r="S2004" s="72" t="n"/>
    </row>
    <row r="2005">
      <c r="B2005" s="72" t="n"/>
      <c r="C2005" s="72" t="n"/>
      <c r="D2005" s="72" t="n"/>
      <c r="E2005" s="72" t="n"/>
      <c r="F2005" s="72" t="n"/>
      <c r="G2005" s="72" t="n"/>
      <c r="H2005" s="72" t="n"/>
      <c r="I2005" s="72" t="n"/>
      <c r="J2005" s="72" t="n"/>
      <c r="K2005" s="72" t="n"/>
      <c r="L2005" s="72" t="n"/>
      <c r="M2005" s="72" t="n"/>
      <c r="N2005" s="72" t="n"/>
      <c r="O2005" s="72" t="n"/>
      <c r="P2005" s="72" t="n"/>
      <c r="Q2005" s="72" t="n"/>
      <c r="R2005" s="72" t="n"/>
      <c r="S2005" s="72" t="n"/>
    </row>
    <row r="2006">
      <c r="B2006" s="72" t="n"/>
      <c r="C2006" s="72" t="n"/>
      <c r="D2006" s="72" t="n"/>
      <c r="E2006" s="72" t="n"/>
      <c r="F2006" s="72" t="n"/>
      <c r="G2006" s="72" t="n"/>
      <c r="H2006" s="72" t="n"/>
      <c r="I2006" s="72" t="n"/>
      <c r="J2006" s="72" t="n"/>
      <c r="K2006" s="72" t="n"/>
      <c r="L2006" s="72" t="n"/>
      <c r="M2006" s="72" t="n"/>
      <c r="N2006" s="72" t="n"/>
      <c r="O2006" s="72" t="n"/>
      <c r="P2006" s="72" t="n"/>
      <c r="Q2006" s="72" t="n"/>
      <c r="R2006" s="72" t="n"/>
      <c r="S2006" s="72" t="n"/>
    </row>
    <row r="2007">
      <c r="B2007" s="72" t="n"/>
      <c r="C2007" s="72" t="n"/>
      <c r="D2007" s="72" t="n"/>
      <c r="E2007" s="72" t="n"/>
      <c r="F2007" s="72" t="n"/>
      <c r="G2007" s="72" t="n"/>
      <c r="H2007" s="72" t="n"/>
      <c r="I2007" s="72" t="n"/>
      <c r="J2007" s="72" t="n"/>
      <c r="K2007" s="72" t="n"/>
      <c r="L2007" s="72" t="n"/>
      <c r="M2007" s="72" t="n"/>
      <c r="N2007" s="72" t="n"/>
      <c r="O2007" s="72" t="n"/>
      <c r="P2007" s="72" t="n"/>
      <c r="Q2007" s="72" t="n"/>
      <c r="R2007" s="72" t="n"/>
      <c r="S2007" s="72" t="n"/>
    </row>
    <row r="2008">
      <c r="B2008" s="72" t="n"/>
      <c r="C2008" s="72" t="n"/>
      <c r="D2008" s="72" t="n"/>
      <c r="E2008" s="72" t="n"/>
      <c r="F2008" s="72" t="n"/>
      <c r="G2008" s="72" t="n"/>
      <c r="H2008" s="72" t="n"/>
      <c r="I2008" s="72" t="n"/>
      <c r="J2008" s="72" t="n"/>
      <c r="K2008" s="72" t="n"/>
      <c r="L2008" s="72" t="n"/>
      <c r="M2008" s="72" t="n"/>
      <c r="N2008" s="72" t="n"/>
      <c r="O2008" s="72" t="n"/>
      <c r="P2008" s="72" t="n"/>
      <c r="Q2008" s="72" t="n"/>
      <c r="R2008" s="72" t="n"/>
      <c r="S2008" s="72" t="n"/>
    </row>
    <row r="2009">
      <c r="B2009" s="72" t="n"/>
      <c r="C2009" s="72" t="n"/>
      <c r="D2009" s="72" t="n"/>
      <c r="E2009" s="72" t="n"/>
      <c r="F2009" s="72" t="n"/>
      <c r="G2009" s="72" t="n"/>
      <c r="H2009" s="72" t="n"/>
      <c r="I2009" s="72" t="n"/>
      <c r="J2009" s="72" t="n"/>
      <c r="K2009" s="72" t="n"/>
      <c r="L2009" s="72" t="n"/>
      <c r="M2009" s="72" t="n"/>
      <c r="N2009" s="72" t="n"/>
      <c r="O2009" s="72" t="n"/>
      <c r="P2009" s="72" t="n"/>
      <c r="Q2009" s="72" t="n"/>
      <c r="R2009" s="72" t="n"/>
      <c r="S2009" s="72" t="n"/>
    </row>
    <row r="2010">
      <c r="B2010" s="72" t="n"/>
      <c r="C2010" s="72" t="n"/>
      <c r="D2010" s="72" t="n"/>
      <c r="E2010" s="72" t="n"/>
      <c r="F2010" s="72" t="n"/>
      <c r="G2010" s="72" t="n"/>
      <c r="H2010" s="72" t="n"/>
      <c r="I2010" s="72" t="n"/>
      <c r="J2010" s="72" t="n"/>
      <c r="K2010" s="72" t="n"/>
      <c r="L2010" s="72" t="n"/>
      <c r="M2010" s="72" t="n"/>
      <c r="N2010" s="72" t="n"/>
      <c r="O2010" s="72" t="n"/>
      <c r="P2010" s="72" t="n"/>
      <c r="Q2010" s="72" t="n"/>
      <c r="R2010" s="72" t="n"/>
      <c r="S2010" s="72" t="n"/>
    </row>
    <row r="2011">
      <c r="B2011" s="72" t="n"/>
      <c r="C2011" s="72" t="n"/>
      <c r="D2011" s="72" t="n"/>
      <c r="E2011" s="72" t="n"/>
      <c r="F2011" s="72" t="n"/>
      <c r="G2011" s="72" t="n"/>
      <c r="H2011" s="72" t="n"/>
      <c r="I2011" s="72" t="n"/>
      <c r="J2011" s="72" t="n"/>
      <c r="K2011" s="72" t="n"/>
      <c r="L2011" s="72" t="n"/>
      <c r="M2011" s="72" t="n"/>
      <c r="N2011" s="72" t="n"/>
      <c r="O2011" s="72" t="n"/>
      <c r="P2011" s="72" t="n"/>
      <c r="Q2011" s="72" t="n"/>
      <c r="R2011" s="72" t="n"/>
      <c r="S2011" s="72" t="n"/>
    </row>
    <row r="2012">
      <c r="B2012" s="72" t="n"/>
      <c r="C2012" s="72" t="n"/>
      <c r="D2012" s="72" t="n"/>
      <c r="E2012" s="72" t="n"/>
      <c r="F2012" s="72" t="n"/>
      <c r="G2012" s="72" t="n"/>
      <c r="H2012" s="72" t="n"/>
      <c r="I2012" s="72" t="n"/>
      <c r="J2012" s="72" t="n"/>
      <c r="K2012" s="72" t="n"/>
      <c r="L2012" s="72" t="n"/>
      <c r="M2012" s="72" t="n"/>
      <c r="N2012" s="72" t="n"/>
      <c r="O2012" s="72" t="n"/>
      <c r="P2012" s="72" t="n"/>
      <c r="Q2012" s="72" t="n"/>
      <c r="R2012" s="72" t="n"/>
      <c r="S2012" s="72" t="n"/>
    </row>
    <row r="2013">
      <c r="B2013" s="72" t="n"/>
      <c r="C2013" s="72" t="n"/>
      <c r="D2013" s="72" t="n"/>
      <c r="E2013" s="72" t="n"/>
      <c r="F2013" s="72" t="n"/>
      <c r="G2013" s="72" t="n"/>
      <c r="H2013" s="72" t="n"/>
      <c r="I2013" s="72" t="n"/>
      <c r="J2013" s="72" t="n"/>
      <c r="K2013" s="72" t="n"/>
      <c r="L2013" s="72" t="n"/>
      <c r="M2013" s="72" t="n"/>
      <c r="N2013" s="72" t="n"/>
      <c r="O2013" s="72" t="n"/>
      <c r="P2013" s="72" t="n"/>
      <c r="Q2013" s="72" t="n"/>
      <c r="R2013" s="72" t="n"/>
      <c r="S2013" s="72" t="n"/>
    </row>
    <row r="2014">
      <c r="B2014" s="72" t="n"/>
      <c r="C2014" s="72" t="n"/>
      <c r="D2014" s="72" t="n"/>
      <c r="E2014" s="72" t="n"/>
      <c r="F2014" s="72" t="n"/>
      <c r="G2014" s="72" t="n"/>
      <c r="H2014" s="72" t="n"/>
      <c r="I2014" s="72" t="n"/>
      <c r="J2014" s="72" t="n"/>
      <c r="K2014" s="72" t="n"/>
      <c r="L2014" s="72" t="n"/>
      <c r="M2014" s="72" t="n"/>
      <c r="N2014" s="72" t="n"/>
      <c r="O2014" s="72" t="n"/>
      <c r="P2014" s="72" t="n"/>
      <c r="Q2014" s="72" t="n"/>
      <c r="R2014" s="72" t="n"/>
      <c r="S2014" s="72" t="n"/>
    </row>
    <row r="2015">
      <c r="B2015" s="72" t="n"/>
      <c r="C2015" s="72" t="n"/>
      <c r="D2015" s="72" t="n"/>
      <c r="E2015" s="72" t="n"/>
      <c r="F2015" s="72" t="n"/>
      <c r="G2015" s="72" t="n"/>
      <c r="H2015" s="72" t="n"/>
      <c r="I2015" s="72" t="n"/>
      <c r="J2015" s="72" t="n"/>
      <c r="K2015" s="72" t="n"/>
      <c r="L2015" s="72" t="n"/>
      <c r="M2015" s="72" t="n"/>
      <c r="N2015" s="72" t="n"/>
      <c r="O2015" s="72" t="n"/>
      <c r="P2015" s="72" t="n"/>
      <c r="Q2015" s="72" t="n"/>
      <c r="R2015" s="72" t="n"/>
      <c r="S2015" s="72" t="n"/>
    </row>
    <row r="2016">
      <c r="B2016" s="72" t="n"/>
      <c r="C2016" s="72" t="n"/>
      <c r="D2016" s="72" t="n"/>
      <c r="E2016" s="72" t="n"/>
      <c r="F2016" s="72" t="n"/>
      <c r="G2016" s="72" t="n"/>
      <c r="H2016" s="72" t="n"/>
      <c r="I2016" s="72" t="n"/>
      <c r="J2016" s="72" t="n"/>
      <c r="K2016" s="72" t="n"/>
      <c r="L2016" s="72" t="n"/>
      <c r="M2016" s="72" t="n"/>
      <c r="N2016" s="72" t="n"/>
      <c r="O2016" s="72" t="n"/>
      <c r="P2016" s="72" t="n"/>
      <c r="Q2016" s="72" t="n"/>
      <c r="R2016" s="72" t="n"/>
      <c r="S2016" s="72" t="n"/>
    </row>
    <row r="2017">
      <c r="B2017" s="72" t="n"/>
      <c r="C2017" s="72" t="n"/>
      <c r="D2017" s="72" t="n"/>
      <c r="E2017" s="72" t="n"/>
      <c r="F2017" s="72" t="n"/>
      <c r="G2017" s="72" t="n"/>
      <c r="H2017" s="72" t="n"/>
      <c r="I2017" s="72" t="n"/>
      <c r="J2017" s="72" t="n"/>
      <c r="K2017" s="72" t="n"/>
      <c r="L2017" s="72" t="n"/>
      <c r="M2017" s="72" t="n"/>
      <c r="N2017" s="72" t="n"/>
      <c r="O2017" s="72" t="n"/>
      <c r="P2017" s="72" t="n"/>
      <c r="Q2017" s="72" t="n"/>
      <c r="R2017" s="72" t="n"/>
      <c r="S2017" s="72" t="n"/>
    </row>
    <row r="2018">
      <c r="B2018" s="72" t="n"/>
      <c r="C2018" s="72" t="n"/>
      <c r="D2018" s="72" t="n"/>
      <c r="E2018" s="72" t="n"/>
      <c r="F2018" s="72" t="n"/>
      <c r="G2018" s="72" t="n"/>
      <c r="H2018" s="72" t="n"/>
      <c r="I2018" s="72" t="n"/>
      <c r="J2018" s="72" t="n"/>
      <c r="K2018" s="72" t="n"/>
      <c r="L2018" s="72" t="n"/>
      <c r="M2018" s="72" t="n"/>
      <c r="N2018" s="72" t="n"/>
      <c r="O2018" s="72" t="n"/>
      <c r="P2018" s="72" t="n"/>
      <c r="Q2018" s="72" t="n"/>
      <c r="R2018" s="72" t="n"/>
      <c r="S2018" s="72" t="n"/>
    </row>
    <row r="2019">
      <c r="B2019" s="72" t="n"/>
      <c r="C2019" s="72" t="n"/>
      <c r="D2019" s="72" t="n"/>
      <c r="E2019" s="72" t="n"/>
      <c r="F2019" s="72" t="n"/>
      <c r="G2019" s="72" t="n"/>
      <c r="H2019" s="72" t="n"/>
      <c r="I2019" s="72" t="n"/>
      <c r="J2019" s="72" t="n"/>
      <c r="K2019" s="72" t="n"/>
      <c r="L2019" s="72" t="n"/>
      <c r="M2019" s="72" t="n"/>
      <c r="N2019" s="72" t="n"/>
      <c r="O2019" s="72" t="n"/>
      <c r="P2019" s="72" t="n"/>
      <c r="Q2019" s="72" t="n"/>
      <c r="R2019" s="72" t="n"/>
      <c r="S2019" s="72" t="n"/>
    </row>
    <row r="2020">
      <c r="B2020" s="72" t="n"/>
      <c r="C2020" s="72" t="n"/>
      <c r="D2020" s="72" t="n"/>
      <c r="E2020" s="72" t="n"/>
      <c r="F2020" s="72" t="n"/>
      <c r="G2020" s="72" t="n"/>
      <c r="H2020" s="72" t="n"/>
      <c r="I2020" s="72" t="n"/>
      <c r="J2020" s="72" t="n"/>
      <c r="K2020" s="72" t="n"/>
      <c r="L2020" s="72" t="n"/>
      <c r="M2020" s="72" t="n"/>
      <c r="N2020" s="72" t="n"/>
      <c r="O2020" s="72" t="n"/>
      <c r="P2020" s="72" t="n"/>
      <c r="Q2020" s="72" t="n"/>
      <c r="R2020" s="72" t="n"/>
      <c r="S2020" s="72" t="n"/>
    </row>
    <row r="2021">
      <c r="B2021" s="72" t="n"/>
      <c r="C2021" s="72" t="n"/>
      <c r="D2021" s="72" t="n"/>
      <c r="E2021" s="72" t="n"/>
      <c r="F2021" s="72" t="n"/>
      <c r="G2021" s="72" t="n"/>
      <c r="H2021" s="72" t="n"/>
      <c r="I2021" s="72" t="n"/>
      <c r="J2021" s="72" t="n"/>
      <c r="K2021" s="72" t="n"/>
      <c r="L2021" s="72" t="n"/>
      <c r="M2021" s="72" t="n"/>
      <c r="N2021" s="72" t="n"/>
      <c r="O2021" s="72" t="n"/>
      <c r="P2021" s="72" t="n"/>
      <c r="Q2021" s="72" t="n"/>
      <c r="R2021" s="72" t="n"/>
      <c r="S2021" s="72" t="n"/>
    </row>
    <row r="2022">
      <c r="B2022" s="72" t="n"/>
      <c r="C2022" s="72" t="n"/>
      <c r="D2022" s="72" t="n"/>
      <c r="E2022" s="72" t="n"/>
      <c r="F2022" s="72" t="n"/>
      <c r="G2022" s="72" t="n"/>
      <c r="H2022" s="72" t="n"/>
      <c r="I2022" s="72" t="n"/>
      <c r="J2022" s="72" t="n"/>
      <c r="K2022" s="72" t="n"/>
      <c r="L2022" s="72" t="n"/>
      <c r="M2022" s="72" t="n"/>
      <c r="N2022" s="72" t="n"/>
      <c r="O2022" s="72" t="n"/>
      <c r="P2022" s="72" t="n"/>
      <c r="Q2022" s="72" t="n"/>
      <c r="R2022" s="72" t="n"/>
      <c r="S2022" s="72" t="n"/>
    </row>
    <row r="2023">
      <c r="B2023" s="72" t="n"/>
      <c r="C2023" s="72" t="n"/>
      <c r="D2023" s="72" t="n"/>
      <c r="E2023" s="72" t="n"/>
      <c r="F2023" s="72" t="n"/>
      <c r="G2023" s="72" t="n"/>
      <c r="H2023" s="72" t="n"/>
      <c r="I2023" s="72" t="n"/>
      <c r="J2023" s="72" t="n"/>
      <c r="K2023" s="72" t="n"/>
      <c r="L2023" s="72" t="n"/>
      <c r="M2023" s="72" t="n"/>
      <c r="N2023" s="72" t="n"/>
      <c r="O2023" s="72" t="n"/>
      <c r="P2023" s="72" t="n"/>
      <c r="Q2023" s="72" t="n"/>
      <c r="R2023" s="72" t="n"/>
      <c r="S2023" s="72" t="n"/>
    </row>
    <row r="2024">
      <c r="B2024" s="72" t="n"/>
      <c r="C2024" s="72" t="n"/>
      <c r="D2024" s="72" t="n"/>
      <c r="E2024" s="72" t="n"/>
      <c r="F2024" s="72" t="n"/>
      <c r="G2024" s="72" t="n"/>
      <c r="H2024" s="72" t="n"/>
      <c r="I2024" s="72" t="n"/>
      <c r="J2024" s="72" t="n"/>
      <c r="K2024" s="72" t="n"/>
      <c r="L2024" s="72" t="n"/>
      <c r="M2024" s="72" t="n"/>
      <c r="N2024" s="72" t="n"/>
      <c r="O2024" s="72" t="n"/>
      <c r="P2024" s="72" t="n"/>
      <c r="Q2024" s="72" t="n"/>
      <c r="R2024" s="72" t="n"/>
      <c r="S2024" s="72" t="n"/>
    </row>
    <row r="2025">
      <c r="B2025" s="72" t="n"/>
      <c r="C2025" s="72" t="n"/>
      <c r="D2025" s="72" t="n"/>
      <c r="E2025" s="72" t="n"/>
      <c r="F2025" s="72" t="n"/>
      <c r="G2025" s="72" t="n"/>
      <c r="H2025" s="72" t="n"/>
      <c r="I2025" s="72" t="n"/>
      <c r="J2025" s="72" t="n"/>
      <c r="K2025" s="72" t="n"/>
      <c r="L2025" s="72" t="n"/>
      <c r="M2025" s="72" t="n"/>
      <c r="N2025" s="72" t="n"/>
      <c r="O2025" s="72" t="n"/>
      <c r="P2025" s="72" t="n"/>
      <c r="Q2025" s="72" t="n"/>
      <c r="R2025" s="72" t="n"/>
      <c r="S2025" s="72" t="n"/>
    </row>
    <row r="2026">
      <c r="B2026" s="72" t="n"/>
      <c r="C2026" s="72" t="n"/>
      <c r="D2026" s="72" t="n"/>
      <c r="E2026" s="72" t="n"/>
      <c r="F2026" s="72" t="n"/>
      <c r="G2026" s="72" t="n"/>
      <c r="H2026" s="72" t="n"/>
      <c r="I2026" s="72" t="n"/>
      <c r="J2026" s="72" t="n"/>
      <c r="K2026" s="72" t="n"/>
      <c r="L2026" s="72" t="n"/>
      <c r="M2026" s="72" t="n"/>
      <c r="N2026" s="72" t="n"/>
      <c r="O2026" s="72" t="n"/>
      <c r="P2026" s="72" t="n"/>
      <c r="Q2026" s="72" t="n"/>
      <c r="R2026" s="72" t="n"/>
      <c r="S2026" s="72" t="n"/>
    </row>
    <row r="2027">
      <c r="B2027" s="72" t="n"/>
      <c r="C2027" s="72" t="n"/>
      <c r="D2027" s="72" t="n"/>
      <c r="E2027" s="72" t="n"/>
      <c r="F2027" s="72" t="n"/>
      <c r="G2027" s="72" t="n"/>
      <c r="H2027" s="72" t="n"/>
      <c r="I2027" s="72" t="n"/>
      <c r="J2027" s="72" t="n"/>
      <c r="K2027" s="72" t="n"/>
      <c r="L2027" s="72" t="n"/>
      <c r="M2027" s="72" t="n"/>
      <c r="N2027" s="72" t="n"/>
      <c r="O2027" s="72" t="n"/>
      <c r="P2027" s="72" t="n"/>
      <c r="Q2027" s="72" t="n"/>
      <c r="R2027" s="72" t="n"/>
      <c r="S2027" s="72" t="n"/>
    </row>
    <row r="2028">
      <c r="B2028" s="72" t="n"/>
      <c r="C2028" s="72" t="n"/>
      <c r="D2028" s="72" t="n"/>
      <c r="E2028" s="72" t="n"/>
      <c r="F2028" s="72" t="n"/>
      <c r="G2028" s="72" t="n"/>
      <c r="H2028" s="72" t="n"/>
      <c r="I2028" s="72" t="n"/>
      <c r="J2028" s="72" t="n"/>
      <c r="K2028" s="72" t="n"/>
      <c r="L2028" s="72" t="n"/>
      <c r="M2028" s="72" t="n"/>
      <c r="N2028" s="72" t="n"/>
      <c r="O2028" s="72" t="n"/>
      <c r="P2028" s="72" t="n"/>
      <c r="Q2028" s="72" t="n"/>
      <c r="R2028" s="72" t="n"/>
      <c r="S2028" s="72" t="n"/>
    </row>
    <row r="2029">
      <c r="B2029" s="72" t="n"/>
      <c r="C2029" s="72" t="n"/>
      <c r="D2029" s="72" t="n"/>
      <c r="E2029" s="72" t="n"/>
      <c r="F2029" s="72" t="n"/>
      <c r="G2029" s="72" t="n"/>
      <c r="H2029" s="72" t="n"/>
      <c r="I2029" s="72" t="n"/>
      <c r="J2029" s="72" t="n"/>
      <c r="K2029" s="72" t="n"/>
      <c r="L2029" s="72" t="n"/>
      <c r="M2029" s="72" t="n"/>
      <c r="N2029" s="72" t="n"/>
      <c r="O2029" s="72" t="n"/>
      <c r="P2029" s="72" t="n"/>
      <c r="Q2029" s="72" t="n"/>
      <c r="R2029" s="72" t="n"/>
      <c r="S2029" s="72" t="n"/>
    </row>
    <row r="2030">
      <c r="B2030" s="72" t="n"/>
      <c r="C2030" s="72" t="n"/>
      <c r="D2030" s="72" t="n"/>
      <c r="E2030" s="72" t="n"/>
      <c r="F2030" s="72" t="n"/>
      <c r="G2030" s="72" t="n"/>
      <c r="H2030" s="72" t="n"/>
      <c r="I2030" s="72" t="n"/>
      <c r="J2030" s="72" t="n"/>
      <c r="K2030" s="72" t="n"/>
      <c r="L2030" s="72" t="n"/>
      <c r="M2030" s="72" t="n"/>
      <c r="N2030" s="72" t="n"/>
      <c r="O2030" s="72" t="n"/>
      <c r="P2030" s="72" t="n"/>
      <c r="Q2030" s="72" t="n"/>
      <c r="R2030" s="72" t="n"/>
      <c r="S2030" s="72" t="n"/>
    </row>
    <row r="2031">
      <c r="B2031" s="72" t="n"/>
      <c r="C2031" s="72" t="n"/>
      <c r="D2031" s="72" t="n"/>
      <c r="E2031" s="72" t="n"/>
      <c r="F2031" s="72" t="n"/>
      <c r="G2031" s="72" t="n"/>
      <c r="H2031" s="72" t="n"/>
      <c r="I2031" s="72" t="n"/>
      <c r="J2031" s="72" t="n"/>
      <c r="K2031" s="72" t="n"/>
      <c r="L2031" s="72" t="n"/>
      <c r="M2031" s="72" t="n"/>
      <c r="N2031" s="72" t="n"/>
      <c r="O2031" s="72" t="n"/>
      <c r="P2031" s="72" t="n"/>
      <c r="Q2031" s="72" t="n"/>
      <c r="R2031" s="72" t="n"/>
      <c r="S2031" s="72" t="n"/>
    </row>
    <row r="2032">
      <c r="B2032" s="72" t="n"/>
      <c r="C2032" s="72" t="n"/>
      <c r="D2032" s="72" t="n"/>
      <c r="E2032" s="72" t="n"/>
      <c r="F2032" s="72" t="n"/>
      <c r="G2032" s="72" t="n"/>
      <c r="H2032" s="72" t="n"/>
      <c r="I2032" s="72" t="n"/>
      <c r="J2032" s="72" t="n"/>
      <c r="K2032" s="72" t="n"/>
      <c r="L2032" s="72" t="n"/>
      <c r="M2032" s="72" t="n"/>
      <c r="N2032" s="72" t="n"/>
      <c r="O2032" s="72" t="n"/>
      <c r="P2032" s="72" t="n"/>
      <c r="Q2032" s="72" t="n"/>
      <c r="R2032" s="72" t="n"/>
      <c r="S2032" s="72" t="n"/>
    </row>
    <row r="2033">
      <c r="B2033" s="72" t="n"/>
      <c r="C2033" s="72" t="n"/>
      <c r="D2033" s="72" t="n"/>
      <c r="E2033" s="72" t="n"/>
      <c r="F2033" s="72" t="n"/>
      <c r="G2033" s="72" t="n"/>
      <c r="H2033" s="72" t="n"/>
      <c r="I2033" s="72" t="n"/>
      <c r="J2033" s="72" t="n"/>
      <c r="K2033" s="72" t="n"/>
      <c r="L2033" s="72" t="n"/>
      <c r="M2033" s="72" t="n"/>
      <c r="N2033" s="72" t="n"/>
      <c r="O2033" s="72" t="n"/>
      <c r="P2033" s="72" t="n"/>
      <c r="Q2033" s="72" t="n"/>
      <c r="R2033" s="72" t="n"/>
      <c r="S2033" s="72" t="n"/>
    </row>
    <row r="2034">
      <c r="B2034" s="72" t="n"/>
      <c r="C2034" s="72" t="n"/>
      <c r="D2034" s="72" t="n"/>
      <c r="E2034" s="72" t="n"/>
      <c r="F2034" s="72" t="n"/>
      <c r="G2034" s="72" t="n"/>
      <c r="H2034" s="72" t="n"/>
      <c r="I2034" s="72" t="n"/>
      <c r="J2034" s="72" t="n"/>
      <c r="K2034" s="72" t="n"/>
      <c r="L2034" s="72" t="n"/>
      <c r="M2034" s="72" t="n"/>
      <c r="N2034" s="72" t="n"/>
      <c r="O2034" s="72" t="n"/>
      <c r="P2034" s="72" t="n"/>
      <c r="Q2034" s="72" t="n"/>
      <c r="R2034" s="72" t="n"/>
      <c r="S2034" s="72" t="n"/>
    </row>
    <row r="2035">
      <c r="B2035" s="72" t="n"/>
      <c r="C2035" s="72" t="n"/>
      <c r="D2035" s="72" t="n"/>
      <c r="E2035" s="72" t="n"/>
      <c r="F2035" s="72" t="n"/>
      <c r="G2035" s="72" t="n"/>
      <c r="H2035" s="72" t="n"/>
      <c r="I2035" s="72" t="n"/>
      <c r="J2035" s="72" t="n"/>
      <c r="K2035" s="72" t="n"/>
      <c r="L2035" s="72" t="n"/>
      <c r="M2035" s="72" t="n"/>
      <c r="N2035" s="72" t="n"/>
      <c r="O2035" s="72" t="n"/>
      <c r="P2035" s="72" t="n"/>
      <c r="Q2035" s="72" t="n"/>
      <c r="R2035" s="72" t="n"/>
      <c r="S2035" s="72" t="n"/>
    </row>
    <row r="2036">
      <c r="B2036" s="72" t="n"/>
      <c r="C2036" s="72" t="n"/>
      <c r="D2036" s="72" t="n"/>
      <c r="E2036" s="72" t="n"/>
      <c r="F2036" s="72" t="n"/>
      <c r="G2036" s="72" t="n"/>
      <c r="H2036" s="72" t="n"/>
      <c r="I2036" s="72" t="n"/>
      <c r="J2036" s="72" t="n"/>
      <c r="K2036" s="72" t="n"/>
      <c r="L2036" s="72" t="n"/>
      <c r="M2036" s="72" t="n"/>
      <c r="N2036" s="72" t="n"/>
      <c r="O2036" s="72" t="n"/>
      <c r="P2036" s="72" t="n"/>
      <c r="Q2036" s="72" t="n"/>
      <c r="R2036" s="72" t="n"/>
      <c r="S2036" s="72" t="n"/>
    </row>
    <row r="2037">
      <c r="B2037" s="72" t="n"/>
      <c r="C2037" s="72" t="n"/>
      <c r="D2037" s="72" t="n"/>
      <c r="E2037" s="72" t="n"/>
      <c r="F2037" s="72" t="n"/>
      <c r="G2037" s="72" t="n"/>
      <c r="H2037" s="72" t="n"/>
      <c r="I2037" s="72" t="n"/>
      <c r="J2037" s="72" t="n"/>
      <c r="K2037" s="72" t="n"/>
      <c r="L2037" s="72" t="n"/>
      <c r="M2037" s="72" t="n"/>
      <c r="N2037" s="72" t="n"/>
      <c r="O2037" s="72" t="n"/>
      <c r="P2037" s="72" t="n"/>
      <c r="Q2037" s="72" t="n"/>
      <c r="R2037" s="72" t="n"/>
      <c r="S2037" s="72" t="n"/>
    </row>
    <row r="2038">
      <c r="B2038" s="72" t="n"/>
      <c r="C2038" s="72" t="n"/>
      <c r="D2038" s="72" t="n"/>
      <c r="E2038" s="72" t="n"/>
      <c r="F2038" s="72" t="n"/>
      <c r="G2038" s="72" t="n"/>
      <c r="H2038" s="72" t="n"/>
      <c r="I2038" s="72" t="n"/>
      <c r="J2038" s="72" t="n"/>
      <c r="K2038" s="72" t="n"/>
      <c r="L2038" s="72" t="n"/>
      <c r="M2038" s="72" t="n"/>
      <c r="N2038" s="72" t="n"/>
      <c r="O2038" s="72" t="n"/>
      <c r="P2038" s="72" t="n"/>
      <c r="Q2038" s="72" t="n"/>
      <c r="R2038" s="72" t="n"/>
      <c r="S2038" s="72" t="n"/>
    </row>
    <row r="2039">
      <c r="B2039" s="72" t="n"/>
      <c r="C2039" s="72" t="n"/>
      <c r="D2039" s="72" t="n"/>
      <c r="E2039" s="72" t="n"/>
      <c r="F2039" s="72" t="n"/>
      <c r="G2039" s="72" t="n"/>
      <c r="H2039" s="72" t="n"/>
      <c r="I2039" s="72" t="n"/>
      <c r="J2039" s="72" t="n"/>
      <c r="K2039" s="72" t="n"/>
      <c r="L2039" s="72" t="n"/>
      <c r="M2039" s="72" t="n"/>
      <c r="N2039" s="72" t="n"/>
      <c r="O2039" s="72" t="n"/>
      <c r="P2039" s="72" t="n"/>
      <c r="Q2039" s="72" t="n"/>
      <c r="R2039" s="72" t="n"/>
      <c r="S2039" s="72" t="n"/>
    </row>
    <row r="2040">
      <c r="B2040" s="72" t="n"/>
      <c r="C2040" s="72" t="n"/>
      <c r="D2040" s="72" t="n"/>
      <c r="E2040" s="72" t="n"/>
      <c r="F2040" s="72" t="n"/>
      <c r="G2040" s="72" t="n"/>
      <c r="H2040" s="72" t="n"/>
      <c r="I2040" s="72" t="n"/>
      <c r="J2040" s="72" t="n"/>
      <c r="K2040" s="72" t="n"/>
      <c r="L2040" s="72" t="n"/>
      <c r="M2040" s="72" t="n"/>
      <c r="N2040" s="72" t="n"/>
      <c r="O2040" s="72" t="n"/>
      <c r="P2040" s="72" t="n"/>
      <c r="Q2040" s="72" t="n"/>
      <c r="R2040" s="72" t="n"/>
      <c r="S2040" s="72" t="n"/>
    </row>
    <row r="2041">
      <c r="B2041" s="72" t="n"/>
      <c r="C2041" s="72" t="n"/>
      <c r="D2041" s="72" t="n"/>
      <c r="E2041" s="72" t="n"/>
      <c r="F2041" s="72" t="n"/>
      <c r="G2041" s="72" t="n"/>
      <c r="H2041" s="72" t="n"/>
      <c r="I2041" s="72" t="n"/>
      <c r="J2041" s="72" t="n"/>
      <c r="K2041" s="72" t="n"/>
      <c r="L2041" s="72" t="n"/>
      <c r="M2041" s="72" t="n"/>
      <c r="N2041" s="72" t="n"/>
      <c r="O2041" s="72" t="n"/>
      <c r="P2041" s="72" t="n"/>
      <c r="Q2041" s="72" t="n"/>
      <c r="R2041" s="72" t="n"/>
      <c r="S2041" s="72" t="n"/>
    </row>
    <row r="2042">
      <c r="B2042" s="72" t="n"/>
      <c r="C2042" s="72" t="n"/>
      <c r="D2042" s="72" t="n"/>
      <c r="E2042" s="72" t="n"/>
      <c r="F2042" s="72" t="n"/>
      <c r="G2042" s="72" t="n"/>
      <c r="H2042" s="72" t="n"/>
      <c r="I2042" s="72" t="n"/>
      <c r="J2042" s="72" t="n"/>
      <c r="K2042" s="72" t="n"/>
      <c r="L2042" s="72" t="n"/>
      <c r="M2042" s="72" t="n"/>
      <c r="N2042" s="72" t="n"/>
      <c r="O2042" s="72" t="n"/>
      <c r="P2042" s="72" t="n"/>
      <c r="Q2042" s="72" t="n"/>
      <c r="R2042" s="72" t="n"/>
      <c r="S2042" s="72" t="n"/>
    </row>
    <row r="2043">
      <c r="B2043" s="72" t="n"/>
      <c r="C2043" s="72" t="n"/>
      <c r="D2043" s="72" t="n"/>
      <c r="E2043" s="72" t="n"/>
      <c r="F2043" s="72" t="n"/>
      <c r="G2043" s="72" t="n"/>
      <c r="H2043" s="72" t="n"/>
      <c r="I2043" s="72" t="n"/>
      <c r="J2043" s="72" t="n"/>
      <c r="K2043" s="72" t="n"/>
      <c r="L2043" s="72" t="n"/>
      <c r="M2043" s="72" t="n"/>
      <c r="N2043" s="72" t="n"/>
      <c r="O2043" s="72" t="n"/>
      <c r="P2043" s="72" t="n"/>
      <c r="Q2043" s="72" t="n"/>
      <c r="R2043" s="72" t="n"/>
      <c r="S2043" s="72" t="n"/>
    </row>
    <row r="2044">
      <c r="B2044" s="72" t="n"/>
      <c r="C2044" s="72" t="n"/>
      <c r="D2044" s="72" t="n"/>
      <c r="E2044" s="72" t="n"/>
      <c r="F2044" s="72" t="n"/>
      <c r="G2044" s="72" t="n"/>
      <c r="H2044" s="72" t="n"/>
      <c r="I2044" s="72" t="n"/>
      <c r="J2044" s="72" t="n"/>
      <c r="K2044" s="72" t="n"/>
      <c r="L2044" s="72" t="n"/>
      <c r="M2044" s="72" t="n"/>
      <c r="N2044" s="72" t="n"/>
      <c r="O2044" s="72" t="n"/>
      <c r="P2044" s="72" t="n"/>
      <c r="Q2044" s="72" t="n"/>
      <c r="R2044" s="72" t="n"/>
      <c r="S2044" s="72" t="n"/>
    </row>
    <row r="2045">
      <c r="B2045" s="72" t="n"/>
      <c r="C2045" s="72" t="n"/>
      <c r="D2045" s="72" t="n"/>
      <c r="E2045" s="72" t="n"/>
      <c r="F2045" s="72" t="n"/>
      <c r="G2045" s="72" t="n"/>
      <c r="H2045" s="72" t="n"/>
      <c r="I2045" s="72" t="n"/>
      <c r="J2045" s="72" t="n"/>
      <c r="K2045" s="72" t="n"/>
      <c r="L2045" s="72" t="n"/>
      <c r="M2045" s="72" t="n"/>
      <c r="N2045" s="72" t="n"/>
      <c r="O2045" s="72" t="n"/>
      <c r="P2045" s="72" t="n"/>
      <c r="Q2045" s="72" t="n"/>
      <c r="R2045" s="72" t="n"/>
      <c r="S2045" s="72" t="n"/>
    </row>
    <row r="2046">
      <c r="B2046" s="72" t="n"/>
      <c r="C2046" s="72" t="n"/>
      <c r="D2046" s="72" t="n"/>
      <c r="E2046" s="72" t="n"/>
      <c r="F2046" s="72" t="n"/>
      <c r="G2046" s="72" t="n"/>
      <c r="H2046" s="72" t="n"/>
      <c r="I2046" s="72" t="n"/>
      <c r="J2046" s="72" t="n"/>
      <c r="K2046" s="72" t="n"/>
      <c r="L2046" s="72" t="n"/>
      <c r="M2046" s="72" t="n"/>
      <c r="N2046" s="72" t="n"/>
      <c r="O2046" s="72" t="n"/>
      <c r="P2046" s="72" t="n"/>
      <c r="Q2046" s="72" t="n"/>
      <c r="R2046" s="72" t="n"/>
      <c r="S2046" s="72" t="n"/>
    </row>
    <row r="2047">
      <c r="B2047" s="72" t="n"/>
      <c r="C2047" s="72" t="n"/>
      <c r="D2047" s="72" t="n"/>
      <c r="E2047" s="72" t="n"/>
      <c r="F2047" s="72" t="n"/>
      <c r="G2047" s="72" t="n"/>
      <c r="H2047" s="72" t="n"/>
      <c r="I2047" s="72" t="n"/>
      <c r="J2047" s="72" t="n"/>
      <c r="K2047" s="72" t="n"/>
      <c r="L2047" s="72" t="n"/>
      <c r="M2047" s="72" t="n"/>
      <c r="N2047" s="72" t="n"/>
      <c r="O2047" s="72" t="n"/>
      <c r="P2047" s="72" t="n"/>
      <c r="Q2047" s="72" t="n"/>
      <c r="R2047" s="72" t="n"/>
      <c r="S2047" s="72" t="n"/>
    </row>
    <row r="2048">
      <c r="B2048" s="72" t="n"/>
      <c r="C2048" s="72" t="n"/>
      <c r="D2048" s="72" t="n"/>
      <c r="E2048" s="72" t="n"/>
      <c r="F2048" s="72" t="n"/>
      <c r="G2048" s="72" t="n"/>
      <c r="H2048" s="72" t="n"/>
      <c r="I2048" s="72" t="n"/>
      <c r="J2048" s="72" t="n"/>
      <c r="K2048" s="72" t="n"/>
      <c r="L2048" s="72" t="n"/>
      <c r="M2048" s="72" t="n"/>
      <c r="N2048" s="72" t="n"/>
      <c r="O2048" s="72" t="n"/>
      <c r="P2048" s="72" t="n"/>
      <c r="Q2048" s="72" t="n"/>
      <c r="R2048" s="72" t="n"/>
      <c r="S2048" s="72" t="n"/>
    </row>
    <row r="2049">
      <c r="B2049" s="72" t="n"/>
      <c r="C2049" s="72" t="n"/>
      <c r="D2049" s="72" t="n"/>
      <c r="E2049" s="72" t="n"/>
      <c r="F2049" s="72" t="n"/>
      <c r="G2049" s="72" t="n"/>
      <c r="H2049" s="72" t="n"/>
      <c r="I2049" s="72" t="n"/>
      <c r="J2049" s="72" t="n"/>
      <c r="K2049" s="72" t="n"/>
      <c r="L2049" s="72" t="n"/>
      <c r="M2049" s="72" t="n"/>
      <c r="N2049" s="72" t="n"/>
      <c r="O2049" s="72" t="n"/>
      <c r="P2049" s="72" t="n"/>
      <c r="Q2049" s="72" t="n"/>
      <c r="R2049" s="72" t="n"/>
      <c r="S2049" s="72" t="n"/>
    </row>
    <row r="2050">
      <c r="B2050" s="72" t="n"/>
      <c r="C2050" s="72" t="n"/>
      <c r="D2050" s="72" t="n"/>
      <c r="E2050" s="72" t="n"/>
      <c r="F2050" s="72" t="n"/>
      <c r="G2050" s="72" t="n"/>
      <c r="H2050" s="72" t="n"/>
      <c r="I2050" s="72" t="n"/>
      <c r="J2050" s="72" t="n"/>
      <c r="K2050" s="72" t="n"/>
      <c r="L2050" s="72" t="n"/>
      <c r="M2050" s="72" t="n"/>
      <c r="N2050" s="72" t="n"/>
      <c r="O2050" s="72" t="n"/>
      <c r="P2050" s="72" t="n"/>
      <c r="Q2050" s="72" t="n"/>
      <c r="R2050" s="72" t="n"/>
      <c r="S2050" s="72" t="n"/>
    </row>
    <row r="2051">
      <c r="B2051" s="72" t="n"/>
      <c r="C2051" s="72" t="n"/>
      <c r="D2051" s="72" t="n"/>
      <c r="E2051" s="72" t="n"/>
      <c r="F2051" s="72" t="n"/>
      <c r="G2051" s="72" t="n"/>
      <c r="H2051" s="72" t="n"/>
      <c r="I2051" s="72" t="n"/>
      <c r="J2051" s="72" t="n"/>
      <c r="K2051" s="72" t="n"/>
      <c r="L2051" s="72" t="n"/>
      <c r="M2051" s="72" t="n"/>
      <c r="N2051" s="72" t="n"/>
      <c r="O2051" s="72" t="n"/>
      <c r="P2051" s="72" t="n"/>
      <c r="Q2051" s="72" t="n"/>
      <c r="R2051" s="72" t="n"/>
      <c r="S2051" s="72" t="n"/>
    </row>
    <row r="2052">
      <c r="B2052" s="72" t="n"/>
      <c r="C2052" s="72" t="n"/>
      <c r="D2052" s="72" t="n"/>
      <c r="E2052" s="72" t="n"/>
      <c r="F2052" s="72" t="n"/>
      <c r="G2052" s="72" t="n"/>
      <c r="H2052" s="72" t="n"/>
      <c r="I2052" s="72" t="n"/>
      <c r="J2052" s="72" t="n"/>
      <c r="K2052" s="72" t="n"/>
      <c r="L2052" s="72" t="n"/>
      <c r="M2052" s="72" t="n"/>
      <c r="N2052" s="72" t="n"/>
      <c r="O2052" s="72" t="n"/>
      <c r="P2052" s="72" t="n"/>
      <c r="Q2052" s="72" t="n"/>
      <c r="R2052" s="72" t="n"/>
      <c r="S2052" s="72" t="n"/>
    </row>
    <row r="2053">
      <c r="B2053" s="72" t="n"/>
      <c r="C2053" s="72" t="n"/>
      <c r="D2053" s="72" t="n"/>
      <c r="E2053" s="72" t="n"/>
      <c r="F2053" s="72" t="n"/>
      <c r="G2053" s="72" t="n"/>
      <c r="H2053" s="72" t="n"/>
      <c r="I2053" s="72" t="n"/>
      <c r="J2053" s="72" t="n"/>
      <c r="K2053" s="72" t="n"/>
      <c r="L2053" s="72" t="n"/>
      <c r="M2053" s="72" t="n"/>
      <c r="N2053" s="72" t="n"/>
      <c r="O2053" s="72" t="n"/>
      <c r="P2053" s="72" t="n"/>
      <c r="Q2053" s="72" t="n"/>
      <c r="R2053" s="72" t="n"/>
      <c r="S2053" s="72" t="n"/>
    </row>
    <row r="2054">
      <c r="B2054" s="72" t="n"/>
      <c r="C2054" s="72" t="n"/>
      <c r="D2054" s="72" t="n"/>
      <c r="E2054" s="72" t="n"/>
      <c r="F2054" s="72" t="n"/>
      <c r="G2054" s="72" t="n"/>
      <c r="H2054" s="72" t="n"/>
      <c r="I2054" s="72" t="n"/>
      <c r="J2054" s="72" t="n"/>
      <c r="K2054" s="72" t="n"/>
      <c r="L2054" s="72" t="n"/>
      <c r="M2054" s="72" t="n"/>
      <c r="N2054" s="72" t="n"/>
      <c r="O2054" s="72" t="n"/>
      <c r="P2054" s="72" t="n"/>
      <c r="Q2054" s="72" t="n"/>
      <c r="R2054" s="72" t="n"/>
      <c r="S2054" s="72" t="n"/>
    </row>
    <row r="2055">
      <c r="B2055" s="72" t="n"/>
      <c r="C2055" s="72" t="n"/>
      <c r="D2055" s="72" t="n"/>
      <c r="E2055" s="72" t="n"/>
      <c r="F2055" s="72" t="n"/>
      <c r="G2055" s="72" t="n"/>
      <c r="H2055" s="72" t="n"/>
      <c r="I2055" s="72" t="n"/>
      <c r="J2055" s="72" t="n"/>
      <c r="K2055" s="72" t="n"/>
      <c r="L2055" s="72" t="n"/>
      <c r="M2055" s="72" t="n"/>
      <c r="N2055" s="72" t="n"/>
      <c r="O2055" s="72" t="n"/>
      <c r="P2055" s="72" t="n"/>
      <c r="Q2055" s="72" t="n"/>
      <c r="R2055" s="72" t="n"/>
      <c r="S2055" s="72" t="n"/>
    </row>
    <row r="2056">
      <c r="B2056" s="72" t="n"/>
      <c r="C2056" s="72" t="n"/>
      <c r="D2056" s="72" t="n"/>
      <c r="E2056" s="72" t="n"/>
      <c r="F2056" s="72" t="n"/>
      <c r="G2056" s="72" t="n"/>
      <c r="H2056" s="72" t="n"/>
      <c r="I2056" s="72" t="n"/>
      <c r="J2056" s="72" t="n"/>
      <c r="K2056" s="72" t="n"/>
      <c r="L2056" s="72" t="n"/>
      <c r="M2056" s="72" t="n"/>
      <c r="N2056" s="72" t="n"/>
      <c r="O2056" s="72" t="n"/>
      <c r="P2056" s="72" t="n"/>
      <c r="Q2056" s="72" t="n"/>
      <c r="R2056" s="72" t="n"/>
      <c r="S2056" s="72" t="n"/>
    </row>
    <row r="2057">
      <c r="B2057" s="72" t="n"/>
      <c r="C2057" s="72" t="n"/>
      <c r="D2057" s="72" t="n"/>
      <c r="E2057" s="72" t="n"/>
      <c r="F2057" s="72" t="n"/>
      <c r="G2057" s="72" t="n"/>
      <c r="H2057" s="72" t="n"/>
      <c r="I2057" s="72" t="n"/>
      <c r="J2057" s="72" t="n"/>
      <c r="K2057" s="72" t="n"/>
      <c r="L2057" s="72" t="n"/>
      <c r="M2057" s="72" t="n"/>
      <c r="N2057" s="72" t="n"/>
      <c r="O2057" s="72" t="n"/>
      <c r="P2057" s="72" t="n"/>
      <c r="Q2057" s="72" t="n"/>
      <c r="R2057" s="72" t="n"/>
      <c r="S2057" s="72" t="n"/>
    </row>
    <row r="2058">
      <c r="B2058" s="72" t="n"/>
      <c r="C2058" s="72" t="n"/>
      <c r="D2058" s="72" t="n"/>
      <c r="E2058" s="72" t="n"/>
      <c r="F2058" s="72" t="n"/>
      <c r="G2058" s="72" t="n"/>
      <c r="H2058" s="72" t="n"/>
      <c r="I2058" s="72" t="n"/>
      <c r="J2058" s="72" t="n"/>
      <c r="K2058" s="72" t="n"/>
      <c r="L2058" s="72" t="n"/>
      <c r="M2058" s="72" t="n"/>
      <c r="N2058" s="72" t="n"/>
      <c r="O2058" s="72" t="n"/>
      <c r="P2058" s="72" t="n"/>
      <c r="Q2058" s="72" t="n"/>
      <c r="R2058" s="72" t="n"/>
      <c r="S2058" s="72" t="n"/>
    </row>
    <row r="2059">
      <c r="B2059" s="72" t="n"/>
      <c r="C2059" s="72" t="n"/>
      <c r="D2059" s="72" t="n"/>
      <c r="E2059" s="72" t="n"/>
      <c r="F2059" s="72" t="n"/>
      <c r="G2059" s="72" t="n"/>
      <c r="H2059" s="72" t="n"/>
      <c r="I2059" s="72" t="n"/>
      <c r="J2059" s="72" t="n"/>
      <c r="K2059" s="72" t="n"/>
      <c r="L2059" s="72" t="n"/>
      <c r="M2059" s="72" t="n"/>
      <c r="N2059" s="72" t="n"/>
      <c r="O2059" s="72" t="n"/>
      <c r="P2059" s="72" t="n"/>
      <c r="Q2059" s="72" t="n"/>
      <c r="R2059" s="72" t="n"/>
      <c r="S2059" s="72" t="n"/>
    </row>
    <row r="2060">
      <c r="B2060" s="72" t="n"/>
      <c r="C2060" s="72" t="n"/>
      <c r="D2060" s="72" t="n"/>
      <c r="E2060" s="72" t="n"/>
      <c r="F2060" s="72" t="n"/>
      <c r="G2060" s="72" t="n"/>
      <c r="H2060" s="72" t="n"/>
      <c r="I2060" s="72" t="n"/>
      <c r="J2060" s="72" t="n"/>
      <c r="K2060" s="72" t="n"/>
      <c r="L2060" s="72" t="n"/>
      <c r="M2060" s="72" t="n"/>
      <c r="N2060" s="72" t="n"/>
      <c r="O2060" s="72" t="n"/>
      <c r="P2060" s="72" t="n"/>
      <c r="Q2060" s="72" t="n"/>
      <c r="R2060" s="72" t="n"/>
      <c r="S2060" s="72" t="n"/>
    </row>
    <row r="2061">
      <c r="B2061" s="72" t="n"/>
      <c r="C2061" s="72" t="n"/>
      <c r="D2061" s="72" t="n"/>
      <c r="E2061" s="72" t="n"/>
      <c r="F2061" s="72" t="n"/>
      <c r="G2061" s="72" t="n"/>
      <c r="H2061" s="72" t="n"/>
      <c r="I2061" s="72" t="n"/>
      <c r="J2061" s="72" t="n"/>
      <c r="K2061" s="72" t="n"/>
      <c r="L2061" s="72" t="n"/>
      <c r="M2061" s="72" t="n"/>
      <c r="N2061" s="72" t="n"/>
      <c r="O2061" s="72" t="n"/>
      <c r="P2061" s="72" t="n"/>
      <c r="Q2061" s="72" t="n"/>
      <c r="R2061" s="72" t="n"/>
      <c r="S2061" s="72" t="n"/>
    </row>
    <row r="2062">
      <c r="B2062" s="72" t="n"/>
      <c r="C2062" s="72" t="n"/>
      <c r="D2062" s="72" t="n"/>
      <c r="E2062" s="72" t="n"/>
      <c r="F2062" s="72" t="n"/>
      <c r="G2062" s="72" t="n"/>
      <c r="H2062" s="72" t="n"/>
      <c r="I2062" s="72" t="n"/>
      <c r="J2062" s="72" t="n"/>
      <c r="K2062" s="72" t="n"/>
      <c r="L2062" s="72" t="n"/>
      <c r="M2062" s="72" t="n"/>
      <c r="N2062" s="72" t="n"/>
      <c r="O2062" s="72" t="n"/>
      <c r="P2062" s="72" t="n"/>
      <c r="Q2062" s="72" t="n"/>
      <c r="R2062" s="72" t="n"/>
      <c r="S2062" s="72" t="n"/>
    </row>
    <row r="2063">
      <c r="B2063" s="72" t="n"/>
      <c r="C2063" s="72" t="n"/>
      <c r="D2063" s="72" t="n"/>
      <c r="E2063" s="72" t="n"/>
      <c r="F2063" s="72" t="n"/>
      <c r="G2063" s="72" t="n"/>
      <c r="H2063" s="72" t="n"/>
      <c r="I2063" s="72" t="n"/>
      <c r="J2063" s="72" t="n"/>
      <c r="K2063" s="72" t="n"/>
      <c r="L2063" s="72" t="n"/>
      <c r="M2063" s="72" t="n"/>
      <c r="N2063" s="72" t="n"/>
      <c r="O2063" s="72" t="n"/>
      <c r="P2063" s="72" t="n"/>
      <c r="Q2063" s="72" t="n"/>
      <c r="R2063" s="72" t="n"/>
      <c r="S2063" s="72" t="n"/>
    </row>
    <row r="2064">
      <c r="B2064" s="72" t="n"/>
      <c r="C2064" s="72" t="n"/>
      <c r="D2064" s="72" t="n"/>
      <c r="E2064" s="72" t="n"/>
      <c r="F2064" s="72" t="n"/>
      <c r="G2064" s="72" t="n"/>
      <c r="H2064" s="72" t="n"/>
      <c r="I2064" s="72" t="n"/>
      <c r="J2064" s="72" t="n"/>
      <c r="K2064" s="72" t="n"/>
      <c r="L2064" s="72" t="n"/>
      <c r="M2064" s="72" t="n"/>
      <c r="N2064" s="72" t="n"/>
      <c r="O2064" s="72" t="n"/>
      <c r="P2064" s="72" t="n"/>
      <c r="Q2064" s="72" t="n"/>
      <c r="R2064" s="72" t="n"/>
      <c r="S2064" s="72" t="n"/>
    </row>
    <row r="2065">
      <c r="B2065" s="72" t="n"/>
      <c r="C2065" s="72" t="n"/>
      <c r="D2065" s="72" t="n"/>
      <c r="E2065" s="72" t="n"/>
      <c r="F2065" s="72" t="n"/>
      <c r="G2065" s="72" t="n"/>
      <c r="H2065" s="72" t="n"/>
      <c r="I2065" s="72" t="n"/>
      <c r="J2065" s="72" t="n"/>
      <c r="K2065" s="72" t="n"/>
      <c r="L2065" s="72" t="n"/>
      <c r="M2065" s="72" t="n"/>
      <c r="N2065" s="72" t="n"/>
      <c r="O2065" s="72" t="n"/>
      <c r="P2065" s="72" t="n"/>
      <c r="Q2065" s="72" t="n"/>
      <c r="R2065" s="72" t="n"/>
      <c r="S2065" s="72" t="n"/>
    </row>
    <row r="2066">
      <c r="B2066" s="72" t="n"/>
      <c r="C2066" s="72" t="n"/>
      <c r="D2066" s="72" t="n"/>
      <c r="E2066" s="72" t="n"/>
      <c r="F2066" s="72" t="n"/>
      <c r="G2066" s="72" t="n"/>
      <c r="H2066" s="72" t="n"/>
      <c r="I2066" s="72" t="n"/>
      <c r="J2066" s="72" t="n"/>
      <c r="K2066" s="72" t="n"/>
      <c r="L2066" s="72" t="n"/>
      <c r="M2066" s="72" t="n"/>
      <c r="N2066" s="72" t="n"/>
      <c r="O2066" s="72" t="n"/>
      <c r="P2066" s="72" t="n"/>
      <c r="Q2066" s="72" t="n"/>
      <c r="R2066" s="72" t="n"/>
      <c r="S2066" s="72" t="n"/>
    </row>
    <row r="2067">
      <c r="B2067" s="72" t="n"/>
      <c r="C2067" s="72" t="n"/>
      <c r="D2067" s="72" t="n"/>
      <c r="E2067" s="72" t="n"/>
      <c r="F2067" s="72" t="n"/>
      <c r="G2067" s="72" t="n"/>
      <c r="H2067" s="72" t="n"/>
      <c r="I2067" s="72" t="n"/>
      <c r="J2067" s="72" t="n"/>
      <c r="K2067" s="72" t="n"/>
      <c r="L2067" s="72" t="n"/>
      <c r="M2067" s="72" t="n"/>
      <c r="N2067" s="72" t="n"/>
      <c r="O2067" s="72" t="n"/>
      <c r="P2067" s="72" t="n"/>
      <c r="Q2067" s="72" t="n"/>
      <c r="R2067" s="72" t="n"/>
      <c r="S2067" s="72" t="n"/>
    </row>
    <row r="2068">
      <c r="B2068" s="72" t="n"/>
      <c r="C2068" s="72" t="n"/>
      <c r="D2068" s="72" t="n"/>
      <c r="E2068" s="72" t="n"/>
      <c r="F2068" s="72" t="n"/>
      <c r="G2068" s="72" t="n"/>
      <c r="H2068" s="72" t="n"/>
      <c r="I2068" s="72" t="n"/>
      <c r="J2068" s="72" t="n"/>
      <c r="K2068" s="72" t="n"/>
      <c r="L2068" s="72" t="n"/>
      <c r="M2068" s="72" t="n"/>
      <c r="N2068" s="72" t="n"/>
      <c r="O2068" s="72" t="n"/>
      <c r="P2068" s="72" t="n"/>
      <c r="Q2068" s="72" t="n"/>
      <c r="R2068" s="72" t="n"/>
      <c r="S2068" s="72" t="n"/>
    </row>
    <row r="2069">
      <c r="B2069" s="72" t="n"/>
      <c r="C2069" s="72" t="n"/>
      <c r="D2069" s="72" t="n"/>
      <c r="E2069" s="72" t="n"/>
      <c r="F2069" s="72" t="n"/>
      <c r="G2069" s="72" t="n"/>
      <c r="H2069" s="72" t="n"/>
      <c r="I2069" s="72" t="n"/>
      <c r="J2069" s="72" t="n"/>
      <c r="K2069" s="72" t="n"/>
      <c r="L2069" s="72" t="n"/>
      <c r="M2069" s="72" t="n"/>
      <c r="N2069" s="72" t="n"/>
      <c r="O2069" s="72" t="n"/>
      <c r="P2069" s="72" t="n"/>
      <c r="Q2069" s="72" t="n"/>
      <c r="R2069" s="72" t="n"/>
      <c r="S2069" s="72" t="n"/>
    </row>
    <row r="2070">
      <c r="B2070" s="72" t="n"/>
      <c r="C2070" s="72" t="n"/>
      <c r="D2070" s="72" t="n"/>
      <c r="E2070" s="72" t="n"/>
      <c r="F2070" s="72" t="n"/>
      <c r="G2070" s="72" t="n"/>
      <c r="H2070" s="72" t="n"/>
      <c r="I2070" s="72" t="n"/>
      <c r="J2070" s="72" t="n"/>
      <c r="K2070" s="72" t="n"/>
      <c r="L2070" s="72" t="n"/>
      <c r="M2070" s="72" t="n"/>
      <c r="N2070" s="72" t="n"/>
      <c r="O2070" s="72" t="n"/>
      <c r="P2070" s="72" t="n"/>
      <c r="Q2070" s="72" t="n"/>
      <c r="R2070" s="72" t="n"/>
      <c r="S2070" s="72" t="n"/>
    </row>
    <row r="2071">
      <c r="B2071" s="72" t="n"/>
      <c r="C2071" s="72" t="n"/>
      <c r="D2071" s="72" t="n"/>
      <c r="E2071" s="72" t="n"/>
      <c r="F2071" s="72" t="n"/>
      <c r="G2071" s="72" t="n"/>
      <c r="H2071" s="72" t="n"/>
      <c r="I2071" s="72" t="n"/>
      <c r="J2071" s="72" t="n"/>
      <c r="K2071" s="72" t="n"/>
      <c r="L2071" s="72" t="n"/>
      <c r="M2071" s="72" t="n"/>
      <c r="N2071" s="72" t="n"/>
      <c r="O2071" s="72" t="n"/>
      <c r="P2071" s="72" t="n"/>
      <c r="Q2071" s="72" t="n"/>
      <c r="R2071" s="72" t="n"/>
      <c r="S2071" s="72" t="n"/>
    </row>
    <row r="2072">
      <c r="B2072" s="72" t="n"/>
      <c r="C2072" s="72" t="n"/>
      <c r="D2072" s="72" t="n"/>
      <c r="E2072" s="72" t="n"/>
      <c r="F2072" s="72" t="n"/>
      <c r="G2072" s="72" t="n"/>
      <c r="H2072" s="72" t="n"/>
      <c r="I2072" s="72" t="n"/>
      <c r="J2072" s="72" t="n"/>
      <c r="K2072" s="72" t="n"/>
      <c r="L2072" s="72" t="n"/>
      <c r="M2072" s="72" t="n"/>
      <c r="N2072" s="72" t="n"/>
      <c r="O2072" s="72" t="n"/>
      <c r="P2072" s="72" t="n"/>
      <c r="Q2072" s="72" t="n"/>
      <c r="R2072" s="72" t="n"/>
      <c r="S2072" s="72" t="n"/>
    </row>
    <row r="2073">
      <c r="B2073" s="72" t="n"/>
      <c r="C2073" s="72" t="n"/>
      <c r="D2073" s="72" t="n"/>
      <c r="E2073" s="72" t="n"/>
      <c r="F2073" s="72" t="n"/>
      <c r="G2073" s="72" t="n"/>
      <c r="H2073" s="72" t="n"/>
      <c r="I2073" s="72" t="n"/>
      <c r="J2073" s="72" t="n"/>
      <c r="K2073" s="72" t="n"/>
      <c r="L2073" s="72" t="n"/>
      <c r="M2073" s="72" t="n"/>
      <c r="N2073" s="72" t="n"/>
      <c r="O2073" s="72" t="n"/>
      <c r="P2073" s="72" t="n"/>
      <c r="Q2073" s="72" t="n"/>
      <c r="R2073" s="72" t="n"/>
      <c r="S2073" s="72" t="n"/>
    </row>
    <row r="2074">
      <c r="B2074" s="72" t="n"/>
      <c r="C2074" s="72" t="n"/>
      <c r="D2074" s="72" t="n"/>
      <c r="E2074" s="72" t="n"/>
      <c r="F2074" s="72" t="n"/>
      <c r="G2074" s="72" t="n"/>
      <c r="H2074" s="72" t="n"/>
      <c r="I2074" s="72" t="n"/>
      <c r="J2074" s="72" t="n"/>
      <c r="K2074" s="72" t="n"/>
      <c r="L2074" s="72" t="n"/>
      <c r="M2074" s="72" t="n"/>
      <c r="N2074" s="72" t="n"/>
      <c r="O2074" s="72" t="n"/>
      <c r="P2074" s="72" t="n"/>
      <c r="Q2074" s="72" t="n"/>
      <c r="R2074" s="72" t="n"/>
      <c r="S2074" s="72" t="n"/>
    </row>
    <row r="2075">
      <c r="B2075" s="72" t="n"/>
      <c r="C2075" s="72" t="n"/>
      <c r="D2075" s="72" t="n"/>
      <c r="E2075" s="72" t="n"/>
      <c r="F2075" s="72" t="n"/>
      <c r="G2075" s="72" t="n"/>
      <c r="H2075" s="72" t="n"/>
      <c r="I2075" s="72" t="n"/>
      <c r="J2075" s="72" t="n"/>
      <c r="K2075" s="72" t="n"/>
      <c r="L2075" s="72" t="n"/>
      <c r="M2075" s="72" t="n"/>
      <c r="N2075" s="72" t="n"/>
      <c r="O2075" s="72" t="n"/>
      <c r="P2075" s="72" t="n"/>
      <c r="Q2075" s="72" t="n"/>
      <c r="R2075" s="72" t="n"/>
      <c r="S2075" s="72" t="n"/>
    </row>
    <row r="2076">
      <c r="B2076" s="72" t="n"/>
      <c r="C2076" s="72" t="n"/>
      <c r="D2076" s="72" t="n"/>
      <c r="E2076" s="72" t="n"/>
      <c r="F2076" s="72" t="n"/>
      <c r="G2076" s="72" t="n"/>
      <c r="H2076" s="72" t="n"/>
      <c r="I2076" s="72" t="n"/>
      <c r="J2076" s="72" t="n"/>
      <c r="K2076" s="72" t="n"/>
      <c r="L2076" s="72" t="n"/>
      <c r="M2076" s="72" t="n"/>
      <c r="N2076" s="72" t="n"/>
      <c r="O2076" s="72" t="n"/>
      <c r="P2076" s="72" t="n"/>
      <c r="Q2076" s="72" t="n"/>
      <c r="R2076" s="72" t="n"/>
      <c r="S2076" s="72" t="n"/>
    </row>
    <row r="2077">
      <c r="B2077" s="72" t="n"/>
      <c r="C2077" s="72" t="n"/>
      <c r="D2077" s="72" t="n"/>
      <c r="E2077" s="72" t="n"/>
      <c r="F2077" s="72" t="n"/>
      <c r="G2077" s="72" t="n"/>
      <c r="H2077" s="72" t="n"/>
      <c r="I2077" s="72" t="n"/>
      <c r="J2077" s="72" t="n"/>
      <c r="K2077" s="72" t="n"/>
      <c r="L2077" s="72" t="n"/>
      <c r="M2077" s="72" t="n"/>
      <c r="N2077" s="72" t="n"/>
      <c r="O2077" s="72" t="n"/>
      <c r="P2077" s="72" t="n"/>
      <c r="Q2077" s="72" t="n"/>
      <c r="R2077" s="72" t="n"/>
      <c r="S2077" s="72" t="n"/>
    </row>
    <row r="2078">
      <c r="B2078" s="72" t="n"/>
      <c r="C2078" s="72" t="n"/>
      <c r="D2078" s="72" t="n"/>
      <c r="E2078" s="72" t="n"/>
      <c r="F2078" s="72" t="n"/>
      <c r="G2078" s="72" t="n"/>
      <c r="H2078" s="72" t="n"/>
      <c r="I2078" s="72" t="n"/>
      <c r="J2078" s="72" t="n"/>
      <c r="K2078" s="72" t="n"/>
      <c r="L2078" s="72" t="n"/>
      <c r="M2078" s="72" t="n"/>
      <c r="N2078" s="72" t="n"/>
      <c r="O2078" s="72" t="n"/>
      <c r="P2078" s="72" t="n"/>
      <c r="Q2078" s="72" t="n"/>
      <c r="R2078" s="72" t="n"/>
      <c r="S2078" s="72" t="n"/>
    </row>
    <row r="2079">
      <c r="B2079" s="72" t="n"/>
      <c r="C2079" s="72" t="n"/>
      <c r="D2079" s="72" t="n"/>
      <c r="E2079" s="72" t="n"/>
      <c r="F2079" s="72" t="n"/>
      <c r="G2079" s="72" t="n"/>
      <c r="H2079" s="72" t="n"/>
      <c r="I2079" s="72" t="n"/>
      <c r="J2079" s="72" t="n"/>
      <c r="K2079" s="72" t="n"/>
      <c r="L2079" s="72" t="n"/>
      <c r="M2079" s="72" t="n"/>
      <c r="N2079" s="72" t="n"/>
      <c r="O2079" s="72" t="n"/>
      <c r="P2079" s="72" t="n"/>
      <c r="Q2079" s="72" t="n"/>
      <c r="R2079" s="72" t="n"/>
      <c r="S2079" s="72" t="n"/>
    </row>
    <row r="2080">
      <c r="B2080" s="72" t="n"/>
      <c r="C2080" s="72" t="n"/>
      <c r="D2080" s="72" t="n"/>
      <c r="E2080" s="72" t="n"/>
      <c r="F2080" s="72" t="n"/>
      <c r="G2080" s="72" t="n"/>
      <c r="H2080" s="72" t="n"/>
      <c r="I2080" s="72" t="n"/>
      <c r="J2080" s="72" t="n"/>
      <c r="K2080" s="72" t="n"/>
      <c r="L2080" s="72" t="n"/>
      <c r="M2080" s="72" t="n"/>
      <c r="N2080" s="72" t="n"/>
      <c r="O2080" s="72" t="n"/>
      <c r="P2080" s="72" t="n"/>
      <c r="Q2080" s="72" t="n"/>
      <c r="R2080" s="72" t="n"/>
      <c r="S2080" s="72" t="n"/>
    </row>
    <row r="2081">
      <c r="B2081" s="72" t="n"/>
      <c r="C2081" s="72" t="n"/>
      <c r="D2081" s="72" t="n"/>
      <c r="E2081" s="72" t="n"/>
      <c r="F2081" s="72" t="n"/>
      <c r="G2081" s="72" t="n"/>
      <c r="H2081" s="72" t="n"/>
      <c r="I2081" s="72" t="n"/>
      <c r="J2081" s="72" t="n"/>
      <c r="K2081" s="72" t="n"/>
      <c r="L2081" s="72" t="n"/>
      <c r="M2081" s="72" t="n"/>
      <c r="N2081" s="72" t="n"/>
      <c r="O2081" s="72" t="n"/>
      <c r="P2081" s="72" t="n"/>
      <c r="Q2081" s="72" t="n"/>
      <c r="R2081" s="72" t="n"/>
      <c r="S2081" s="72" t="n"/>
    </row>
    <row r="2082">
      <c r="B2082" s="72" t="n"/>
      <c r="C2082" s="72" t="n"/>
      <c r="D2082" s="72" t="n"/>
      <c r="E2082" s="72" t="n"/>
      <c r="F2082" s="72" t="n"/>
      <c r="G2082" s="72" t="n"/>
      <c r="H2082" s="72" t="n"/>
      <c r="I2082" s="72" t="n"/>
      <c r="J2082" s="72" t="n"/>
      <c r="K2082" s="72" t="n"/>
      <c r="L2082" s="72" t="n"/>
      <c r="M2082" s="72" t="n"/>
      <c r="N2082" s="72" t="n"/>
      <c r="O2082" s="72" t="n"/>
      <c r="P2082" s="72" t="n"/>
      <c r="Q2082" s="72" t="n"/>
      <c r="R2082" s="72" t="n"/>
      <c r="S2082" s="72" t="n"/>
    </row>
    <row r="2083">
      <c r="B2083" s="72" t="n"/>
      <c r="C2083" s="72" t="n"/>
      <c r="D2083" s="72" t="n"/>
      <c r="E2083" s="72" t="n"/>
      <c r="F2083" s="72" t="n"/>
      <c r="G2083" s="72" t="n"/>
      <c r="H2083" s="72" t="n"/>
      <c r="I2083" s="72" t="n"/>
      <c r="J2083" s="72" t="n"/>
      <c r="K2083" s="72" t="n"/>
      <c r="L2083" s="72" t="n"/>
      <c r="M2083" s="72" t="n"/>
      <c r="N2083" s="72" t="n"/>
      <c r="O2083" s="72" t="n"/>
      <c r="P2083" s="72" t="n"/>
      <c r="Q2083" s="72" t="n"/>
      <c r="R2083" s="72" t="n"/>
      <c r="S2083" s="72" t="n"/>
    </row>
    <row r="2084">
      <c r="B2084" s="72" t="n"/>
      <c r="C2084" s="72" t="n"/>
      <c r="D2084" s="72" t="n"/>
      <c r="E2084" s="72" t="n"/>
      <c r="F2084" s="72" t="n"/>
      <c r="G2084" s="72" t="n"/>
      <c r="H2084" s="72" t="n"/>
      <c r="I2084" s="72" t="n"/>
      <c r="J2084" s="72" t="n"/>
      <c r="K2084" s="72" t="n"/>
      <c r="L2084" s="72" t="n"/>
      <c r="M2084" s="72" t="n"/>
      <c r="N2084" s="72" t="n"/>
      <c r="O2084" s="72" t="n"/>
      <c r="P2084" s="72" t="n"/>
      <c r="Q2084" s="72" t="n"/>
      <c r="R2084" s="72" t="n"/>
      <c r="S2084" s="72" t="n"/>
    </row>
    <row r="2085">
      <c r="B2085" s="72" t="n"/>
      <c r="C2085" s="72" t="n"/>
      <c r="D2085" s="72" t="n"/>
      <c r="E2085" s="72" t="n"/>
      <c r="F2085" s="72" t="n"/>
      <c r="G2085" s="72" t="n"/>
      <c r="H2085" s="72" t="n"/>
      <c r="I2085" s="72" t="n"/>
      <c r="J2085" s="72" t="n"/>
      <c r="K2085" s="72" t="n"/>
      <c r="L2085" s="72" t="n"/>
      <c r="M2085" s="72" t="n"/>
      <c r="N2085" s="72" t="n"/>
      <c r="O2085" s="72" t="n"/>
      <c r="P2085" s="72" t="n"/>
      <c r="Q2085" s="72" t="n"/>
      <c r="R2085" s="72" t="n"/>
      <c r="S2085" s="72" t="n"/>
    </row>
    <row r="2086">
      <c r="B2086" s="72" t="n"/>
      <c r="C2086" s="72" t="n"/>
      <c r="D2086" s="72" t="n"/>
      <c r="E2086" s="72" t="n"/>
      <c r="F2086" s="72" t="n"/>
      <c r="G2086" s="72" t="n"/>
      <c r="H2086" s="72" t="n"/>
      <c r="I2086" s="72" t="n"/>
      <c r="J2086" s="72" t="n"/>
      <c r="K2086" s="72" t="n"/>
      <c r="L2086" s="72" t="n"/>
      <c r="M2086" s="72" t="n"/>
      <c r="N2086" s="72" t="n"/>
      <c r="O2086" s="72" t="n"/>
      <c r="P2086" s="72" t="n"/>
      <c r="Q2086" s="72" t="n"/>
      <c r="R2086" s="72" t="n"/>
      <c r="S2086" s="72" t="n"/>
    </row>
    <row r="2087">
      <c r="B2087" s="72" t="n"/>
      <c r="C2087" s="72" t="n"/>
      <c r="D2087" s="72" t="n"/>
      <c r="E2087" s="72" t="n"/>
      <c r="F2087" s="72" t="n"/>
      <c r="G2087" s="72" t="n"/>
      <c r="H2087" s="72" t="n"/>
      <c r="I2087" s="72" t="n"/>
      <c r="J2087" s="72" t="n"/>
      <c r="K2087" s="72" t="n"/>
      <c r="L2087" s="72" t="n"/>
      <c r="M2087" s="72" t="n"/>
      <c r="N2087" s="72" t="n"/>
      <c r="O2087" s="72" t="n"/>
      <c r="P2087" s="72" t="n"/>
      <c r="Q2087" s="72" t="n"/>
      <c r="R2087" s="72" t="n"/>
      <c r="S2087" s="72" t="n"/>
    </row>
    <row r="2088">
      <c r="B2088" s="72" t="n"/>
      <c r="C2088" s="72" t="n"/>
      <c r="D2088" s="72" t="n"/>
      <c r="E2088" s="72" t="n"/>
      <c r="F2088" s="72" t="n"/>
      <c r="G2088" s="72" t="n"/>
      <c r="H2088" s="72" t="n"/>
      <c r="I2088" s="72" t="n"/>
      <c r="J2088" s="72" t="n"/>
      <c r="K2088" s="72" t="n"/>
      <c r="L2088" s="72" t="n"/>
      <c r="M2088" s="72" t="n"/>
      <c r="N2088" s="72" t="n"/>
      <c r="O2088" s="72" t="n"/>
      <c r="P2088" s="72" t="n"/>
      <c r="Q2088" s="72" t="n"/>
      <c r="R2088" s="72" t="n"/>
      <c r="S2088" s="72" t="n"/>
    </row>
    <row r="2089">
      <c r="B2089" s="72" t="n"/>
      <c r="C2089" s="72" t="n"/>
      <c r="D2089" s="72" t="n"/>
      <c r="E2089" s="72" t="n"/>
      <c r="F2089" s="72" t="n"/>
      <c r="G2089" s="72" t="n"/>
      <c r="H2089" s="72" t="n"/>
      <c r="I2089" s="72" t="n"/>
      <c r="J2089" s="72" t="n"/>
      <c r="K2089" s="72" t="n"/>
      <c r="L2089" s="72" t="n"/>
      <c r="M2089" s="72" t="n"/>
      <c r="N2089" s="72" t="n"/>
      <c r="O2089" s="72" t="n"/>
      <c r="P2089" s="72" t="n"/>
      <c r="Q2089" s="72" t="n"/>
      <c r="R2089" s="72" t="n"/>
      <c r="S2089" s="72" t="n"/>
    </row>
    <row r="2090">
      <c r="B2090" s="72" t="n"/>
      <c r="C2090" s="72" t="n"/>
      <c r="D2090" s="72" t="n"/>
      <c r="E2090" s="72" t="n"/>
      <c r="F2090" s="72" t="n"/>
      <c r="G2090" s="72" t="n"/>
      <c r="H2090" s="72" t="n"/>
      <c r="I2090" s="72" t="n"/>
      <c r="J2090" s="72" t="n"/>
      <c r="K2090" s="72" t="n"/>
      <c r="L2090" s="72" t="n"/>
      <c r="M2090" s="72" t="n"/>
      <c r="N2090" s="72" t="n"/>
      <c r="O2090" s="72" t="n"/>
      <c r="P2090" s="72" t="n"/>
      <c r="Q2090" s="72" t="n"/>
      <c r="R2090" s="72" t="n"/>
      <c r="S2090" s="72" t="n"/>
    </row>
    <row r="2091">
      <c r="B2091" s="72" t="n"/>
      <c r="C2091" s="72" t="n"/>
      <c r="D2091" s="72" t="n"/>
      <c r="E2091" s="72" t="n"/>
      <c r="F2091" s="72" t="n"/>
      <c r="G2091" s="72" t="n"/>
      <c r="H2091" s="72" t="n"/>
      <c r="I2091" s="72" t="n"/>
      <c r="J2091" s="72" t="n"/>
      <c r="K2091" s="72" t="n"/>
      <c r="L2091" s="72" t="n"/>
      <c r="M2091" s="72" t="n"/>
      <c r="N2091" s="72" t="n"/>
      <c r="O2091" s="72" t="n"/>
      <c r="P2091" s="72" t="n"/>
      <c r="Q2091" s="72" t="n"/>
      <c r="R2091" s="72" t="n"/>
      <c r="S2091" s="72" t="n"/>
    </row>
    <row r="2092">
      <c r="B2092" s="72" t="n"/>
      <c r="C2092" s="72" t="n"/>
      <c r="D2092" s="72" t="n"/>
      <c r="E2092" s="72" t="n"/>
      <c r="F2092" s="72" t="n"/>
      <c r="G2092" s="72" t="n"/>
      <c r="H2092" s="72" t="n"/>
      <c r="I2092" s="72" t="n"/>
      <c r="J2092" s="72" t="n"/>
      <c r="K2092" s="72" t="n"/>
      <c r="L2092" s="72" t="n"/>
      <c r="M2092" s="72" t="n"/>
      <c r="N2092" s="72" t="n"/>
      <c r="O2092" s="72" t="n"/>
      <c r="P2092" s="72" t="n"/>
      <c r="Q2092" s="72" t="n"/>
      <c r="R2092" s="72" t="n"/>
      <c r="S2092" s="72" t="n"/>
    </row>
    <row r="2093">
      <c r="B2093" s="72" t="n"/>
      <c r="C2093" s="72" t="n"/>
      <c r="D2093" s="72" t="n"/>
      <c r="E2093" s="72" t="n"/>
      <c r="F2093" s="72" t="n"/>
      <c r="G2093" s="72" t="n"/>
      <c r="H2093" s="72" t="n"/>
      <c r="I2093" s="72" t="n"/>
      <c r="J2093" s="72" t="n"/>
      <c r="K2093" s="72" t="n"/>
      <c r="L2093" s="72" t="n"/>
      <c r="M2093" s="72" t="n"/>
      <c r="N2093" s="72" t="n"/>
      <c r="O2093" s="72" t="n"/>
      <c r="P2093" s="72" t="n"/>
      <c r="Q2093" s="72" t="n"/>
      <c r="R2093" s="72" t="n"/>
      <c r="S2093" s="72" t="n"/>
    </row>
    <row r="2094">
      <c r="B2094" s="72" t="n"/>
      <c r="C2094" s="72" t="n"/>
      <c r="D2094" s="72" t="n"/>
      <c r="E2094" s="72" t="n"/>
      <c r="F2094" s="72" t="n"/>
      <c r="G2094" s="72" t="n"/>
      <c r="H2094" s="72" t="n"/>
      <c r="I2094" s="72" t="n"/>
      <c r="J2094" s="72" t="n"/>
      <c r="K2094" s="72" t="n"/>
      <c r="L2094" s="72" t="n"/>
      <c r="M2094" s="72" t="n"/>
      <c r="N2094" s="72" t="n"/>
      <c r="O2094" s="72" t="n"/>
      <c r="P2094" s="72" t="n"/>
      <c r="Q2094" s="72" t="n"/>
      <c r="R2094" s="72" t="n"/>
      <c r="S2094" s="72" t="n"/>
    </row>
    <row r="2095">
      <c r="B2095" s="72" t="n"/>
      <c r="C2095" s="72" t="n"/>
      <c r="D2095" s="72" t="n"/>
      <c r="E2095" s="72" t="n"/>
      <c r="F2095" s="72" t="n"/>
      <c r="G2095" s="72" t="n"/>
      <c r="H2095" s="72" t="n"/>
      <c r="I2095" s="72" t="n"/>
      <c r="J2095" s="72" t="n"/>
      <c r="K2095" s="72" t="n"/>
      <c r="L2095" s="72" t="n"/>
      <c r="M2095" s="72" t="n"/>
      <c r="N2095" s="72" t="n"/>
      <c r="O2095" s="72" t="n"/>
      <c r="P2095" s="72" t="n"/>
      <c r="Q2095" s="72" t="n"/>
      <c r="R2095" s="72" t="n"/>
      <c r="S2095" s="72" t="n"/>
    </row>
    <row r="2096">
      <c r="B2096" s="72" t="n"/>
      <c r="C2096" s="72" t="n"/>
      <c r="D2096" s="72" t="n"/>
      <c r="E2096" s="72" t="n"/>
      <c r="F2096" s="72" t="n"/>
      <c r="G2096" s="72" t="n"/>
      <c r="H2096" s="72" t="n"/>
      <c r="I2096" s="72" t="n"/>
      <c r="J2096" s="72" t="n"/>
      <c r="K2096" s="72" t="n"/>
      <c r="L2096" s="72" t="n"/>
      <c r="M2096" s="72" t="n"/>
      <c r="N2096" s="72" t="n"/>
      <c r="O2096" s="72" t="n"/>
      <c r="P2096" s="72" t="n"/>
      <c r="Q2096" s="72" t="n"/>
      <c r="R2096" s="72" t="n"/>
      <c r="S2096" s="72" t="n"/>
    </row>
    <row r="2097">
      <c r="B2097" s="72" t="n"/>
      <c r="C2097" s="72" t="n"/>
      <c r="D2097" s="72" t="n"/>
      <c r="E2097" s="72" t="n"/>
      <c r="F2097" s="72" t="n"/>
      <c r="G2097" s="72" t="n"/>
      <c r="H2097" s="72" t="n"/>
      <c r="I2097" s="72" t="n"/>
      <c r="J2097" s="72" t="n"/>
      <c r="K2097" s="72" t="n"/>
      <c r="L2097" s="72" t="n"/>
      <c r="M2097" s="72" t="n"/>
      <c r="N2097" s="72" t="n"/>
      <c r="O2097" s="72" t="n"/>
      <c r="P2097" s="72" t="n"/>
      <c r="Q2097" s="72" t="n"/>
      <c r="R2097" s="72" t="n"/>
      <c r="S2097" s="72" t="n"/>
    </row>
    <row r="2098">
      <c r="B2098" s="72" t="n"/>
      <c r="C2098" s="72" t="n"/>
      <c r="D2098" s="72" t="n"/>
      <c r="E2098" s="72" t="n"/>
      <c r="F2098" s="72" t="n"/>
      <c r="G2098" s="72" t="n"/>
      <c r="H2098" s="72" t="n"/>
      <c r="I2098" s="72" t="n"/>
      <c r="J2098" s="72" t="n"/>
      <c r="K2098" s="72" t="n"/>
      <c r="L2098" s="72" t="n"/>
      <c r="M2098" s="72" t="n"/>
      <c r="N2098" s="72" t="n"/>
      <c r="O2098" s="72" t="n"/>
      <c r="P2098" s="72" t="n"/>
      <c r="Q2098" s="72" t="n"/>
      <c r="R2098" s="72" t="n"/>
      <c r="S2098" s="72" t="n"/>
    </row>
    <row r="2099">
      <c r="B2099" s="72" t="n"/>
      <c r="C2099" s="72" t="n"/>
      <c r="D2099" s="72" t="n"/>
      <c r="E2099" s="72" t="n"/>
      <c r="F2099" s="72" t="n"/>
      <c r="G2099" s="72" t="n"/>
      <c r="H2099" s="72" t="n"/>
      <c r="I2099" s="72" t="n"/>
      <c r="J2099" s="72" t="n"/>
      <c r="K2099" s="72" t="n"/>
      <c r="L2099" s="72" t="n"/>
      <c r="M2099" s="72" t="n"/>
      <c r="N2099" s="72" t="n"/>
      <c r="O2099" s="72" t="n"/>
      <c r="P2099" s="72" t="n"/>
      <c r="Q2099" s="72" t="n"/>
      <c r="R2099" s="72" t="n"/>
      <c r="S2099" s="72" t="n"/>
    </row>
    <row r="2100">
      <c r="B2100" s="72" t="n"/>
      <c r="C2100" s="72" t="n"/>
      <c r="D2100" s="72" t="n"/>
      <c r="E2100" s="72" t="n"/>
      <c r="F2100" s="72" t="n"/>
      <c r="G2100" s="72" t="n"/>
      <c r="H2100" s="72" t="n"/>
      <c r="I2100" s="72" t="n"/>
      <c r="J2100" s="72" t="n"/>
      <c r="K2100" s="72" t="n"/>
      <c r="L2100" s="72" t="n"/>
      <c r="M2100" s="72" t="n"/>
      <c r="N2100" s="72" t="n"/>
      <c r="O2100" s="72" t="n"/>
      <c r="P2100" s="72" t="n"/>
      <c r="Q2100" s="72" t="n"/>
      <c r="R2100" s="72" t="n"/>
      <c r="S2100" s="72" t="n"/>
    </row>
    <row r="2101">
      <c r="B2101" s="72" t="n"/>
      <c r="C2101" s="72" t="n"/>
      <c r="D2101" s="72" t="n"/>
      <c r="E2101" s="72" t="n"/>
      <c r="F2101" s="72" t="n"/>
      <c r="G2101" s="72" t="n"/>
      <c r="H2101" s="72" t="n"/>
      <c r="I2101" s="72" t="n"/>
      <c r="J2101" s="72" t="n"/>
      <c r="K2101" s="72" t="n"/>
      <c r="L2101" s="72" t="n"/>
      <c r="M2101" s="72" t="n"/>
      <c r="N2101" s="72" t="n"/>
      <c r="O2101" s="72" t="n"/>
      <c r="P2101" s="72" t="n"/>
      <c r="Q2101" s="72" t="n"/>
      <c r="R2101" s="72" t="n"/>
      <c r="S2101" s="72" t="n"/>
    </row>
    <row r="2102">
      <c r="B2102" s="72" t="n"/>
      <c r="C2102" s="72" t="n"/>
      <c r="D2102" s="72" t="n"/>
      <c r="E2102" s="72" t="n"/>
      <c r="F2102" s="72" t="n"/>
      <c r="G2102" s="72" t="n"/>
      <c r="H2102" s="72" t="n"/>
      <c r="I2102" s="72" t="n"/>
      <c r="J2102" s="72" t="n"/>
      <c r="K2102" s="72" t="n"/>
      <c r="L2102" s="72" t="n"/>
      <c r="M2102" s="72" t="n"/>
      <c r="N2102" s="72" t="n"/>
      <c r="O2102" s="72" t="n"/>
      <c r="P2102" s="72" t="n"/>
      <c r="Q2102" s="72" t="n"/>
      <c r="R2102" s="72" t="n"/>
      <c r="S2102" s="72" t="n"/>
    </row>
    <row r="2103">
      <c r="B2103" s="72" t="n"/>
      <c r="C2103" s="72" t="n"/>
      <c r="D2103" s="72" t="n"/>
      <c r="E2103" s="72" t="n"/>
      <c r="F2103" s="72" t="n"/>
      <c r="G2103" s="72" t="n"/>
      <c r="H2103" s="72" t="n"/>
      <c r="I2103" s="72" t="n"/>
      <c r="J2103" s="72" t="n"/>
      <c r="K2103" s="72" t="n"/>
      <c r="L2103" s="72" t="n"/>
      <c r="M2103" s="72" t="n"/>
      <c r="N2103" s="72" t="n"/>
      <c r="O2103" s="72" t="n"/>
      <c r="P2103" s="72" t="n"/>
      <c r="Q2103" s="72" t="n"/>
      <c r="R2103" s="72" t="n"/>
      <c r="S2103" s="72" t="n"/>
    </row>
    <row r="2104">
      <c r="B2104" s="72" t="n"/>
      <c r="C2104" s="72" t="n"/>
      <c r="D2104" s="72" t="n"/>
      <c r="E2104" s="72" t="n"/>
      <c r="F2104" s="72" t="n"/>
      <c r="G2104" s="72" t="n"/>
      <c r="H2104" s="72" t="n"/>
      <c r="I2104" s="72" t="n"/>
      <c r="J2104" s="72" t="n"/>
      <c r="K2104" s="72" t="n"/>
      <c r="L2104" s="72" t="n"/>
      <c r="M2104" s="72" t="n"/>
      <c r="N2104" s="72" t="n"/>
      <c r="O2104" s="72" t="n"/>
      <c r="P2104" s="72" t="n"/>
      <c r="Q2104" s="72" t="n"/>
      <c r="R2104" s="72" t="n"/>
      <c r="S2104" s="72" t="n"/>
    </row>
    <row r="2105">
      <c r="B2105" s="72" t="n"/>
      <c r="C2105" s="72" t="n"/>
      <c r="D2105" s="72" t="n"/>
      <c r="E2105" s="72" t="n"/>
      <c r="F2105" s="72" t="n"/>
      <c r="G2105" s="72" t="n"/>
      <c r="H2105" s="72" t="n"/>
      <c r="I2105" s="72" t="n"/>
      <c r="J2105" s="72" t="n"/>
      <c r="K2105" s="72" t="n"/>
      <c r="L2105" s="72" t="n"/>
      <c r="M2105" s="72" t="n"/>
      <c r="N2105" s="72" t="n"/>
      <c r="O2105" s="72" t="n"/>
      <c r="P2105" s="72" t="n"/>
      <c r="Q2105" s="72" t="n"/>
      <c r="R2105" s="72" t="n"/>
      <c r="S2105" s="72" t="n"/>
    </row>
    <row r="2106">
      <c r="B2106" s="72" t="n"/>
      <c r="C2106" s="72" t="n"/>
      <c r="D2106" s="72" t="n"/>
      <c r="E2106" s="72" t="n"/>
      <c r="F2106" s="72" t="n"/>
      <c r="G2106" s="72" t="n"/>
      <c r="H2106" s="72" t="n"/>
      <c r="I2106" s="72" t="n"/>
      <c r="J2106" s="72" t="n"/>
      <c r="K2106" s="72" t="n"/>
      <c r="L2106" s="72" t="n"/>
      <c r="M2106" s="72" t="n"/>
      <c r="N2106" s="72" t="n"/>
      <c r="O2106" s="72" t="n"/>
      <c r="P2106" s="72" t="n"/>
      <c r="Q2106" s="72" t="n"/>
      <c r="R2106" s="72" t="n"/>
      <c r="S2106" s="72" t="n"/>
    </row>
    <row r="2107">
      <c r="B2107" s="72" t="n"/>
      <c r="C2107" s="72" t="n"/>
      <c r="D2107" s="72" t="n"/>
      <c r="E2107" s="72" t="n"/>
      <c r="F2107" s="72" t="n"/>
      <c r="G2107" s="72" t="n"/>
      <c r="H2107" s="72" t="n"/>
      <c r="I2107" s="72" t="n"/>
      <c r="J2107" s="72" t="n"/>
      <c r="K2107" s="72" t="n"/>
      <c r="L2107" s="72" t="n"/>
      <c r="M2107" s="72" t="n"/>
      <c r="N2107" s="72" t="n"/>
      <c r="O2107" s="72" t="n"/>
      <c r="P2107" s="72" t="n"/>
      <c r="Q2107" s="72" t="n"/>
      <c r="R2107" s="72" t="n"/>
      <c r="S2107" s="72" t="n"/>
    </row>
    <row r="2108">
      <c r="B2108" s="72" t="n"/>
      <c r="C2108" s="72" t="n"/>
      <c r="D2108" s="72" t="n"/>
      <c r="E2108" s="72" t="n"/>
      <c r="F2108" s="72" t="n"/>
      <c r="G2108" s="72" t="n"/>
      <c r="H2108" s="72" t="n"/>
      <c r="I2108" s="72" t="n"/>
      <c r="J2108" s="72" t="n"/>
      <c r="K2108" s="72" t="n"/>
      <c r="L2108" s="72" t="n"/>
      <c r="M2108" s="72" t="n"/>
      <c r="N2108" s="72" t="n"/>
      <c r="O2108" s="72" t="n"/>
      <c r="P2108" s="72" t="n"/>
      <c r="Q2108" s="72" t="n"/>
      <c r="R2108" s="72" t="n"/>
      <c r="S2108" s="72" t="n"/>
    </row>
    <row r="2109">
      <c r="B2109" s="72" t="n"/>
      <c r="C2109" s="72" t="n"/>
      <c r="D2109" s="72" t="n"/>
      <c r="E2109" s="72" t="n"/>
      <c r="F2109" s="72" t="n"/>
      <c r="G2109" s="72" t="n"/>
      <c r="H2109" s="72" t="n"/>
      <c r="I2109" s="72" t="n"/>
      <c r="J2109" s="72" t="n"/>
      <c r="K2109" s="72" t="n"/>
      <c r="L2109" s="72" t="n"/>
      <c r="M2109" s="72" t="n"/>
      <c r="N2109" s="72" t="n"/>
      <c r="O2109" s="72" t="n"/>
      <c r="P2109" s="72" t="n"/>
      <c r="Q2109" s="72" t="n"/>
      <c r="R2109" s="72" t="n"/>
      <c r="S2109" s="72" t="n"/>
    </row>
    <row r="2110">
      <c r="B2110" s="72" t="n"/>
      <c r="C2110" s="72" t="n"/>
      <c r="D2110" s="72" t="n"/>
      <c r="E2110" s="72" t="n"/>
      <c r="F2110" s="72" t="n"/>
      <c r="G2110" s="72" t="n"/>
      <c r="H2110" s="72" t="n"/>
      <c r="I2110" s="72" t="n"/>
      <c r="J2110" s="72" t="n"/>
      <c r="K2110" s="72" t="n"/>
      <c r="L2110" s="72" t="n"/>
      <c r="M2110" s="72" t="n"/>
      <c r="N2110" s="72" t="n"/>
      <c r="O2110" s="72" t="n"/>
      <c r="P2110" s="72" t="n"/>
      <c r="Q2110" s="72" t="n"/>
      <c r="R2110" s="72" t="n"/>
      <c r="S2110" s="72" t="n"/>
    </row>
    <row r="2111">
      <c r="B2111" s="72" t="n"/>
      <c r="C2111" s="72" t="n"/>
      <c r="D2111" s="72" t="n"/>
      <c r="E2111" s="72" t="n"/>
      <c r="F2111" s="72" t="n"/>
      <c r="G2111" s="72" t="n"/>
      <c r="H2111" s="72" t="n"/>
      <c r="I2111" s="72" t="n"/>
      <c r="J2111" s="72" t="n"/>
      <c r="K2111" s="72" t="n"/>
      <c r="L2111" s="72" t="n"/>
      <c r="M2111" s="72" t="n"/>
      <c r="N2111" s="72" t="n"/>
      <c r="O2111" s="72" t="n"/>
      <c r="P2111" s="72" t="n"/>
      <c r="Q2111" s="72" t="n"/>
      <c r="R2111" s="72" t="n"/>
      <c r="S2111" s="72" t="n"/>
    </row>
    <row r="2112">
      <c r="B2112" s="72" t="n"/>
      <c r="C2112" s="72" t="n"/>
      <c r="D2112" s="72" t="n"/>
      <c r="E2112" s="72" t="n"/>
      <c r="F2112" s="72" t="n"/>
      <c r="G2112" s="72" t="n"/>
      <c r="H2112" s="72" t="n"/>
      <c r="I2112" s="72" t="n"/>
      <c r="J2112" s="72" t="n"/>
      <c r="K2112" s="72" t="n"/>
      <c r="L2112" s="72" t="n"/>
      <c r="M2112" s="72" t="n"/>
      <c r="N2112" s="72" t="n"/>
      <c r="O2112" s="72" t="n"/>
      <c r="P2112" s="72" t="n"/>
      <c r="Q2112" s="72" t="n"/>
      <c r="R2112" s="72" t="n"/>
      <c r="S2112" s="72" t="n"/>
    </row>
    <row r="2113">
      <c r="B2113" s="72" t="n"/>
      <c r="C2113" s="72" t="n"/>
      <c r="D2113" s="72" t="n"/>
      <c r="E2113" s="72" t="n"/>
      <c r="F2113" s="72" t="n"/>
      <c r="G2113" s="72" t="n"/>
      <c r="H2113" s="72" t="n"/>
      <c r="I2113" s="72" t="n"/>
      <c r="J2113" s="72" t="n"/>
      <c r="K2113" s="72" t="n"/>
      <c r="L2113" s="72" t="n"/>
      <c r="M2113" s="72" t="n"/>
      <c r="N2113" s="72" t="n"/>
      <c r="O2113" s="72" t="n"/>
      <c r="P2113" s="72" t="n"/>
      <c r="Q2113" s="72" t="n"/>
      <c r="R2113" s="72" t="n"/>
      <c r="S2113" s="72" t="n"/>
    </row>
    <row r="2114">
      <c r="B2114" s="72" t="n"/>
      <c r="C2114" s="72" t="n"/>
      <c r="D2114" s="72" t="n"/>
      <c r="E2114" s="72" t="n"/>
      <c r="F2114" s="72" t="n"/>
      <c r="G2114" s="72" t="n"/>
      <c r="H2114" s="72" t="n"/>
      <c r="I2114" s="72" t="n"/>
      <c r="J2114" s="72" t="n"/>
      <c r="K2114" s="72" t="n"/>
      <c r="L2114" s="72" t="n"/>
      <c r="M2114" s="72" t="n"/>
      <c r="N2114" s="72" t="n"/>
      <c r="O2114" s="72" t="n"/>
      <c r="P2114" s="72" t="n"/>
      <c r="Q2114" s="72" t="n"/>
      <c r="R2114" s="72" t="n"/>
      <c r="S2114" s="72" t="n"/>
    </row>
    <row r="2115">
      <c r="B2115" s="72" t="n"/>
      <c r="C2115" s="72" t="n"/>
      <c r="D2115" s="72" t="n"/>
      <c r="E2115" s="72" t="n"/>
      <c r="F2115" s="72" t="n"/>
      <c r="G2115" s="72" t="n"/>
      <c r="H2115" s="72" t="n"/>
      <c r="I2115" s="72" t="n"/>
      <c r="J2115" s="72" t="n"/>
      <c r="K2115" s="72" t="n"/>
      <c r="L2115" s="72" t="n"/>
      <c r="M2115" s="72" t="n"/>
      <c r="N2115" s="72" t="n"/>
      <c r="O2115" s="72" t="n"/>
      <c r="P2115" s="72" t="n"/>
      <c r="Q2115" s="72" t="n"/>
      <c r="R2115" s="72" t="n"/>
      <c r="S2115" s="72" t="n"/>
    </row>
    <row r="2116">
      <c r="B2116" s="72" t="n"/>
      <c r="C2116" s="72" t="n"/>
      <c r="D2116" s="72" t="n"/>
      <c r="E2116" s="72" t="n"/>
      <c r="F2116" s="72" t="n"/>
      <c r="G2116" s="72" t="n"/>
      <c r="H2116" s="72" t="n"/>
      <c r="I2116" s="72" t="n"/>
      <c r="J2116" s="72" t="n"/>
      <c r="K2116" s="72" t="n"/>
      <c r="L2116" s="72" t="n"/>
      <c r="M2116" s="72" t="n"/>
      <c r="N2116" s="72" t="n"/>
      <c r="O2116" s="72" t="n"/>
      <c r="P2116" s="72" t="n"/>
      <c r="Q2116" s="72" t="n"/>
      <c r="R2116" s="72" t="n"/>
      <c r="S2116" s="72" t="n"/>
    </row>
    <row r="2117">
      <c r="B2117" s="72" t="n"/>
      <c r="C2117" s="72" t="n"/>
      <c r="D2117" s="72" t="n"/>
      <c r="E2117" s="72" t="n"/>
      <c r="F2117" s="72" t="n"/>
      <c r="G2117" s="72" t="n"/>
      <c r="H2117" s="72" t="n"/>
      <c r="I2117" s="72" t="n"/>
      <c r="J2117" s="72" t="n"/>
      <c r="K2117" s="72" t="n"/>
      <c r="L2117" s="72" t="n"/>
      <c r="M2117" s="72" t="n"/>
      <c r="N2117" s="72" t="n"/>
      <c r="O2117" s="72" t="n"/>
      <c r="P2117" s="72" t="n"/>
      <c r="Q2117" s="72" t="n"/>
      <c r="R2117" s="72" t="n"/>
      <c r="S2117" s="72" t="n"/>
    </row>
    <row r="2118">
      <c r="B2118" s="72" t="n"/>
      <c r="C2118" s="72" t="n"/>
      <c r="D2118" s="72" t="n"/>
      <c r="E2118" s="72" t="n"/>
      <c r="F2118" s="72" t="n"/>
      <c r="G2118" s="72" t="n"/>
      <c r="H2118" s="72" t="n"/>
      <c r="I2118" s="72" t="n"/>
      <c r="J2118" s="72" t="n"/>
      <c r="K2118" s="72" t="n"/>
      <c r="L2118" s="72" t="n"/>
      <c r="M2118" s="72" t="n"/>
      <c r="N2118" s="72" t="n"/>
      <c r="O2118" s="72" t="n"/>
      <c r="P2118" s="72" t="n"/>
      <c r="Q2118" s="72" t="n"/>
      <c r="R2118" s="72" t="n"/>
      <c r="S2118" s="72" t="n"/>
    </row>
    <row r="2119">
      <c r="B2119" s="72" t="n"/>
      <c r="C2119" s="72" t="n"/>
      <c r="D2119" s="72" t="n"/>
      <c r="E2119" s="72" t="n"/>
      <c r="F2119" s="72" t="n"/>
      <c r="G2119" s="72" t="n"/>
      <c r="H2119" s="72" t="n"/>
      <c r="I2119" s="72" t="n"/>
      <c r="J2119" s="72" t="n"/>
      <c r="K2119" s="72" t="n"/>
      <c r="L2119" s="72" t="n"/>
      <c r="M2119" s="72" t="n"/>
      <c r="N2119" s="72" t="n"/>
      <c r="O2119" s="72" t="n"/>
      <c r="P2119" s="72" t="n"/>
      <c r="Q2119" s="72" t="n"/>
      <c r="R2119" s="72" t="n"/>
      <c r="S2119" s="72" t="n"/>
    </row>
    <row r="2120">
      <c r="B2120" s="72" t="n"/>
      <c r="C2120" s="72" t="n"/>
      <c r="D2120" s="72" t="n"/>
      <c r="E2120" s="72" t="n"/>
      <c r="F2120" s="72" t="n"/>
      <c r="G2120" s="72" t="n"/>
      <c r="H2120" s="72" t="n"/>
      <c r="I2120" s="72" t="n"/>
      <c r="J2120" s="72" t="n"/>
      <c r="K2120" s="72" t="n"/>
      <c r="L2120" s="72" t="n"/>
      <c r="M2120" s="72" t="n"/>
      <c r="N2120" s="72" t="n"/>
      <c r="O2120" s="72" t="n"/>
      <c r="P2120" s="72" t="n"/>
      <c r="Q2120" s="72" t="n"/>
      <c r="R2120" s="72" t="n"/>
      <c r="S2120" s="72" t="n"/>
    </row>
    <row r="2121">
      <c r="B2121" s="72" t="n"/>
      <c r="C2121" s="72" t="n"/>
      <c r="D2121" s="72" t="n"/>
      <c r="E2121" s="72" t="n"/>
      <c r="F2121" s="72" t="n"/>
      <c r="G2121" s="72" t="n"/>
      <c r="H2121" s="72" t="n"/>
      <c r="I2121" s="72" t="n"/>
      <c r="J2121" s="72" t="n"/>
      <c r="K2121" s="72" t="n"/>
      <c r="L2121" s="72" t="n"/>
      <c r="M2121" s="72" t="n"/>
      <c r="N2121" s="72" t="n"/>
      <c r="O2121" s="72" t="n"/>
      <c r="P2121" s="72" t="n"/>
      <c r="Q2121" s="72" t="n"/>
      <c r="R2121" s="72" t="n"/>
      <c r="S2121" s="72" t="n"/>
    </row>
    <row r="2122">
      <c r="B2122" s="72" t="n"/>
      <c r="C2122" s="72" t="n"/>
      <c r="D2122" s="72" t="n"/>
      <c r="E2122" s="72" t="n"/>
      <c r="F2122" s="72" t="n"/>
      <c r="G2122" s="72" t="n"/>
      <c r="H2122" s="72" t="n"/>
      <c r="I2122" s="72" t="n"/>
      <c r="J2122" s="72" t="n"/>
      <c r="K2122" s="72" t="n"/>
      <c r="L2122" s="72" t="n"/>
      <c r="M2122" s="72" t="n"/>
      <c r="N2122" s="72" t="n"/>
      <c r="O2122" s="72" t="n"/>
      <c r="P2122" s="72" t="n"/>
      <c r="Q2122" s="72" t="n"/>
      <c r="R2122" s="72" t="n"/>
      <c r="S2122" s="72" t="n"/>
    </row>
    <row r="2123">
      <c r="B2123" s="72" t="n"/>
      <c r="C2123" s="72" t="n"/>
      <c r="D2123" s="72" t="n"/>
      <c r="E2123" s="72" t="n"/>
      <c r="F2123" s="72" t="n"/>
      <c r="G2123" s="72" t="n"/>
      <c r="H2123" s="72" t="n"/>
      <c r="I2123" s="72" t="n"/>
      <c r="J2123" s="72" t="n"/>
      <c r="K2123" s="72" t="n"/>
      <c r="L2123" s="72" t="n"/>
      <c r="M2123" s="72" t="n"/>
      <c r="N2123" s="72" t="n"/>
      <c r="O2123" s="72" t="n"/>
      <c r="P2123" s="72" t="n"/>
      <c r="Q2123" s="72" t="n"/>
      <c r="R2123" s="72" t="n"/>
      <c r="S2123" s="72" t="n"/>
    </row>
    <row r="2124">
      <c r="B2124" s="72" t="n"/>
      <c r="C2124" s="72" t="n"/>
      <c r="D2124" s="72" t="n"/>
      <c r="E2124" s="72" t="n"/>
      <c r="F2124" s="72" t="n"/>
      <c r="G2124" s="72" t="n"/>
      <c r="H2124" s="72" t="n"/>
      <c r="I2124" s="72" t="n"/>
      <c r="J2124" s="72" t="n"/>
      <c r="K2124" s="72" t="n"/>
      <c r="L2124" s="72" t="n"/>
      <c r="M2124" s="72" t="n"/>
      <c r="N2124" s="72" t="n"/>
      <c r="O2124" s="72" t="n"/>
      <c r="P2124" s="72" t="n"/>
      <c r="Q2124" s="72" t="n"/>
      <c r="R2124" s="72" t="n"/>
      <c r="S2124" s="72" t="n"/>
    </row>
    <row r="2125">
      <c r="B2125" s="72" t="n"/>
      <c r="C2125" s="72" t="n"/>
      <c r="D2125" s="72" t="n"/>
      <c r="E2125" s="72" t="n"/>
      <c r="F2125" s="72" t="n"/>
      <c r="G2125" s="72" t="n"/>
      <c r="H2125" s="72" t="n"/>
      <c r="I2125" s="72" t="n"/>
      <c r="J2125" s="72" t="n"/>
      <c r="K2125" s="72" t="n"/>
      <c r="L2125" s="72" t="n"/>
      <c r="M2125" s="72" t="n"/>
      <c r="N2125" s="72" t="n"/>
      <c r="O2125" s="72" t="n"/>
      <c r="P2125" s="72" t="n"/>
      <c r="Q2125" s="72" t="n"/>
      <c r="R2125" s="72" t="n"/>
      <c r="S2125" s="72" t="n"/>
    </row>
    <row r="2126">
      <c r="B2126" s="72" t="n"/>
      <c r="C2126" s="72" t="n"/>
      <c r="D2126" s="72" t="n"/>
      <c r="E2126" s="72" t="n"/>
      <c r="F2126" s="72" t="n"/>
      <c r="G2126" s="72" t="n"/>
      <c r="H2126" s="72" t="n"/>
      <c r="I2126" s="72" t="n"/>
      <c r="J2126" s="72" t="n"/>
      <c r="K2126" s="72" t="n"/>
      <c r="L2126" s="72" t="n"/>
      <c r="M2126" s="72" t="n"/>
      <c r="N2126" s="72" t="n"/>
      <c r="O2126" s="72" t="n"/>
      <c r="P2126" s="72" t="n"/>
      <c r="Q2126" s="72" t="n"/>
      <c r="R2126" s="72" t="n"/>
      <c r="S2126" s="72" t="n"/>
    </row>
    <row r="2127">
      <c r="B2127" s="72" t="n"/>
      <c r="C2127" s="72" t="n"/>
      <c r="D2127" s="72" t="n"/>
      <c r="E2127" s="72" t="n"/>
      <c r="F2127" s="72" t="n"/>
      <c r="G2127" s="72" t="n"/>
      <c r="H2127" s="72" t="n"/>
      <c r="I2127" s="72" t="n"/>
      <c r="J2127" s="72" t="n"/>
      <c r="K2127" s="72" t="n"/>
      <c r="L2127" s="72" t="n"/>
      <c r="M2127" s="72" t="n"/>
      <c r="N2127" s="72" t="n"/>
      <c r="O2127" s="72" t="n"/>
      <c r="P2127" s="72" t="n"/>
      <c r="Q2127" s="72" t="n"/>
      <c r="R2127" s="72" t="n"/>
      <c r="S2127" s="72" t="n"/>
    </row>
    <row r="2128">
      <c r="B2128" s="72" t="n"/>
      <c r="C2128" s="72" t="n"/>
      <c r="D2128" s="72" t="n"/>
      <c r="E2128" s="72" t="n"/>
      <c r="F2128" s="72" t="n"/>
      <c r="G2128" s="72" t="n"/>
      <c r="H2128" s="72" t="n"/>
      <c r="I2128" s="72" t="n"/>
      <c r="J2128" s="72" t="n"/>
      <c r="K2128" s="72" t="n"/>
      <c r="L2128" s="72" t="n"/>
      <c r="M2128" s="72" t="n"/>
      <c r="N2128" s="72" t="n"/>
      <c r="O2128" s="72" t="n"/>
      <c r="P2128" s="72" t="n"/>
      <c r="Q2128" s="72" t="n"/>
      <c r="R2128" s="72" t="n"/>
      <c r="S2128" s="72" t="n"/>
    </row>
    <row r="2129">
      <c r="B2129" s="72" t="n"/>
      <c r="C2129" s="72" t="n"/>
      <c r="D2129" s="72" t="n"/>
      <c r="E2129" s="72" t="n"/>
      <c r="F2129" s="72" t="n"/>
      <c r="G2129" s="72" t="n"/>
      <c r="H2129" s="72" t="n"/>
      <c r="I2129" s="72" t="n"/>
      <c r="J2129" s="72" t="n"/>
      <c r="K2129" s="72" t="n"/>
      <c r="L2129" s="72" t="n"/>
      <c r="M2129" s="72" t="n"/>
      <c r="N2129" s="72" t="n"/>
      <c r="O2129" s="72" t="n"/>
      <c r="P2129" s="72" t="n"/>
      <c r="Q2129" s="72" t="n"/>
      <c r="R2129" s="72" t="n"/>
      <c r="S2129" s="72" t="n"/>
    </row>
    <row r="2130">
      <c r="B2130" s="72" t="n"/>
      <c r="C2130" s="72" t="n"/>
      <c r="D2130" s="72" t="n"/>
      <c r="E2130" s="72" t="n"/>
      <c r="F2130" s="72" t="n"/>
      <c r="G2130" s="72" t="n"/>
      <c r="H2130" s="72" t="n"/>
      <c r="I2130" s="72" t="n"/>
      <c r="J2130" s="72" t="n"/>
      <c r="K2130" s="72" t="n"/>
      <c r="L2130" s="72" t="n"/>
      <c r="M2130" s="72" t="n"/>
      <c r="N2130" s="72" t="n"/>
      <c r="O2130" s="72" t="n"/>
      <c r="P2130" s="72" t="n"/>
      <c r="Q2130" s="72" t="n"/>
      <c r="R2130" s="72" t="n"/>
      <c r="S2130" s="72" t="n"/>
    </row>
    <row r="2131">
      <c r="B2131" s="72" t="n"/>
      <c r="C2131" s="72" t="n"/>
      <c r="D2131" s="72" t="n"/>
      <c r="E2131" s="72" t="n"/>
      <c r="F2131" s="72" t="n"/>
      <c r="G2131" s="72" t="n"/>
      <c r="H2131" s="72" t="n"/>
      <c r="I2131" s="72" t="n"/>
      <c r="J2131" s="72" t="n"/>
      <c r="K2131" s="72" t="n"/>
      <c r="L2131" s="72" t="n"/>
      <c r="M2131" s="72" t="n"/>
      <c r="N2131" s="72" t="n"/>
      <c r="O2131" s="72" t="n"/>
      <c r="P2131" s="72" t="n"/>
      <c r="Q2131" s="72" t="n"/>
      <c r="R2131" s="72" t="n"/>
      <c r="S2131" s="72" t="n"/>
    </row>
    <row r="2132">
      <c r="B2132" s="72" t="n"/>
      <c r="C2132" s="72" t="n"/>
      <c r="D2132" s="72" t="n"/>
      <c r="E2132" s="72" t="n"/>
      <c r="F2132" s="72" t="n"/>
      <c r="G2132" s="72" t="n"/>
      <c r="H2132" s="72" t="n"/>
      <c r="I2132" s="72" t="n"/>
      <c r="J2132" s="72" t="n"/>
      <c r="K2132" s="72" t="n"/>
      <c r="L2132" s="72" t="n"/>
      <c r="M2132" s="72" t="n"/>
      <c r="N2132" s="72" t="n"/>
      <c r="O2132" s="72" t="n"/>
      <c r="P2132" s="72" t="n"/>
      <c r="Q2132" s="72" t="n"/>
      <c r="R2132" s="72" t="n"/>
      <c r="S2132" s="72" t="n"/>
    </row>
    <row r="2133">
      <c r="B2133" s="72" t="n"/>
      <c r="C2133" s="72" t="n"/>
      <c r="D2133" s="72" t="n"/>
      <c r="E2133" s="72" t="n"/>
      <c r="F2133" s="72" t="n"/>
      <c r="G2133" s="72" t="n"/>
      <c r="H2133" s="72" t="n"/>
      <c r="I2133" s="72" t="n"/>
      <c r="J2133" s="72" t="n"/>
      <c r="K2133" s="72" t="n"/>
      <c r="L2133" s="72" t="n"/>
      <c r="M2133" s="72" t="n"/>
      <c r="N2133" s="72" t="n"/>
      <c r="O2133" s="72" t="n"/>
      <c r="P2133" s="72" t="n"/>
      <c r="Q2133" s="72" t="n"/>
      <c r="R2133" s="72" t="n"/>
      <c r="S2133" s="72" t="n"/>
    </row>
    <row r="2134">
      <c r="B2134" s="72" t="n"/>
      <c r="C2134" s="72" t="n"/>
      <c r="D2134" s="72" t="n"/>
      <c r="E2134" s="72" t="n"/>
      <c r="F2134" s="72" t="n"/>
      <c r="G2134" s="72" t="n"/>
      <c r="H2134" s="72" t="n"/>
      <c r="I2134" s="72" t="n"/>
      <c r="J2134" s="72" t="n"/>
      <c r="K2134" s="72" t="n"/>
      <c r="L2134" s="72" t="n"/>
      <c r="M2134" s="72" t="n"/>
      <c r="N2134" s="72" t="n"/>
      <c r="O2134" s="72" t="n"/>
      <c r="P2134" s="72" t="n"/>
      <c r="Q2134" s="72" t="n"/>
      <c r="R2134" s="72" t="n"/>
      <c r="S2134" s="72" t="n"/>
    </row>
    <row r="2135">
      <c r="B2135" s="72" t="n"/>
      <c r="C2135" s="72" t="n"/>
      <c r="D2135" s="72" t="n"/>
      <c r="E2135" s="72" t="n"/>
      <c r="F2135" s="72" t="n"/>
      <c r="G2135" s="72" t="n"/>
      <c r="H2135" s="72" t="n"/>
      <c r="I2135" s="72" t="n"/>
      <c r="J2135" s="72" t="n"/>
      <c r="K2135" s="72" t="n"/>
      <c r="L2135" s="72" t="n"/>
      <c r="M2135" s="72" t="n"/>
      <c r="N2135" s="72" t="n"/>
      <c r="O2135" s="72" t="n"/>
      <c r="P2135" s="72" t="n"/>
      <c r="Q2135" s="72" t="n"/>
      <c r="R2135" s="72" t="n"/>
      <c r="S2135" s="72" t="n"/>
    </row>
    <row r="2136">
      <c r="B2136" s="72" t="n"/>
      <c r="C2136" s="72" t="n"/>
      <c r="D2136" s="72" t="n"/>
      <c r="E2136" s="72" t="n"/>
      <c r="F2136" s="72" t="n"/>
      <c r="G2136" s="72" t="n"/>
      <c r="H2136" s="72" t="n"/>
      <c r="I2136" s="72" t="n"/>
      <c r="J2136" s="72" t="n"/>
      <c r="K2136" s="72" t="n"/>
      <c r="L2136" s="72" t="n"/>
      <c r="M2136" s="72" t="n"/>
      <c r="N2136" s="72" t="n"/>
      <c r="O2136" s="72" t="n"/>
      <c r="P2136" s="72" t="n"/>
      <c r="Q2136" s="72" t="n"/>
      <c r="R2136" s="72" t="n"/>
      <c r="S2136" s="72" t="n"/>
    </row>
    <row r="2137">
      <c r="B2137" s="72" t="n"/>
      <c r="C2137" s="72" t="n"/>
      <c r="D2137" s="72" t="n"/>
      <c r="E2137" s="72" t="n"/>
      <c r="F2137" s="72" t="n"/>
      <c r="G2137" s="72" t="n"/>
      <c r="H2137" s="72" t="n"/>
      <c r="I2137" s="72" t="n"/>
      <c r="J2137" s="72" t="n"/>
      <c r="K2137" s="72" t="n"/>
      <c r="L2137" s="72" t="n"/>
      <c r="M2137" s="72" t="n"/>
      <c r="N2137" s="72" t="n"/>
      <c r="O2137" s="72" t="n"/>
      <c r="P2137" s="72" t="n"/>
      <c r="Q2137" s="72" t="n"/>
      <c r="R2137" s="72" t="n"/>
      <c r="S2137" s="72" t="n"/>
    </row>
    <row r="2138">
      <c r="B2138" s="72" t="n"/>
      <c r="C2138" s="72" t="n"/>
      <c r="D2138" s="72" t="n"/>
      <c r="E2138" s="72" t="n"/>
      <c r="F2138" s="72" t="n"/>
      <c r="G2138" s="72" t="n"/>
      <c r="H2138" s="72" t="n"/>
      <c r="I2138" s="72" t="n"/>
      <c r="J2138" s="72" t="n"/>
      <c r="K2138" s="72" t="n"/>
      <c r="L2138" s="72" t="n"/>
      <c r="M2138" s="72" t="n"/>
      <c r="N2138" s="72" t="n"/>
      <c r="O2138" s="72" t="n"/>
      <c r="P2138" s="72" t="n"/>
      <c r="Q2138" s="72" t="n"/>
      <c r="R2138" s="72" t="n"/>
      <c r="S2138" s="72" t="n"/>
    </row>
    <row r="2139">
      <c r="B2139" s="72" t="n"/>
      <c r="C2139" s="72" t="n"/>
      <c r="D2139" s="72" t="n"/>
      <c r="E2139" s="72" t="n"/>
      <c r="F2139" s="72" t="n"/>
      <c r="G2139" s="72" t="n"/>
      <c r="H2139" s="72" t="n"/>
      <c r="I2139" s="72" t="n"/>
      <c r="J2139" s="72" t="n"/>
      <c r="K2139" s="72" t="n"/>
      <c r="L2139" s="72" t="n"/>
      <c r="M2139" s="72" t="n"/>
      <c r="N2139" s="72" t="n"/>
      <c r="O2139" s="72" t="n"/>
      <c r="P2139" s="72" t="n"/>
      <c r="Q2139" s="72" t="n"/>
      <c r="R2139" s="72" t="n"/>
      <c r="S2139" s="72" t="n"/>
    </row>
    <row r="2140">
      <c r="B2140" s="72" t="n"/>
      <c r="C2140" s="72" t="n"/>
      <c r="D2140" s="72" t="n"/>
      <c r="E2140" s="72" t="n"/>
      <c r="F2140" s="72" t="n"/>
      <c r="G2140" s="72" t="n"/>
      <c r="H2140" s="72" t="n"/>
      <c r="I2140" s="72" t="n"/>
      <c r="J2140" s="72" t="n"/>
      <c r="K2140" s="72" t="n"/>
      <c r="L2140" s="72" t="n"/>
      <c r="M2140" s="72" t="n"/>
      <c r="N2140" s="72" t="n"/>
      <c r="O2140" s="72" t="n"/>
      <c r="P2140" s="72" t="n"/>
      <c r="Q2140" s="72" t="n"/>
      <c r="R2140" s="72" t="n"/>
      <c r="S2140" s="72" t="n"/>
    </row>
    <row r="2141">
      <c r="B2141" s="72" t="n"/>
      <c r="C2141" s="72" t="n"/>
      <c r="D2141" s="72" t="n"/>
      <c r="E2141" s="72" t="n"/>
      <c r="F2141" s="72" t="n"/>
      <c r="G2141" s="72" t="n"/>
      <c r="H2141" s="72" t="n"/>
      <c r="I2141" s="72" t="n"/>
      <c r="J2141" s="72" t="n"/>
      <c r="K2141" s="72" t="n"/>
      <c r="L2141" s="72" t="n"/>
      <c r="M2141" s="72" t="n"/>
      <c r="N2141" s="72" t="n"/>
      <c r="O2141" s="72" t="n"/>
      <c r="P2141" s="72" t="n"/>
      <c r="Q2141" s="72" t="n"/>
      <c r="R2141" s="72" t="n"/>
      <c r="S2141" s="72" t="n"/>
    </row>
    <row r="2142">
      <c r="B2142" s="72" t="n"/>
      <c r="C2142" s="72" t="n"/>
      <c r="D2142" s="72" t="n"/>
      <c r="E2142" s="72" t="n"/>
      <c r="F2142" s="72" t="n"/>
      <c r="G2142" s="72" t="n"/>
      <c r="H2142" s="72" t="n"/>
      <c r="I2142" s="72" t="n"/>
      <c r="J2142" s="72" t="n"/>
      <c r="K2142" s="72" t="n"/>
      <c r="L2142" s="72" t="n"/>
      <c r="M2142" s="72" t="n"/>
      <c r="N2142" s="72" t="n"/>
      <c r="O2142" s="72" t="n"/>
      <c r="P2142" s="72" t="n"/>
      <c r="Q2142" s="72" t="n"/>
      <c r="R2142" s="72" t="n"/>
      <c r="S2142" s="72" t="n"/>
    </row>
    <row r="2143">
      <c r="B2143" s="72" t="n"/>
      <c r="C2143" s="72" t="n"/>
      <c r="D2143" s="72" t="n"/>
      <c r="E2143" s="72" t="n"/>
      <c r="F2143" s="72" t="n"/>
      <c r="G2143" s="72" t="n"/>
      <c r="H2143" s="72" t="n"/>
      <c r="I2143" s="72" t="n"/>
      <c r="J2143" s="72" t="n"/>
      <c r="K2143" s="72" t="n"/>
      <c r="L2143" s="72" t="n"/>
      <c r="M2143" s="72" t="n"/>
      <c r="N2143" s="72" t="n"/>
      <c r="O2143" s="72" t="n"/>
      <c r="P2143" s="72" t="n"/>
      <c r="Q2143" s="72" t="n"/>
      <c r="R2143" s="72" t="n"/>
      <c r="S2143" s="72" t="n"/>
    </row>
    <row r="2144">
      <c r="B2144" s="72" t="n"/>
      <c r="C2144" s="72" t="n"/>
      <c r="D2144" s="72" t="n"/>
      <c r="E2144" s="72" t="n"/>
      <c r="F2144" s="72" t="n"/>
      <c r="G2144" s="72" t="n"/>
      <c r="H2144" s="72" t="n"/>
      <c r="I2144" s="72" t="n"/>
      <c r="J2144" s="72" t="n"/>
      <c r="K2144" s="72" t="n"/>
      <c r="L2144" s="72" t="n"/>
      <c r="M2144" s="72" t="n"/>
      <c r="N2144" s="72" t="n"/>
      <c r="O2144" s="72" t="n"/>
      <c r="P2144" s="72" t="n"/>
      <c r="Q2144" s="72" t="n"/>
      <c r="R2144" s="72" t="n"/>
      <c r="S2144" s="72" t="n"/>
    </row>
    <row r="2145">
      <c r="B2145" s="72" t="n"/>
      <c r="C2145" s="72" t="n"/>
      <c r="D2145" s="72" t="n"/>
      <c r="E2145" s="72" t="n"/>
      <c r="F2145" s="72" t="n"/>
      <c r="G2145" s="72" t="n"/>
      <c r="H2145" s="72" t="n"/>
      <c r="I2145" s="72" t="n"/>
      <c r="J2145" s="72" t="n"/>
      <c r="K2145" s="72" t="n"/>
      <c r="L2145" s="72" t="n"/>
      <c r="M2145" s="72" t="n"/>
      <c r="N2145" s="72" t="n"/>
      <c r="O2145" s="72" t="n"/>
      <c r="P2145" s="72" t="n"/>
      <c r="Q2145" s="72" t="n"/>
      <c r="R2145" s="72" t="n"/>
      <c r="S2145" s="72" t="n"/>
    </row>
    <row r="2146">
      <c r="B2146" s="72" t="n"/>
      <c r="C2146" s="72" t="n"/>
      <c r="D2146" s="72" t="n"/>
      <c r="E2146" s="72" t="n"/>
      <c r="F2146" s="72" t="n"/>
      <c r="G2146" s="72" t="n"/>
      <c r="H2146" s="72" t="n"/>
      <c r="I2146" s="72" t="n"/>
      <c r="J2146" s="72" t="n"/>
      <c r="K2146" s="72" t="n"/>
      <c r="L2146" s="72" t="n"/>
      <c r="M2146" s="72" t="n"/>
      <c r="N2146" s="72" t="n"/>
      <c r="O2146" s="72" t="n"/>
      <c r="P2146" s="72" t="n"/>
      <c r="Q2146" s="72" t="n"/>
      <c r="R2146" s="72" t="n"/>
      <c r="S2146" s="72" t="n"/>
    </row>
    <row r="2147">
      <c r="B2147" s="72" t="n"/>
      <c r="C2147" s="72" t="n"/>
      <c r="D2147" s="72" t="n"/>
      <c r="E2147" s="72" t="n"/>
      <c r="F2147" s="72" t="n"/>
      <c r="G2147" s="72" t="n"/>
      <c r="H2147" s="72" t="n"/>
      <c r="I2147" s="72" t="n"/>
      <c r="J2147" s="72" t="n"/>
      <c r="K2147" s="72" t="n"/>
      <c r="L2147" s="72" t="n"/>
      <c r="M2147" s="72" t="n"/>
      <c r="N2147" s="72" t="n"/>
      <c r="O2147" s="72" t="n"/>
      <c r="P2147" s="72" t="n"/>
      <c r="Q2147" s="72" t="n"/>
      <c r="R2147" s="72" t="n"/>
      <c r="S2147" s="72" t="n"/>
    </row>
    <row r="2148">
      <c r="B2148" s="72" t="n"/>
      <c r="C2148" s="72" t="n"/>
      <c r="D2148" s="72" t="n"/>
      <c r="E2148" s="72" t="n"/>
      <c r="F2148" s="72" t="n"/>
      <c r="G2148" s="72" t="n"/>
      <c r="H2148" s="72" t="n"/>
      <c r="I2148" s="72" t="n"/>
      <c r="J2148" s="72" t="n"/>
      <c r="K2148" s="72" t="n"/>
      <c r="L2148" s="72" t="n"/>
      <c r="M2148" s="72" t="n"/>
      <c r="N2148" s="72" t="n"/>
      <c r="O2148" s="72" t="n"/>
      <c r="P2148" s="72" t="n"/>
      <c r="Q2148" s="72" t="n"/>
      <c r="R2148" s="72" t="n"/>
      <c r="S2148" s="72" t="n"/>
    </row>
    <row r="2149">
      <c r="B2149" s="72" t="n"/>
      <c r="C2149" s="72" t="n"/>
      <c r="D2149" s="72" t="n"/>
      <c r="E2149" s="72" t="n"/>
      <c r="F2149" s="72" t="n"/>
      <c r="G2149" s="72" t="n"/>
      <c r="H2149" s="72" t="n"/>
      <c r="I2149" s="72" t="n"/>
      <c r="J2149" s="72" t="n"/>
      <c r="K2149" s="72" t="n"/>
      <c r="L2149" s="72" t="n"/>
      <c r="M2149" s="72" t="n"/>
      <c r="N2149" s="72" t="n"/>
      <c r="O2149" s="72" t="n"/>
      <c r="P2149" s="72" t="n"/>
      <c r="Q2149" s="72" t="n"/>
      <c r="R2149" s="72" t="n"/>
      <c r="S2149" s="72" t="n"/>
    </row>
    <row r="2150">
      <c r="B2150" s="72" t="n"/>
      <c r="C2150" s="72" t="n"/>
      <c r="D2150" s="72" t="n"/>
      <c r="E2150" s="72" t="n"/>
      <c r="F2150" s="72" t="n"/>
      <c r="G2150" s="72" t="n"/>
      <c r="H2150" s="72" t="n"/>
      <c r="I2150" s="72" t="n"/>
      <c r="J2150" s="72" t="n"/>
      <c r="K2150" s="72" t="n"/>
      <c r="L2150" s="72" t="n"/>
      <c r="M2150" s="72" t="n"/>
      <c r="N2150" s="72" t="n"/>
      <c r="O2150" s="72" t="n"/>
      <c r="P2150" s="72" t="n"/>
      <c r="Q2150" s="72" t="n"/>
      <c r="R2150" s="72" t="n"/>
      <c r="S2150" s="72" t="n"/>
    </row>
    <row r="2151">
      <c r="B2151" s="72" t="n"/>
      <c r="C2151" s="72" t="n"/>
      <c r="D2151" s="72" t="n"/>
      <c r="E2151" s="72" t="n"/>
      <c r="F2151" s="72" t="n"/>
      <c r="G2151" s="72" t="n"/>
      <c r="H2151" s="72" t="n"/>
      <c r="I2151" s="72" t="n"/>
      <c r="J2151" s="72" t="n"/>
      <c r="K2151" s="72" t="n"/>
      <c r="L2151" s="72" t="n"/>
      <c r="M2151" s="72" t="n"/>
      <c r="N2151" s="72" t="n"/>
      <c r="O2151" s="72" t="n"/>
      <c r="P2151" s="72" t="n"/>
      <c r="Q2151" s="72" t="n"/>
      <c r="R2151" s="72" t="n"/>
      <c r="S2151" s="72" t="n"/>
    </row>
    <row r="2152">
      <c r="B2152" s="72" t="n"/>
      <c r="C2152" s="72" t="n"/>
      <c r="D2152" s="72" t="n"/>
      <c r="E2152" s="72" t="n"/>
      <c r="F2152" s="72" t="n"/>
      <c r="G2152" s="72" t="n"/>
      <c r="H2152" s="72" t="n"/>
      <c r="I2152" s="72" t="n"/>
      <c r="J2152" s="72" t="n"/>
      <c r="K2152" s="72" t="n"/>
      <c r="L2152" s="72" t="n"/>
      <c r="M2152" s="72" t="n"/>
      <c r="N2152" s="72" t="n"/>
      <c r="O2152" s="72" t="n"/>
      <c r="P2152" s="72" t="n"/>
      <c r="Q2152" s="72" t="n"/>
      <c r="R2152" s="72" t="n"/>
      <c r="S2152" s="72" t="n"/>
    </row>
    <row r="2153">
      <c r="B2153" s="72" t="n"/>
      <c r="C2153" s="72" t="n"/>
      <c r="D2153" s="72" t="n"/>
      <c r="E2153" s="72" t="n"/>
      <c r="F2153" s="72" t="n"/>
      <c r="G2153" s="72" t="n"/>
      <c r="H2153" s="72" t="n"/>
      <c r="I2153" s="72" t="n"/>
      <c r="J2153" s="72" t="n"/>
      <c r="K2153" s="72" t="n"/>
      <c r="L2153" s="72" t="n"/>
      <c r="M2153" s="72" t="n"/>
      <c r="N2153" s="72" t="n"/>
      <c r="O2153" s="72" t="n"/>
      <c r="P2153" s="72" t="n"/>
      <c r="Q2153" s="72" t="n"/>
      <c r="R2153" s="72" t="n"/>
      <c r="S2153" s="72" t="n"/>
    </row>
    <row r="2154">
      <c r="B2154" s="72" t="n"/>
      <c r="C2154" s="72" t="n"/>
      <c r="D2154" s="72" t="n"/>
      <c r="E2154" s="72" t="n"/>
      <c r="F2154" s="72" t="n"/>
      <c r="G2154" s="72" t="n"/>
      <c r="H2154" s="72" t="n"/>
      <c r="I2154" s="72" t="n"/>
      <c r="J2154" s="72" t="n"/>
      <c r="K2154" s="72" t="n"/>
      <c r="L2154" s="72" t="n"/>
      <c r="M2154" s="72" t="n"/>
      <c r="N2154" s="72" t="n"/>
      <c r="O2154" s="72" t="n"/>
      <c r="P2154" s="72" t="n"/>
      <c r="Q2154" s="72" t="n"/>
      <c r="R2154" s="72" t="n"/>
      <c r="S2154" s="72" t="n"/>
    </row>
    <row r="2155">
      <c r="B2155" s="72" t="n"/>
      <c r="C2155" s="72" t="n"/>
      <c r="D2155" s="72" t="n"/>
      <c r="E2155" s="72" t="n"/>
      <c r="F2155" s="72" t="n"/>
      <c r="G2155" s="72" t="n"/>
      <c r="H2155" s="72" t="n"/>
      <c r="I2155" s="72" t="n"/>
      <c r="J2155" s="72" t="n"/>
      <c r="K2155" s="72" t="n"/>
      <c r="L2155" s="72" t="n"/>
      <c r="M2155" s="72" t="n"/>
      <c r="N2155" s="72" t="n"/>
      <c r="O2155" s="72" t="n"/>
      <c r="P2155" s="72" t="n"/>
      <c r="Q2155" s="72" t="n"/>
      <c r="R2155" s="72" t="n"/>
      <c r="S2155" s="72" t="n"/>
    </row>
    <row r="2156">
      <c r="B2156" s="72" t="n"/>
      <c r="C2156" s="72" t="n"/>
      <c r="D2156" s="72" t="n"/>
      <c r="E2156" s="72" t="n"/>
      <c r="F2156" s="72" t="n"/>
      <c r="G2156" s="72" t="n"/>
      <c r="H2156" s="72" t="n"/>
      <c r="I2156" s="72" t="n"/>
      <c r="J2156" s="72" t="n"/>
      <c r="K2156" s="72" t="n"/>
      <c r="L2156" s="72" t="n"/>
      <c r="M2156" s="72" t="n"/>
      <c r="N2156" s="72" t="n"/>
      <c r="O2156" s="72" t="n"/>
      <c r="P2156" s="72" t="n"/>
      <c r="Q2156" s="72" t="n"/>
      <c r="R2156" s="72" t="n"/>
      <c r="S2156" s="72" t="n"/>
    </row>
    <row r="2157">
      <c r="B2157" s="72" t="n"/>
      <c r="C2157" s="72" t="n"/>
      <c r="D2157" s="72" t="n"/>
      <c r="E2157" s="72" t="n"/>
      <c r="F2157" s="72" t="n"/>
      <c r="G2157" s="72" t="n"/>
      <c r="H2157" s="72" t="n"/>
      <c r="I2157" s="72" t="n"/>
      <c r="J2157" s="72" t="n"/>
      <c r="K2157" s="72" t="n"/>
      <c r="L2157" s="72" t="n"/>
      <c r="M2157" s="72" t="n"/>
      <c r="N2157" s="72" t="n"/>
      <c r="O2157" s="72" t="n"/>
      <c r="P2157" s="72" t="n"/>
      <c r="Q2157" s="72" t="n"/>
      <c r="R2157" s="72" t="n"/>
      <c r="S2157" s="72" t="n"/>
    </row>
    <row r="2158">
      <c r="B2158" s="72" t="n"/>
      <c r="C2158" s="72" t="n"/>
      <c r="D2158" s="72" t="n"/>
      <c r="E2158" s="72" t="n"/>
      <c r="F2158" s="72" t="n"/>
      <c r="G2158" s="72" t="n"/>
      <c r="H2158" s="72" t="n"/>
      <c r="I2158" s="72" t="n"/>
      <c r="J2158" s="72" t="n"/>
      <c r="K2158" s="72" t="n"/>
      <c r="L2158" s="72" t="n"/>
      <c r="M2158" s="72" t="n"/>
      <c r="N2158" s="72" t="n"/>
      <c r="O2158" s="72" t="n"/>
      <c r="P2158" s="72" t="n"/>
      <c r="Q2158" s="72" t="n"/>
      <c r="R2158" s="72" t="n"/>
      <c r="S2158" s="72" t="n"/>
    </row>
    <row r="2159">
      <c r="B2159" s="72" t="n"/>
      <c r="C2159" s="72" t="n"/>
      <c r="D2159" s="72" t="n"/>
      <c r="E2159" s="72" t="n"/>
      <c r="F2159" s="72" t="n"/>
      <c r="G2159" s="72" t="n"/>
      <c r="H2159" s="72" t="n"/>
      <c r="I2159" s="72" t="n"/>
      <c r="J2159" s="72" t="n"/>
      <c r="K2159" s="72" t="n"/>
      <c r="L2159" s="72" t="n"/>
      <c r="M2159" s="72" t="n"/>
      <c r="N2159" s="72" t="n"/>
      <c r="O2159" s="72" t="n"/>
      <c r="P2159" s="72" t="n"/>
      <c r="Q2159" s="72" t="n"/>
      <c r="R2159" s="72" t="n"/>
      <c r="S2159" s="72" t="n"/>
    </row>
    <row r="2160">
      <c r="B2160" s="72" t="n"/>
      <c r="C2160" s="72" t="n"/>
      <c r="D2160" s="72" t="n"/>
      <c r="E2160" s="72" t="n"/>
      <c r="F2160" s="72" t="n"/>
      <c r="G2160" s="72" t="n"/>
      <c r="H2160" s="72" t="n"/>
      <c r="I2160" s="72" t="n"/>
      <c r="J2160" s="72" t="n"/>
      <c r="K2160" s="72" t="n"/>
      <c r="L2160" s="72" t="n"/>
      <c r="M2160" s="72" t="n"/>
      <c r="N2160" s="72" t="n"/>
      <c r="O2160" s="72" t="n"/>
      <c r="P2160" s="72" t="n"/>
      <c r="Q2160" s="72" t="n"/>
      <c r="R2160" s="72" t="n"/>
      <c r="S2160" s="72" t="n"/>
    </row>
    <row r="2161">
      <c r="B2161" s="72" t="n"/>
      <c r="C2161" s="72" t="n"/>
      <c r="D2161" s="72" t="n"/>
      <c r="E2161" s="72" t="n"/>
      <c r="F2161" s="72" t="n"/>
      <c r="G2161" s="72" t="n"/>
      <c r="H2161" s="72" t="n"/>
      <c r="I2161" s="72" t="n"/>
      <c r="J2161" s="72" t="n"/>
      <c r="K2161" s="72" t="n"/>
      <c r="L2161" s="72" t="n"/>
      <c r="M2161" s="72" t="n"/>
      <c r="N2161" s="72" t="n"/>
      <c r="O2161" s="72" t="n"/>
      <c r="P2161" s="72" t="n"/>
      <c r="Q2161" s="72" t="n"/>
      <c r="R2161" s="72" t="n"/>
      <c r="S2161" s="72" t="n"/>
    </row>
    <row r="2162">
      <c r="B2162" s="72" t="n"/>
      <c r="C2162" s="72" t="n"/>
      <c r="D2162" s="72" t="n"/>
      <c r="E2162" s="72" t="n"/>
      <c r="F2162" s="72" t="n"/>
      <c r="G2162" s="72" t="n"/>
      <c r="H2162" s="72" t="n"/>
      <c r="I2162" s="72" t="n"/>
      <c r="J2162" s="72" t="n"/>
      <c r="K2162" s="72" t="n"/>
      <c r="L2162" s="72" t="n"/>
      <c r="M2162" s="72" t="n"/>
      <c r="N2162" s="72" t="n"/>
      <c r="O2162" s="72" t="n"/>
      <c r="P2162" s="72" t="n"/>
      <c r="Q2162" s="72" t="n"/>
      <c r="R2162" s="72" t="n"/>
      <c r="S2162" s="72" t="n"/>
    </row>
    <row r="2163">
      <c r="B2163" s="72" t="n"/>
      <c r="C2163" s="72" t="n"/>
      <c r="D2163" s="72" t="n"/>
      <c r="E2163" s="72" t="n"/>
      <c r="F2163" s="72" t="n"/>
      <c r="G2163" s="72" t="n"/>
      <c r="H2163" s="72" t="n"/>
      <c r="I2163" s="72" t="n"/>
      <c r="J2163" s="72" t="n"/>
      <c r="K2163" s="72" t="n"/>
      <c r="L2163" s="72" t="n"/>
      <c r="M2163" s="72" t="n"/>
      <c r="N2163" s="72" t="n"/>
      <c r="O2163" s="72" t="n"/>
      <c r="P2163" s="72" t="n"/>
      <c r="Q2163" s="72" t="n"/>
      <c r="R2163" s="72" t="n"/>
      <c r="S2163" s="72" t="n"/>
    </row>
    <row r="2164">
      <c r="B2164" s="72" t="n"/>
      <c r="C2164" s="72" t="n"/>
      <c r="D2164" s="72" t="n"/>
      <c r="E2164" s="72" t="n"/>
      <c r="F2164" s="72" t="n"/>
      <c r="G2164" s="72" t="n"/>
      <c r="H2164" s="72" t="n"/>
      <c r="I2164" s="72" t="n"/>
      <c r="J2164" s="72" t="n"/>
      <c r="K2164" s="72" t="n"/>
      <c r="L2164" s="72" t="n"/>
      <c r="M2164" s="72" t="n"/>
      <c r="N2164" s="72" t="n"/>
      <c r="O2164" s="72" t="n"/>
      <c r="P2164" s="72" t="n"/>
      <c r="Q2164" s="72" t="n"/>
      <c r="R2164" s="72" t="n"/>
      <c r="S2164" s="72" t="n"/>
    </row>
    <row r="2165">
      <c r="B2165" s="72" t="n"/>
      <c r="C2165" s="72" t="n"/>
      <c r="D2165" s="72" t="n"/>
      <c r="E2165" s="72" t="n"/>
      <c r="F2165" s="72" t="n"/>
      <c r="G2165" s="72" t="n"/>
      <c r="H2165" s="72" t="n"/>
      <c r="I2165" s="72" t="n"/>
      <c r="J2165" s="72" t="n"/>
      <c r="K2165" s="72" t="n"/>
      <c r="L2165" s="72" t="n"/>
      <c r="M2165" s="72" t="n"/>
      <c r="N2165" s="72" t="n"/>
      <c r="O2165" s="72" t="n"/>
      <c r="P2165" s="72" t="n"/>
      <c r="Q2165" s="72" t="n"/>
      <c r="R2165" s="72" t="n"/>
      <c r="S2165" s="72" t="n"/>
    </row>
    <row r="2166">
      <c r="B2166" s="72" t="n"/>
      <c r="C2166" s="72" t="n"/>
      <c r="D2166" s="72" t="n"/>
      <c r="E2166" s="72" t="n"/>
      <c r="F2166" s="72" t="n"/>
      <c r="G2166" s="72" t="n"/>
      <c r="H2166" s="72" t="n"/>
      <c r="I2166" s="72" t="n"/>
      <c r="J2166" s="72" t="n"/>
      <c r="K2166" s="72" t="n"/>
      <c r="L2166" s="72" t="n"/>
      <c r="M2166" s="72" t="n"/>
      <c r="N2166" s="72" t="n"/>
      <c r="O2166" s="72" t="n"/>
      <c r="P2166" s="72" t="n"/>
      <c r="Q2166" s="72" t="n"/>
      <c r="R2166" s="72" t="n"/>
      <c r="S2166" s="72" t="n"/>
    </row>
    <row r="2167">
      <c r="B2167" s="72" t="n"/>
      <c r="C2167" s="72" t="n"/>
      <c r="D2167" s="72" t="n"/>
      <c r="E2167" s="72" t="n"/>
      <c r="F2167" s="72" t="n"/>
      <c r="G2167" s="72" t="n"/>
      <c r="H2167" s="72" t="n"/>
      <c r="I2167" s="72" t="n"/>
      <c r="J2167" s="72" t="n"/>
      <c r="K2167" s="72" t="n"/>
      <c r="L2167" s="72" t="n"/>
      <c r="M2167" s="72" t="n"/>
      <c r="N2167" s="72" t="n"/>
      <c r="O2167" s="72" t="n"/>
      <c r="P2167" s="72" t="n"/>
      <c r="Q2167" s="72" t="n"/>
      <c r="R2167" s="72" t="n"/>
      <c r="S2167" s="72" t="n"/>
    </row>
    <row r="2168">
      <c r="B2168" s="72" t="n"/>
      <c r="C2168" s="72" t="n"/>
      <c r="D2168" s="72" t="n"/>
      <c r="E2168" s="72" t="n"/>
      <c r="F2168" s="72" t="n"/>
      <c r="G2168" s="72" t="n"/>
      <c r="H2168" s="72" t="n"/>
      <c r="I2168" s="72" t="n"/>
      <c r="J2168" s="72" t="n"/>
      <c r="K2168" s="72" t="n"/>
      <c r="L2168" s="72" t="n"/>
      <c r="M2168" s="72" t="n"/>
      <c r="N2168" s="72" t="n"/>
      <c r="O2168" s="72" t="n"/>
      <c r="P2168" s="72" t="n"/>
      <c r="Q2168" s="72" t="n"/>
      <c r="R2168" s="72" t="n"/>
      <c r="S2168" s="72" t="n"/>
    </row>
    <row r="2169">
      <c r="B2169" s="72" t="n"/>
      <c r="C2169" s="72" t="n"/>
      <c r="D2169" s="72" t="n"/>
      <c r="E2169" s="72" t="n"/>
      <c r="F2169" s="72" t="n"/>
      <c r="G2169" s="72" t="n"/>
      <c r="H2169" s="72" t="n"/>
      <c r="I2169" s="72" t="n"/>
      <c r="J2169" s="72" t="n"/>
      <c r="K2169" s="72" t="n"/>
      <c r="L2169" s="72" t="n"/>
      <c r="M2169" s="72" t="n"/>
      <c r="N2169" s="72" t="n"/>
      <c r="O2169" s="72" t="n"/>
      <c r="P2169" s="72" t="n"/>
      <c r="Q2169" s="72" t="n"/>
      <c r="R2169" s="72" t="n"/>
      <c r="S2169" s="72" t="n"/>
    </row>
    <row r="2170">
      <c r="B2170" s="72" t="n"/>
      <c r="C2170" s="72" t="n"/>
      <c r="D2170" s="72" t="n"/>
      <c r="E2170" s="72" t="n"/>
      <c r="F2170" s="72" t="n"/>
      <c r="G2170" s="72" t="n"/>
      <c r="H2170" s="72" t="n"/>
      <c r="I2170" s="72" t="n"/>
      <c r="J2170" s="72" t="n"/>
      <c r="K2170" s="72" t="n"/>
      <c r="L2170" s="72" t="n"/>
      <c r="M2170" s="72" t="n"/>
      <c r="N2170" s="72" t="n"/>
      <c r="O2170" s="72" t="n"/>
      <c r="P2170" s="72" t="n"/>
      <c r="Q2170" s="72" t="n"/>
      <c r="R2170" s="72" t="n"/>
      <c r="S2170" s="72" t="n"/>
    </row>
    <row r="2171">
      <c r="B2171" s="72" t="n"/>
      <c r="C2171" s="72" t="n"/>
      <c r="D2171" s="72" t="n"/>
      <c r="E2171" s="72" t="n"/>
      <c r="F2171" s="72" t="n"/>
      <c r="G2171" s="72" t="n"/>
      <c r="H2171" s="72" t="n"/>
      <c r="I2171" s="72" t="n"/>
      <c r="J2171" s="72" t="n"/>
      <c r="K2171" s="72" t="n"/>
      <c r="L2171" s="72" t="n"/>
      <c r="M2171" s="72" t="n"/>
      <c r="N2171" s="72" t="n"/>
      <c r="O2171" s="72" t="n"/>
      <c r="P2171" s="72" t="n"/>
      <c r="Q2171" s="72" t="n"/>
      <c r="R2171" s="72" t="n"/>
      <c r="S2171" s="72" t="n"/>
    </row>
    <row r="2172">
      <c r="B2172" s="72" t="n"/>
      <c r="C2172" s="72" t="n"/>
      <c r="D2172" s="72" t="n"/>
      <c r="E2172" s="72" t="n"/>
      <c r="F2172" s="72" t="n"/>
      <c r="G2172" s="72" t="n"/>
      <c r="H2172" s="72" t="n"/>
      <c r="I2172" s="72" t="n"/>
      <c r="J2172" s="72" t="n"/>
      <c r="K2172" s="72" t="n"/>
      <c r="L2172" s="72" t="n"/>
      <c r="M2172" s="72" t="n"/>
      <c r="N2172" s="72" t="n"/>
      <c r="O2172" s="72" t="n"/>
      <c r="P2172" s="72" t="n"/>
      <c r="Q2172" s="72" t="n"/>
      <c r="R2172" s="72" t="n"/>
      <c r="S2172" s="72" t="n"/>
    </row>
    <row r="2173">
      <c r="B2173" s="72" t="n"/>
      <c r="C2173" s="72" t="n"/>
      <c r="D2173" s="72" t="n"/>
      <c r="E2173" s="72" t="n"/>
      <c r="F2173" s="72" t="n"/>
      <c r="G2173" s="72" t="n"/>
      <c r="H2173" s="72" t="n"/>
      <c r="I2173" s="72" t="n"/>
      <c r="J2173" s="72" t="n"/>
      <c r="K2173" s="72" t="n"/>
      <c r="L2173" s="72" t="n"/>
      <c r="M2173" s="72" t="n"/>
      <c r="N2173" s="72" t="n"/>
      <c r="O2173" s="72" t="n"/>
      <c r="P2173" s="72" t="n"/>
      <c r="Q2173" s="72" t="n"/>
      <c r="R2173" s="72" t="n"/>
      <c r="S2173" s="72" t="n"/>
    </row>
    <row r="2174">
      <c r="B2174" s="72" t="n"/>
      <c r="C2174" s="72" t="n"/>
      <c r="D2174" s="72" t="n"/>
      <c r="E2174" s="72" t="n"/>
      <c r="F2174" s="72" t="n"/>
      <c r="G2174" s="72" t="n"/>
      <c r="H2174" s="72" t="n"/>
      <c r="I2174" s="72" t="n"/>
      <c r="J2174" s="72" t="n"/>
      <c r="K2174" s="72" t="n"/>
      <c r="L2174" s="72" t="n"/>
      <c r="M2174" s="72" t="n"/>
      <c r="N2174" s="72" t="n"/>
      <c r="O2174" s="72" t="n"/>
      <c r="P2174" s="72" t="n"/>
      <c r="Q2174" s="72" t="n"/>
      <c r="R2174" s="72" t="n"/>
      <c r="S2174" s="72" t="n"/>
    </row>
    <row r="2175">
      <c r="B2175" s="72" t="n"/>
      <c r="C2175" s="72" t="n"/>
      <c r="D2175" s="72" t="n"/>
      <c r="E2175" s="72" t="n"/>
      <c r="F2175" s="72" t="n"/>
      <c r="G2175" s="72" t="n"/>
      <c r="H2175" s="72" t="n"/>
      <c r="I2175" s="72" t="n"/>
      <c r="J2175" s="72" t="n"/>
      <c r="K2175" s="72" t="n"/>
      <c r="L2175" s="72" t="n"/>
      <c r="M2175" s="72" t="n"/>
      <c r="N2175" s="72" t="n"/>
      <c r="O2175" s="72" t="n"/>
      <c r="P2175" s="72" t="n"/>
      <c r="Q2175" s="72" t="n"/>
      <c r="R2175" s="72" t="n"/>
      <c r="S2175" s="72" t="n"/>
    </row>
    <row r="2176">
      <c r="B2176" s="72" t="n"/>
      <c r="C2176" s="72" t="n"/>
      <c r="D2176" s="72" t="n"/>
      <c r="E2176" s="72" t="n"/>
      <c r="F2176" s="72" t="n"/>
      <c r="G2176" s="72" t="n"/>
      <c r="H2176" s="72" t="n"/>
      <c r="I2176" s="72" t="n"/>
      <c r="J2176" s="72" t="n"/>
      <c r="K2176" s="72" t="n"/>
      <c r="L2176" s="72" t="n"/>
      <c r="M2176" s="72" t="n"/>
      <c r="N2176" s="72" t="n"/>
      <c r="O2176" s="72" t="n"/>
      <c r="P2176" s="72" t="n"/>
      <c r="Q2176" s="72" t="n"/>
      <c r="R2176" s="72" t="n"/>
      <c r="S2176" s="72" t="n"/>
    </row>
    <row r="2177">
      <c r="B2177" s="72" t="n"/>
      <c r="C2177" s="72" t="n"/>
      <c r="D2177" s="72" t="n"/>
      <c r="E2177" s="72" t="n"/>
      <c r="F2177" s="72" t="n"/>
      <c r="G2177" s="72" t="n"/>
      <c r="H2177" s="72" t="n"/>
      <c r="I2177" s="72" t="n"/>
      <c r="J2177" s="72" t="n"/>
      <c r="K2177" s="72" t="n"/>
      <c r="L2177" s="72" t="n"/>
      <c r="M2177" s="72" t="n"/>
      <c r="N2177" s="72" t="n"/>
      <c r="O2177" s="72" t="n"/>
      <c r="P2177" s="72" t="n"/>
      <c r="Q2177" s="72" t="n"/>
      <c r="R2177" s="72" t="n"/>
      <c r="S2177" s="72" t="n"/>
    </row>
    <row r="2178">
      <c r="B2178" s="72" t="n"/>
      <c r="C2178" s="72" t="n"/>
      <c r="D2178" s="72" t="n"/>
      <c r="E2178" s="72" t="n"/>
      <c r="F2178" s="72" t="n"/>
      <c r="G2178" s="72" t="n"/>
      <c r="H2178" s="72" t="n"/>
      <c r="I2178" s="72" t="n"/>
      <c r="J2178" s="72" t="n"/>
      <c r="K2178" s="72" t="n"/>
      <c r="L2178" s="72" t="n"/>
      <c r="M2178" s="72" t="n"/>
      <c r="N2178" s="72" t="n"/>
      <c r="O2178" s="72" t="n"/>
      <c r="P2178" s="72" t="n"/>
      <c r="Q2178" s="72" t="n"/>
      <c r="R2178" s="72" t="n"/>
      <c r="S2178" s="72" t="n"/>
    </row>
    <row r="2179">
      <c r="B2179" s="72" t="n"/>
      <c r="C2179" s="72" t="n"/>
      <c r="D2179" s="72" t="n"/>
      <c r="E2179" s="72" t="n"/>
      <c r="F2179" s="72" t="n"/>
      <c r="G2179" s="72" t="n"/>
      <c r="H2179" s="72" t="n"/>
      <c r="I2179" s="72" t="n"/>
      <c r="J2179" s="72" t="n"/>
      <c r="K2179" s="72" t="n"/>
      <c r="L2179" s="72" t="n"/>
      <c r="M2179" s="72" t="n"/>
      <c r="N2179" s="72" t="n"/>
      <c r="O2179" s="72" t="n"/>
      <c r="P2179" s="72" t="n"/>
      <c r="Q2179" s="72" t="n"/>
      <c r="R2179" s="72" t="n"/>
      <c r="S2179" s="72" t="n"/>
    </row>
    <row r="2180">
      <c r="B2180" s="72" t="n"/>
      <c r="C2180" s="72" t="n"/>
      <c r="D2180" s="72" t="n"/>
      <c r="E2180" s="72" t="n"/>
      <c r="F2180" s="72" t="n"/>
      <c r="G2180" s="72" t="n"/>
      <c r="H2180" s="72" t="n"/>
      <c r="I2180" s="72" t="n"/>
      <c r="J2180" s="72" t="n"/>
      <c r="K2180" s="72" t="n"/>
      <c r="L2180" s="72" t="n"/>
      <c r="M2180" s="72" t="n"/>
      <c r="N2180" s="72" t="n"/>
      <c r="O2180" s="72" t="n"/>
      <c r="P2180" s="72" t="n"/>
      <c r="Q2180" s="72" t="n"/>
      <c r="R2180" s="72" t="n"/>
      <c r="S2180" s="72" t="n"/>
    </row>
    <row r="2181">
      <c r="B2181" s="72" t="n"/>
      <c r="C2181" s="72" t="n"/>
      <c r="D2181" s="72" t="n"/>
      <c r="E2181" s="72" t="n"/>
      <c r="F2181" s="72" t="n"/>
      <c r="G2181" s="72" t="n"/>
      <c r="H2181" s="72" t="n"/>
      <c r="I2181" s="72" t="n"/>
      <c r="J2181" s="72" t="n"/>
      <c r="K2181" s="72" t="n"/>
      <c r="L2181" s="72" t="n"/>
      <c r="M2181" s="72" t="n"/>
      <c r="N2181" s="72" t="n"/>
      <c r="O2181" s="72" t="n"/>
      <c r="P2181" s="72" t="n"/>
      <c r="Q2181" s="72" t="n"/>
      <c r="R2181" s="72" t="n"/>
      <c r="S2181" s="72" t="n"/>
    </row>
    <row r="2182">
      <c r="B2182" s="72" t="n"/>
      <c r="C2182" s="72" t="n"/>
      <c r="D2182" s="72" t="n"/>
      <c r="E2182" s="72" t="n"/>
      <c r="F2182" s="72" t="n"/>
      <c r="G2182" s="72" t="n"/>
      <c r="H2182" s="72" t="n"/>
      <c r="I2182" s="72" t="n"/>
      <c r="J2182" s="72" t="n"/>
      <c r="K2182" s="72" t="n"/>
      <c r="L2182" s="72" t="n"/>
      <c r="M2182" s="72" t="n"/>
      <c r="N2182" s="72" t="n"/>
      <c r="O2182" s="72" t="n"/>
      <c r="P2182" s="72" t="n"/>
      <c r="Q2182" s="72" t="n"/>
      <c r="R2182" s="72" t="n"/>
      <c r="S2182" s="72" t="n"/>
    </row>
    <row r="2183">
      <c r="B2183" s="72" t="n"/>
      <c r="C2183" s="72" t="n"/>
      <c r="D2183" s="72" t="n"/>
      <c r="E2183" s="72" t="n"/>
      <c r="F2183" s="72" t="n"/>
      <c r="G2183" s="72" t="n"/>
      <c r="H2183" s="72" t="n"/>
      <c r="I2183" s="72" t="n"/>
      <c r="J2183" s="72" t="n"/>
      <c r="K2183" s="72" t="n"/>
      <c r="L2183" s="72" t="n"/>
      <c r="M2183" s="72" t="n"/>
      <c r="N2183" s="72" t="n"/>
      <c r="O2183" s="72" t="n"/>
      <c r="P2183" s="72" t="n"/>
      <c r="Q2183" s="72" t="n"/>
      <c r="R2183" s="72" t="n"/>
      <c r="S2183" s="72" t="n"/>
    </row>
    <row r="2184">
      <c r="B2184" s="72" t="n"/>
      <c r="C2184" s="72" t="n"/>
      <c r="D2184" s="72" t="n"/>
      <c r="E2184" s="72" t="n"/>
      <c r="F2184" s="72" t="n"/>
      <c r="G2184" s="72" t="n"/>
      <c r="H2184" s="72" t="n"/>
      <c r="I2184" s="72" t="n"/>
      <c r="J2184" s="72" t="n"/>
      <c r="K2184" s="72" t="n"/>
      <c r="L2184" s="72" t="n"/>
      <c r="M2184" s="72" t="n"/>
      <c r="N2184" s="72" t="n"/>
      <c r="O2184" s="72" t="n"/>
      <c r="P2184" s="72" t="n"/>
      <c r="Q2184" s="72" t="n"/>
      <c r="R2184" s="72" t="n"/>
      <c r="S2184" s="72" t="n"/>
    </row>
    <row r="2185">
      <c r="B2185" s="72" t="n"/>
      <c r="C2185" s="72" t="n"/>
      <c r="D2185" s="72" t="n"/>
      <c r="E2185" s="72" t="n"/>
      <c r="F2185" s="72" t="n"/>
      <c r="G2185" s="72" t="n"/>
      <c r="H2185" s="72" t="n"/>
      <c r="I2185" s="72" t="n"/>
      <c r="J2185" s="72" t="n"/>
      <c r="K2185" s="72" t="n"/>
      <c r="L2185" s="72" t="n"/>
      <c r="M2185" s="72" t="n"/>
      <c r="N2185" s="72" t="n"/>
      <c r="O2185" s="72" t="n"/>
      <c r="P2185" s="72" t="n"/>
      <c r="Q2185" s="72" t="n"/>
      <c r="R2185" s="72" t="n"/>
      <c r="S2185" s="72" t="n"/>
    </row>
    <row r="2186">
      <c r="B2186" s="72" t="n"/>
      <c r="C2186" s="72" t="n"/>
      <c r="D2186" s="72" t="n"/>
      <c r="E2186" s="72" t="n"/>
      <c r="F2186" s="72" t="n"/>
      <c r="G2186" s="72" t="n"/>
      <c r="H2186" s="72" t="n"/>
      <c r="I2186" s="72" t="n"/>
      <c r="J2186" s="72" t="n"/>
      <c r="K2186" s="72" t="n"/>
      <c r="L2186" s="72" t="n"/>
      <c r="M2186" s="72" t="n"/>
      <c r="N2186" s="72" t="n"/>
      <c r="O2186" s="72" t="n"/>
      <c r="P2186" s="72" t="n"/>
      <c r="Q2186" s="72" t="n"/>
      <c r="R2186" s="72" t="n"/>
      <c r="S2186" s="72" t="n"/>
    </row>
    <row r="2187">
      <c r="B2187" s="72" t="n"/>
      <c r="C2187" s="72" t="n"/>
      <c r="D2187" s="72" t="n"/>
      <c r="E2187" s="72" t="n"/>
      <c r="F2187" s="72" t="n"/>
      <c r="G2187" s="72" t="n"/>
      <c r="H2187" s="72" t="n"/>
      <c r="I2187" s="72" t="n"/>
      <c r="J2187" s="72" t="n"/>
      <c r="K2187" s="72" t="n"/>
      <c r="L2187" s="72" t="n"/>
      <c r="M2187" s="72" t="n"/>
      <c r="N2187" s="72" t="n"/>
      <c r="O2187" s="72" t="n"/>
      <c r="P2187" s="72" t="n"/>
      <c r="Q2187" s="72" t="n"/>
      <c r="R2187" s="72" t="n"/>
      <c r="S2187" s="72" t="n"/>
    </row>
    <row r="2188">
      <c r="B2188" s="72" t="n"/>
      <c r="C2188" s="72" t="n"/>
      <c r="D2188" s="72" t="n"/>
      <c r="E2188" s="72" t="n"/>
      <c r="F2188" s="72" t="n"/>
      <c r="G2188" s="72" t="n"/>
      <c r="H2188" s="72" t="n"/>
      <c r="I2188" s="72" t="n"/>
      <c r="J2188" s="72" t="n"/>
      <c r="K2188" s="72" t="n"/>
      <c r="L2188" s="72" t="n"/>
      <c r="M2188" s="72" t="n"/>
      <c r="N2188" s="72" t="n"/>
      <c r="O2188" s="72" t="n"/>
      <c r="P2188" s="72" t="n"/>
      <c r="Q2188" s="72" t="n"/>
      <c r="R2188" s="72" t="n"/>
      <c r="S2188" s="72" t="n"/>
    </row>
    <row r="2189">
      <c r="B2189" s="72" t="n"/>
      <c r="C2189" s="72" t="n"/>
      <c r="D2189" s="72" t="n"/>
      <c r="E2189" s="72" t="n"/>
      <c r="F2189" s="72" t="n"/>
      <c r="G2189" s="72" t="n"/>
      <c r="H2189" s="72" t="n"/>
      <c r="I2189" s="72" t="n"/>
      <c r="J2189" s="72" t="n"/>
      <c r="K2189" s="72" t="n"/>
      <c r="L2189" s="72" t="n"/>
      <c r="M2189" s="72" t="n"/>
      <c r="N2189" s="72" t="n"/>
      <c r="O2189" s="72" t="n"/>
      <c r="P2189" s="72" t="n"/>
      <c r="Q2189" s="72" t="n"/>
      <c r="R2189" s="72" t="n"/>
      <c r="S2189" s="72" t="n"/>
    </row>
    <row r="2190">
      <c r="B2190" s="72" t="n"/>
      <c r="C2190" s="72" t="n"/>
      <c r="D2190" s="72" t="n"/>
      <c r="E2190" s="72" t="n"/>
      <c r="F2190" s="72" t="n"/>
      <c r="G2190" s="72" t="n"/>
      <c r="H2190" s="72" t="n"/>
      <c r="I2190" s="72" t="n"/>
      <c r="J2190" s="72" t="n"/>
      <c r="K2190" s="72" t="n"/>
      <c r="L2190" s="72" t="n"/>
      <c r="M2190" s="72" t="n"/>
      <c r="N2190" s="72" t="n"/>
      <c r="O2190" s="72" t="n"/>
      <c r="P2190" s="72" t="n"/>
      <c r="Q2190" s="72" t="n"/>
      <c r="R2190" s="72" t="n"/>
      <c r="S2190" s="72" t="n"/>
    </row>
    <row r="2191">
      <c r="B2191" s="72" t="n"/>
      <c r="C2191" s="72" t="n"/>
      <c r="D2191" s="72" t="n"/>
      <c r="E2191" s="72" t="n"/>
      <c r="F2191" s="72" t="n"/>
      <c r="G2191" s="72" t="n"/>
      <c r="H2191" s="72" t="n"/>
      <c r="I2191" s="72" t="n"/>
      <c r="J2191" s="72" t="n"/>
      <c r="K2191" s="72" t="n"/>
      <c r="L2191" s="72" t="n"/>
      <c r="M2191" s="72" t="n"/>
      <c r="N2191" s="72" t="n"/>
      <c r="O2191" s="72" t="n"/>
      <c r="P2191" s="72" t="n"/>
      <c r="Q2191" s="72" t="n"/>
      <c r="R2191" s="72" t="n"/>
      <c r="S2191" s="72" t="n"/>
    </row>
    <row r="2192">
      <c r="B2192" s="72" t="n"/>
      <c r="C2192" s="72" t="n"/>
      <c r="D2192" s="72" t="n"/>
      <c r="E2192" s="72" t="n"/>
      <c r="F2192" s="72" t="n"/>
      <c r="G2192" s="72" t="n"/>
      <c r="H2192" s="72" t="n"/>
      <c r="I2192" s="72" t="n"/>
      <c r="J2192" s="72" t="n"/>
      <c r="K2192" s="72" t="n"/>
      <c r="L2192" s="72" t="n"/>
      <c r="M2192" s="72" t="n"/>
      <c r="N2192" s="72" t="n"/>
      <c r="O2192" s="72" t="n"/>
      <c r="P2192" s="72" t="n"/>
      <c r="Q2192" s="72" t="n"/>
      <c r="R2192" s="72" t="n"/>
      <c r="S2192" s="72" t="n"/>
    </row>
    <row r="2193">
      <c r="B2193" s="72" t="n"/>
      <c r="C2193" s="72" t="n"/>
      <c r="D2193" s="72" t="n"/>
      <c r="E2193" s="72" t="n"/>
      <c r="F2193" s="72" t="n"/>
      <c r="G2193" s="72" t="n"/>
      <c r="H2193" s="72" t="n"/>
      <c r="I2193" s="72" t="n"/>
      <c r="J2193" s="72" t="n"/>
      <c r="K2193" s="72" t="n"/>
      <c r="L2193" s="72" t="n"/>
      <c r="M2193" s="72" t="n"/>
      <c r="N2193" s="72" t="n"/>
      <c r="O2193" s="72" t="n"/>
      <c r="P2193" s="72" t="n"/>
      <c r="Q2193" s="72" t="n"/>
      <c r="R2193" s="72" t="n"/>
      <c r="S2193" s="72" t="n"/>
    </row>
    <row r="2194">
      <c r="B2194" s="72" t="n"/>
      <c r="C2194" s="72" t="n"/>
      <c r="D2194" s="72" t="n"/>
      <c r="E2194" s="72" t="n"/>
      <c r="F2194" s="72" t="n"/>
      <c r="G2194" s="72" t="n"/>
      <c r="H2194" s="72" t="n"/>
      <c r="I2194" s="72" t="n"/>
      <c r="J2194" s="72" t="n"/>
      <c r="K2194" s="72" t="n"/>
      <c r="L2194" s="72" t="n"/>
      <c r="M2194" s="72" t="n"/>
      <c r="N2194" s="72" t="n"/>
      <c r="O2194" s="72" t="n"/>
      <c r="P2194" s="72" t="n"/>
      <c r="Q2194" s="72" t="n"/>
      <c r="R2194" s="72" t="n"/>
      <c r="S2194" s="72" t="n"/>
    </row>
    <row r="2195">
      <c r="B2195" s="72" t="n"/>
      <c r="C2195" s="72" t="n"/>
      <c r="D2195" s="72" t="n"/>
      <c r="E2195" s="72" t="n"/>
      <c r="F2195" s="72" t="n"/>
      <c r="G2195" s="72" t="n"/>
      <c r="H2195" s="72" t="n"/>
      <c r="I2195" s="72" t="n"/>
      <c r="J2195" s="72" t="n"/>
      <c r="K2195" s="72" t="n"/>
      <c r="L2195" s="72" t="n"/>
      <c r="M2195" s="72" t="n"/>
      <c r="N2195" s="72" t="n"/>
      <c r="O2195" s="72" t="n"/>
      <c r="P2195" s="72" t="n"/>
      <c r="Q2195" s="72" t="n"/>
      <c r="R2195" s="72" t="n"/>
      <c r="S2195" s="72" t="n"/>
    </row>
    <row r="2196">
      <c r="B2196" s="72" t="n"/>
      <c r="C2196" s="72" t="n"/>
      <c r="D2196" s="72" t="n"/>
      <c r="E2196" s="72" t="n"/>
      <c r="F2196" s="72" t="n"/>
      <c r="G2196" s="72" t="n"/>
      <c r="H2196" s="72" t="n"/>
      <c r="I2196" s="72" t="n"/>
      <c r="J2196" s="72" t="n"/>
      <c r="K2196" s="72" t="n"/>
      <c r="L2196" s="72" t="n"/>
      <c r="M2196" s="72" t="n"/>
      <c r="N2196" s="72" t="n"/>
      <c r="O2196" s="72" t="n"/>
      <c r="P2196" s="72" t="n"/>
      <c r="Q2196" s="72" t="n"/>
      <c r="R2196" s="72" t="n"/>
      <c r="S2196" s="72" t="n"/>
    </row>
    <row r="2197">
      <c r="B2197" s="72" t="n"/>
      <c r="C2197" s="72" t="n"/>
      <c r="D2197" s="72" t="n"/>
      <c r="E2197" s="72" t="n"/>
      <c r="F2197" s="72" t="n"/>
      <c r="G2197" s="72" t="n"/>
      <c r="H2197" s="72" t="n"/>
      <c r="I2197" s="72" t="n"/>
      <c r="J2197" s="72" t="n"/>
      <c r="K2197" s="72" t="n"/>
      <c r="L2197" s="72" t="n"/>
      <c r="M2197" s="72" t="n"/>
      <c r="N2197" s="72" t="n"/>
      <c r="O2197" s="72" t="n"/>
      <c r="P2197" s="72" t="n"/>
      <c r="Q2197" s="72" t="n"/>
      <c r="R2197" s="72" t="n"/>
      <c r="S2197" s="72" t="n"/>
    </row>
    <row r="2198">
      <c r="B2198" s="72" t="n"/>
      <c r="C2198" s="72" t="n"/>
      <c r="D2198" s="72" t="n"/>
      <c r="E2198" s="72" t="n"/>
      <c r="F2198" s="72" t="n"/>
      <c r="G2198" s="72" t="n"/>
      <c r="H2198" s="72" t="n"/>
      <c r="I2198" s="72" t="n"/>
      <c r="J2198" s="72" t="n"/>
      <c r="K2198" s="72" t="n"/>
      <c r="L2198" s="72" t="n"/>
      <c r="M2198" s="72" t="n"/>
      <c r="N2198" s="72" t="n"/>
      <c r="O2198" s="72" t="n"/>
      <c r="P2198" s="72" t="n"/>
      <c r="Q2198" s="72" t="n"/>
      <c r="R2198" s="72" t="n"/>
      <c r="S2198" s="72" t="n"/>
    </row>
    <row r="2199">
      <c r="B2199" s="72" t="n"/>
      <c r="C2199" s="72" t="n"/>
      <c r="D2199" s="72" t="n"/>
      <c r="E2199" s="72" t="n"/>
      <c r="F2199" s="72" t="n"/>
      <c r="G2199" s="72" t="n"/>
      <c r="H2199" s="72" t="n"/>
      <c r="I2199" s="72" t="n"/>
      <c r="J2199" s="72" t="n"/>
      <c r="K2199" s="72" t="n"/>
      <c r="L2199" s="72" t="n"/>
      <c r="M2199" s="72" t="n"/>
      <c r="N2199" s="72" t="n"/>
      <c r="O2199" s="72" t="n"/>
      <c r="P2199" s="72" t="n"/>
      <c r="Q2199" s="72" t="n"/>
      <c r="R2199" s="72" t="n"/>
      <c r="S2199" s="72" t="n"/>
    </row>
    <row r="2200">
      <c r="B2200" s="72" t="n"/>
      <c r="C2200" s="72" t="n"/>
      <c r="D2200" s="72" t="n"/>
      <c r="E2200" s="72" t="n"/>
      <c r="F2200" s="72" t="n"/>
      <c r="G2200" s="72" t="n"/>
      <c r="H2200" s="72" t="n"/>
      <c r="I2200" s="72" t="n"/>
      <c r="J2200" s="72" t="n"/>
      <c r="K2200" s="72" t="n"/>
      <c r="L2200" s="72" t="n"/>
      <c r="M2200" s="72" t="n"/>
      <c r="N2200" s="72" t="n"/>
      <c r="O2200" s="72" t="n"/>
      <c r="P2200" s="72" t="n"/>
      <c r="Q2200" s="72" t="n"/>
      <c r="R2200" s="72" t="n"/>
      <c r="S2200" s="72" t="n"/>
    </row>
    <row r="2201">
      <c r="B2201" s="72" t="n"/>
      <c r="C2201" s="72" t="n"/>
      <c r="D2201" s="72" t="n"/>
      <c r="E2201" s="72" t="n"/>
      <c r="F2201" s="72" t="n"/>
      <c r="G2201" s="72" t="n"/>
      <c r="H2201" s="72" t="n"/>
      <c r="I2201" s="72" t="n"/>
      <c r="J2201" s="72" t="n"/>
      <c r="K2201" s="72" t="n"/>
      <c r="L2201" s="72" t="n"/>
      <c r="M2201" s="72" t="n"/>
      <c r="N2201" s="72" t="n"/>
      <c r="O2201" s="72" t="n"/>
      <c r="P2201" s="72" t="n"/>
      <c r="Q2201" s="72" t="n"/>
      <c r="R2201" s="72" t="n"/>
      <c r="S2201" s="72" t="n"/>
    </row>
    <row r="2202">
      <c r="B2202" s="72" t="n"/>
      <c r="C2202" s="72" t="n"/>
      <c r="D2202" s="72" t="n"/>
      <c r="E2202" s="72" t="n"/>
      <c r="F2202" s="72" t="n"/>
      <c r="G2202" s="72" t="n"/>
      <c r="H2202" s="72" t="n"/>
      <c r="I2202" s="72" t="n"/>
      <c r="J2202" s="72" t="n"/>
      <c r="K2202" s="72" t="n"/>
      <c r="L2202" s="72" t="n"/>
      <c r="M2202" s="72" t="n"/>
      <c r="N2202" s="72" t="n"/>
      <c r="O2202" s="72" t="n"/>
      <c r="P2202" s="72" t="n"/>
      <c r="Q2202" s="72" t="n"/>
      <c r="R2202" s="72" t="n"/>
      <c r="S2202" s="72" t="n"/>
    </row>
    <row r="2203">
      <c r="B2203" s="72" t="n"/>
      <c r="C2203" s="72" t="n"/>
      <c r="D2203" s="72" t="n"/>
      <c r="E2203" s="72" t="n"/>
      <c r="F2203" s="72" t="n"/>
      <c r="G2203" s="72" t="n"/>
      <c r="H2203" s="72" t="n"/>
      <c r="I2203" s="72" t="n"/>
      <c r="J2203" s="72" t="n"/>
      <c r="K2203" s="72" t="n"/>
      <c r="L2203" s="72" t="n"/>
      <c r="M2203" s="72" t="n"/>
      <c r="N2203" s="72" t="n"/>
      <c r="O2203" s="72" t="n"/>
      <c r="P2203" s="72" t="n"/>
      <c r="Q2203" s="72" t="n"/>
      <c r="R2203" s="72" t="n"/>
      <c r="S2203" s="72" t="n"/>
    </row>
    <row r="2204">
      <c r="B2204" s="72" t="n"/>
      <c r="C2204" s="72" t="n"/>
      <c r="D2204" s="72" t="n"/>
      <c r="E2204" s="72" t="n"/>
      <c r="F2204" s="72" t="n"/>
      <c r="G2204" s="72" t="n"/>
      <c r="H2204" s="72" t="n"/>
      <c r="I2204" s="72" t="n"/>
      <c r="J2204" s="72" t="n"/>
      <c r="K2204" s="72" t="n"/>
      <c r="L2204" s="72" t="n"/>
      <c r="M2204" s="72" t="n"/>
      <c r="N2204" s="72" t="n"/>
      <c r="O2204" s="72" t="n"/>
      <c r="P2204" s="72" t="n"/>
      <c r="Q2204" s="72" t="n"/>
      <c r="R2204" s="72" t="n"/>
      <c r="S2204" s="72" t="n"/>
    </row>
    <row r="2205">
      <c r="B2205" s="72" t="n"/>
      <c r="C2205" s="72" t="n"/>
      <c r="D2205" s="72" t="n"/>
      <c r="E2205" s="72" t="n"/>
      <c r="F2205" s="72" t="n"/>
      <c r="G2205" s="72" t="n"/>
      <c r="H2205" s="72" t="n"/>
      <c r="I2205" s="72" t="n"/>
      <c r="J2205" s="72" t="n"/>
      <c r="K2205" s="72" t="n"/>
      <c r="L2205" s="72" t="n"/>
      <c r="M2205" s="72" t="n"/>
      <c r="N2205" s="72" t="n"/>
      <c r="O2205" s="72" t="n"/>
      <c r="P2205" s="72" t="n"/>
      <c r="Q2205" s="72" t="n"/>
      <c r="R2205" s="72" t="n"/>
      <c r="S2205" s="72" t="n"/>
    </row>
    <row r="2206">
      <c r="B2206" s="72" t="n"/>
      <c r="C2206" s="72" t="n"/>
      <c r="D2206" s="72" t="n"/>
      <c r="E2206" s="72" t="n"/>
      <c r="F2206" s="72" t="n"/>
      <c r="G2206" s="72" t="n"/>
      <c r="H2206" s="72" t="n"/>
      <c r="I2206" s="72" t="n"/>
      <c r="J2206" s="72" t="n"/>
      <c r="K2206" s="72" t="n"/>
      <c r="L2206" s="72" t="n"/>
      <c r="M2206" s="72" t="n"/>
      <c r="N2206" s="72" t="n"/>
      <c r="O2206" s="72" t="n"/>
      <c r="P2206" s="72" t="n"/>
      <c r="Q2206" s="72" t="n"/>
      <c r="R2206" s="72" t="n"/>
      <c r="S2206" s="72" t="n"/>
    </row>
    <row r="2207">
      <c r="B2207" s="72" t="n"/>
      <c r="C2207" s="72" t="n"/>
      <c r="D2207" s="72" t="n"/>
      <c r="E2207" s="72" t="n"/>
      <c r="F2207" s="72" t="n"/>
      <c r="G2207" s="72" t="n"/>
      <c r="H2207" s="72" t="n"/>
      <c r="I2207" s="72" t="n"/>
      <c r="J2207" s="72" t="n"/>
      <c r="K2207" s="72" t="n"/>
      <c r="L2207" s="72" t="n"/>
      <c r="M2207" s="72" t="n"/>
      <c r="N2207" s="72" t="n"/>
      <c r="O2207" s="72" t="n"/>
      <c r="P2207" s="72" t="n"/>
      <c r="Q2207" s="72" t="n"/>
      <c r="R2207" s="72" t="n"/>
      <c r="S2207" s="72" t="n"/>
    </row>
    <row r="2208">
      <c r="B2208" s="72" t="n"/>
      <c r="C2208" s="72" t="n"/>
      <c r="D2208" s="72" t="n"/>
      <c r="E2208" s="72" t="n"/>
      <c r="F2208" s="72" t="n"/>
      <c r="G2208" s="72" t="n"/>
      <c r="H2208" s="72" t="n"/>
      <c r="I2208" s="72" t="n"/>
      <c r="J2208" s="72" t="n"/>
      <c r="K2208" s="72" t="n"/>
      <c r="L2208" s="72" t="n"/>
      <c r="M2208" s="72" t="n"/>
      <c r="N2208" s="72" t="n"/>
      <c r="O2208" s="72" t="n"/>
      <c r="P2208" s="72" t="n"/>
      <c r="Q2208" s="72" t="n"/>
      <c r="R2208" s="72" t="n"/>
      <c r="S2208" s="72" t="n"/>
    </row>
    <row r="2209">
      <c r="B2209" s="72" t="n"/>
      <c r="C2209" s="72" t="n"/>
      <c r="D2209" s="72" t="n"/>
      <c r="E2209" s="72" t="n"/>
      <c r="F2209" s="72" t="n"/>
      <c r="G2209" s="72" t="n"/>
      <c r="H2209" s="72" t="n"/>
      <c r="I2209" s="72" t="n"/>
      <c r="J2209" s="72" t="n"/>
      <c r="K2209" s="72" t="n"/>
      <c r="L2209" s="72" t="n"/>
      <c r="M2209" s="72" t="n"/>
      <c r="N2209" s="72" t="n"/>
      <c r="O2209" s="72" t="n"/>
      <c r="P2209" s="72" t="n"/>
      <c r="Q2209" s="72" t="n"/>
      <c r="R2209" s="72" t="n"/>
      <c r="S2209" s="72" t="n"/>
    </row>
    <row r="2210">
      <c r="B2210" s="72" t="n"/>
      <c r="C2210" s="72" t="n"/>
      <c r="D2210" s="72" t="n"/>
      <c r="E2210" s="72" t="n"/>
      <c r="F2210" s="72" t="n"/>
      <c r="G2210" s="72" t="n"/>
      <c r="H2210" s="72" t="n"/>
      <c r="I2210" s="72" t="n"/>
      <c r="J2210" s="72" t="n"/>
      <c r="K2210" s="72" t="n"/>
      <c r="L2210" s="72" t="n"/>
      <c r="M2210" s="72" t="n"/>
      <c r="N2210" s="72" t="n"/>
      <c r="O2210" s="72" t="n"/>
      <c r="P2210" s="72" t="n"/>
      <c r="Q2210" s="72" t="n"/>
      <c r="R2210" s="72" t="n"/>
      <c r="S2210" s="72" t="n"/>
    </row>
    <row r="2211">
      <c r="B2211" s="72" t="n"/>
      <c r="C2211" s="72" t="n"/>
      <c r="D2211" s="72" t="n"/>
      <c r="E2211" s="72" t="n"/>
      <c r="F2211" s="72" t="n"/>
      <c r="G2211" s="72" t="n"/>
      <c r="H2211" s="72" t="n"/>
      <c r="I2211" s="72" t="n"/>
      <c r="J2211" s="72" t="n"/>
      <c r="K2211" s="72" t="n"/>
      <c r="L2211" s="72" t="n"/>
      <c r="M2211" s="72" t="n"/>
      <c r="N2211" s="72" t="n"/>
      <c r="O2211" s="72" t="n"/>
      <c r="P2211" s="72" t="n"/>
      <c r="Q2211" s="72" t="n"/>
      <c r="R2211" s="72" t="n"/>
      <c r="S2211" s="72" t="n"/>
    </row>
    <row r="2212">
      <c r="B2212" s="72" t="n"/>
      <c r="C2212" s="72" t="n"/>
      <c r="D2212" s="72" t="n"/>
      <c r="E2212" s="72" t="n"/>
      <c r="F2212" s="72" t="n"/>
      <c r="G2212" s="72" t="n"/>
      <c r="H2212" s="72" t="n"/>
      <c r="I2212" s="72" t="n"/>
      <c r="J2212" s="72" t="n"/>
      <c r="K2212" s="72" t="n"/>
      <c r="L2212" s="72" t="n"/>
      <c r="M2212" s="72" t="n"/>
      <c r="N2212" s="72" t="n"/>
      <c r="O2212" s="72" t="n"/>
      <c r="P2212" s="72" t="n"/>
      <c r="Q2212" s="72" t="n"/>
      <c r="R2212" s="72" t="n"/>
      <c r="S2212" s="72" t="n"/>
    </row>
    <row r="2213">
      <c r="B2213" s="72" t="n"/>
      <c r="C2213" s="72" t="n"/>
      <c r="D2213" s="72" t="n"/>
      <c r="E2213" s="72" t="n"/>
      <c r="F2213" s="72" t="n"/>
      <c r="G2213" s="72" t="n"/>
      <c r="H2213" s="72" t="n"/>
      <c r="I2213" s="72" t="n"/>
      <c r="J2213" s="72" t="n"/>
      <c r="K2213" s="72" t="n"/>
      <c r="L2213" s="72" t="n"/>
      <c r="M2213" s="72" t="n"/>
      <c r="N2213" s="72" t="n"/>
      <c r="O2213" s="72" t="n"/>
      <c r="P2213" s="72" t="n"/>
      <c r="Q2213" s="72" t="n"/>
      <c r="R2213" s="72" t="n"/>
      <c r="S2213" s="72" t="n"/>
    </row>
    <row r="2214">
      <c r="B2214" s="72" t="n"/>
      <c r="C2214" s="72" t="n"/>
      <c r="D2214" s="72" t="n"/>
      <c r="E2214" s="72" t="n"/>
      <c r="F2214" s="72" t="n"/>
      <c r="G2214" s="72" t="n"/>
      <c r="H2214" s="72" t="n"/>
      <c r="I2214" s="72" t="n"/>
      <c r="J2214" s="72" t="n"/>
      <c r="K2214" s="72" t="n"/>
      <c r="L2214" s="72" t="n"/>
      <c r="M2214" s="72" t="n"/>
      <c r="N2214" s="72" t="n"/>
      <c r="O2214" s="72" t="n"/>
      <c r="P2214" s="72" t="n"/>
      <c r="Q2214" s="72" t="n"/>
      <c r="R2214" s="72" t="n"/>
      <c r="S2214" s="72" t="n"/>
    </row>
    <row r="2215">
      <c r="B2215" s="72" t="n"/>
      <c r="C2215" s="72" t="n"/>
      <c r="D2215" s="72" t="n"/>
      <c r="E2215" s="72" t="n"/>
      <c r="F2215" s="72" t="n"/>
      <c r="G2215" s="72" t="n"/>
      <c r="H2215" s="72" t="n"/>
      <c r="I2215" s="72" t="n"/>
      <c r="J2215" s="72" t="n"/>
      <c r="K2215" s="72" t="n"/>
      <c r="L2215" s="72" t="n"/>
      <c r="M2215" s="72" t="n"/>
      <c r="N2215" s="72" t="n"/>
      <c r="O2215" s="72" t="n"/>
      <c r="P2215" s="72" t="n"/>
      <c r="Q2215" s="72" t="n"/>
      <c r="R2215" s="72" t="n"/>
      <c r="S2215" s="72" t="n"/>
    </row>
    <row r="2216">
      <c r="B2216" s="72" t="n"/>
      <c r="C2216" s="72" t="n"/>
      <c r="D2216" s="72" t="n"/>
      <c r="E2216" s="72" t="n"/>
      <c r="F2216" s="72" t="n"/>
      <c r="G2216" s="72" t="n"/>
      <c r="H2216" s="72" t="n"/>
      <c r="I2216" s="72" t="n"/>
      <c r="J2216" s="72" t="n"/>
      <c r="K2216" s="72" t="n"/>
      <c r="L2216" s="72" t="n"/>
      <c r="M2216" s="72" t="n"/>
      <c r="N2216" s="72" t="n"/>
      <c r="O2216" s="72" t="n"/>
      <c r="P2216" s="72" t="n"/>
      <c r="Q2216" s="72" t="n"/>
      <c r="R2216" s="72" t="n"/>
      <c r="S2216" s="72" t="n"/>
    </row>
    <row r="2217">
      <c r="B2217" s="72" t="n"/>
      <c r="C2217" s="72" t="n"/>
      <c r="D2217" s="72" t="n"/>
      <c r="E2217" s="72" t="n"/>
      <c r="F2217" s="72" t="n"/>
      <c r="G2217" s="72" t="n"/>
      <c r="H2217" s="72" t="n"/>
      <c r="I2217" s="72" t="n"/>
      <c r="J2217" s="72" t="n"/>
      <c r="K2217" s="72" t="n"/>
      <c r="L2217" s="72" t="n"/>
      <c r="M2217" s="72" t="n"/>
      <c r="N2217" s="72" t="n"/>
      <c r="O2217" s="72" t="n"/>
      <c r="P2217" s="72" t="n"/>
      <c r="Q2217" s="72" t="n"/>
      <c r="R2217" s="72" t="n"/>
      <c r="S2217" s="72" t="n"/>
    </row>
    <row r="2218">
      <c r="B2218" s="72" t="n"/>
      <c r="C2218" s="72" t="n"/>
      <c r="D2218" s="72" t="n"/>
      <c r="E2218" s="72" t="n"/>
      <c r="F2218" s="72" t="n"/>
      <c r="G2218" s="72" t="n"/>
      <c r="H2218" s="72" t="n"/>
      <c r="I2218" s="72" t="n"/>
      <c r="J2218" s="72" t="n"/>
      <c r="K2218" s="72" t="n"/>
      <c r="L2218" s="72" t="n"/>
      <c r="M2218" s="72" t="n"/>
      <c r="N2218" s="72" t="n"/>
      <c r="O2218" s="72" t="n"/>
      <c r="P2218" s="72" t="n"/>
      <c r="Q2218" s="72" t="n"/>
      <c r="R2218" s="72" t="n"/>
      <c r="S2218" s="72" t="n"/>
    </row>
    <row r="2219">
      <c r="B2219" s="72" t="n"/>
      <c r="C2219" s="72" t="n"/>
      <c r="D2219" s="72" t="n"/>
      <c r="E2219" s="72" t="n"/>
      <c r="F2219" s="72" t="n"/>
      <c r="G2219" s="72" t="n"/>
      <c r="H2219" s="72" t="n"/>
      <c r="I2219" s="72" t="n"/>
      <c r="J2219" s="72" t="n"/>
      <c r="K2219" s="72" t="n"/>
      <c r="L2219" s="72" t="n"/>
      <c r="M2219" s="72" t="n"/>
      <c r="N2219" s="72" t="n"/>
      <c r="O2219" s="72" t="n"/>
      <c r="P2219" s="72" t="n"/>
      <c r="Q2219" s="72" t="n"/>
      <c r="R2219" s="72" t="n"/>
      <c r="S2219" s="72" t="n"/>
    </row>
    <row r="2220">
      <c r="B2220" s="72" t="n"/>
      <c r="C2220" s="72" t="n"/>
      <c r="D2220" s="72" t="n"/>
      <c r="E2220" s="72" t="n"/>
      <c r="F2220" s="72" t="n"/>
      <c r="G2220" s="72" t="n"/>
      <c r="H2220" s="72" t="n"/>
      <c r="I2220" s="72" t="n"/>
      <c r="J2220" s="72" t="n"/>
      <c r="K2220" s="72" t="n"/>
      <c r="L2220" s="72" t="n"/>
      <c r="M2220" s="72" t="n"/>
      <c r="N2220" s="72" t="n"/>
      <c r="O2220" s="72" t="n"/>
      <c r="P2220" s="72" t="n"/>
      <c r="Q2220" s="72" t="n"/>
      <c r="R2220" s="72" t="n"/>
      <c r="S2220" s="72" t="n"/>
    </row>
    <row r="2221">
      <c r="B2221" s="72" t="n"/>
      <c r="C2221" s="72" t="n"/>
      <c r="D2221" s="72" t="n"/>
      <c r="E2221" s="72" t="n"/>
      <c r="F2221" s="72" t="n"/>
      <c r="G2221" s="72" t="n"/>
      <c r="H2221" s="72" t="n"/>
      <c r="I2221" s="72" t="n"/>
      <c r="J2221" s="72" t="n"/>
      <c r="K2221" s="72" t="n"/>
      <c r="L2221" s="72" t="n"/>
      <c r="M2221" s="72" t="n"/>
      <c r="N2221" s="72" t="n"/>
      <c r="O2221" s="72" t="n"/>
      <c r="P2221" s="72" t="n"/>
      <c r="Q2221" s="72" t="n"/>
      <c r="R2221" s="72" t="n"/>
      <c r="S2221" s="72" t="n"/>
    </row>
    <row r="2222">
      <c r="B2222" s="72" t="n"/>
      <c r="C2222" s="72" t="n"/>
      <c r="D2222" s="72" t="n"/>
      <c r="E2222" s="72" t="n"/>
      <c r="F2222" s="72" t="n"/>
      <c r="G2222" s="72" t="n"/>
      <c r="H2222" s="72" t="n"/>
      <c r="I2222" s="72" t="n"/>
      <c r="J2222" s="72" t="n"/>
      <c r="K2222" s="72" t="n"/>
      <c r="L2222" s="72" t="n"/>
      <c r="M2222" s="72" t="n"/>
      <c r="N2222" s="72" t="n"/>
      <c r="O2222" s="72" t="n"/>
      <c r="P2222" s="72" t="n"/>
      <c r="Q2222" s="72" t="n"/>
      <c r="R2222" s="72" t="n"/>
      <c r="S2222" s="72" t="n"/>
    </row>
    <row r="2223">
      <c r="B2223" s="72" t="n"/>
      <c r="C2223" s="72" t="n"/>
      <c r="D2223" s="72" t="n"/>
      <c r="E2223" s="72" t="n"/>
      <c r="F2223" s="72" t="n"/>
      <c r="G2223" s="72" t="n"/>
      <c r="H2223" s="72" t="n"/>
      <c r="I2223" s="72" t="n"/>
      <c r="J2223" s="72" t="n"/>
      <c r="K2223" s="72" t="n"/>
      <c r="L2223" s="72" t="n"/>
      <c r="M2223" s="72" t="n"/>
      <c r="N2223" s="72" t="n"/>
      <c r="O2223" s="72" t="n"/>
      <c r="P2223" s="72" t="n"/>
      <c r="Q2223" s="72" t="n"/>
      <c r="R2223" s="72" t="n"/>
      <c r="S2223" s="72" t="n"/>
    </row>
    <row r="2224">
      <c r="B2224" s="72" t="n"/>
      <c r="C2224" s="72" t="n"/>
      <c r="D2224" s="72" t="n"/>
      <c r="E2224" s="72" t="n"/>
      <c r="F2224" s="72" t="n"/>
      <c r="G2224" s="72" t="n"/>
      <c r="H2224" s="72" t="n"/>
      <c r="I2224" s="72" t="n"/>
      <c r="J2224" s="72" t="n"/>
      <c r="K2224" s="72" t="n"/>
      <c r="L2224" s="72" t="n"/>
      <c r="M2224" s="72" t="n"/>
      <c r="N2224" s="72" t="n"/>
      <c r="O2224" s="72" t="n"/>
      <c r="P2224" s="72" t="n"/>
      <c r="Q2224" s="72" t="n"/>
      <c r="R2224" s="72" t="n"/>
      <c r="S2224" s="72" t="n"/>
    </row>
    <row r="2225">
      <c r="B2225" s="72" t="n"/>
      <c r="C2225" s="72" t="n"/>
      <c r="D2225" s="72" t="n"/>
      <c r="E2225" s="72" t="n"/>
      <c r="F2225" s="72" t="n"/>
      <c r="G2225" s="72" t="n"/>
      <c r="H2225" s="72" t="n"/>
      <c r="I2225" s="72" t="n"/>
      <c r="J2225" s="72" t="n"/>
      <c r="K2225" s="72" t="n"/>
      <c r="L2225" s="72" t="n"/>
      <c r="M2225" s="72" t="n"/>
      <c r="N2225" s="72" t="n"/>
      <c r="O2225" s="72" t="n"/>
      <c r="P2225" s="72" t="n"/>
      <c r="Q2225" s="72" t="n"/>
      <c r="R2225" s="72" t="n"/>
      <c r="S2225" s="72" t="n"/>
    </row>
    <row r="2226">
      <c r="B2226" s="72" t="n"/>
      <c r="C2226" s="72" t="n"/>
      <c r="D2226" s="72" t="n"/>
      <c r="E2226" s="72" t="n"/>
      <c r="F2226" s="72" t="n"/>
      <c r="G2226" s="72" t="n"/>
      <c r="H2226" s="72" t="n"/>
      <c r="I2226" s="72" t="n"/>
      <c r="J2226" s="72" t="n"/>
      <c r="K2226" s="72" t="n"/>
      <c r="L2226" s="72" t="n"/>
      <c r="M2226" s="72" t="n"/>
      <c r="N2226" s="72" t="n"/>
      <c r="O2226" s="72" t="n"/>
      <c r="P2226" s="72" t="n"/>
      <c r="Q2226" s="72" t="n"/>
      <c r="R2226" s="72" t="n"/>
      <c r="S2226" s="72" t="n"/>
    </row>
    <row r="2227">
      <c r="B2227" s="72" t="n"/>
      <c r="C2227" s="72" t="n"/>
      <c r="D2227" s="72" t="n"/>
      <c r="E2227" s="72" t="n"/>
      <c r="F2227" s="72" t="n"/>
      <c r="G2227" s="72" t="n"/>
      <c r="H2227" s="72" t="n"/>
      <c r="I2227" s="72" t="n"/>
      <c r="J2227" s="72" t="n"/>
      <c r="K2227" s="72" t="n"/>
      <c r="L2227" s="72" t="n"/>
      <c r="M2227" s="72" t="n"/>
      <c r="N2227" s="72" t="n"/>
      <c r="O2227" s="72" t="n"/>
      <c r="P2227" s="72" t="n"/>
      <c r="Q2227" s="72" t="n"/>
      <c r="R2227" s="72" t="n"/>
      <c r="S2227" s="72" t="n"/>
    </row>
    <row r="2228">
      <c r="B2228" s="72" t="n"/>
      <c r="C2228" s="72" t="n"/>
      <c r="D2228" s="72" t="n"/>
      <c r="E2228" s="72" t="n"/>
      <c r="F2228" s="72" t="n"/>
      <c r="G2228" s="72" t="n"/>
      <c r="H2228" s="72" t="n"/>
      <c r="I2228" s="72" t="n"/>
      <c r="J2228" s="72" t="n"/>
      <c r="K2228" s="72" t="n"/>
      <c r="L2228" s="72" t="n"/>
      <c r="M2228" s="72" t="n"/>
      <c r="N2228" s="72" t="n"/>
      <c r="O2228" s="72" t="n"/>
      <c r="P2228" s="72" t="n"/>
      <c r="Q2228" s="72" t="n"/>
      <c r="R2228" s="72" t="n"/>
      <c r="S2228" s="72" t="n"/>
    </row>
    <row r="2229">
      <c r="B2229" s="72" t="n"/>
      <c r="C2229" s="72" t="n"/>
      <c r="D2229" s="72" t="n"/>
      <c r="E2229" s="72" t="n"/>
      <c r="F2229" s="72" t="n"/>
      <c r="G2229" s="72" t="n"/>
      <c r="H2229" s="72" t="n"/>
      <c r="I2229" s="72" t="n"/>
      <c r="J2229" s="72" t="n"/>
      <c r="K2229" s="72" t="n"/>
      <c r="L2229" s="72" t="n"/>
      <c r="M2229" s="72" t="n"/>
      <c r="N2229" s="72" t="n"/>
      <c r="O2229" s="72" t="n"/>
      <c r="P2229" s="72" t="n"/>
      <c r="Q2229" s="72" t="n"/>
      <c r="R2229" s="72" t="n"/>
      <c r="S2229" s="72" t="n"/>
    </row>
    <row r="2230">
      <c r="B2230" s="72" t="n"/>
      <c r="C2230" s="72" t="n"/>
      <c r="D2230" s="72" t="n"/>
      <c r="E2230" s="72" t="n"/>
      <c r="F2230" s="72" t="n"/>
      <c r="G2230" s="72" t="n"/>
      <c r="H2230" s="72" t="n"/>
      <c r="I2230" s="72" t="n"/>
      <c r="J2230" s="72" t="n"/>
      <c r="K2230" s="72" t="n"/>
      <c r="L2230" s="72" t="n"/>
      <c r="M2230" s="72" t="n"/>
      <c r="N2230" s="72" t="n"/>
      <c r="O2230" s="72" t="n"/>
      <c r="P2230" s="72" t="n"/>
      <c r="Q2230" s="72" t="n"/>
      <c r="R2230" s="72" t="n"/>
      <c r="S2230" s="72" t="n"/>
    </row>
    <row r="2231">
      <c r="B2231" s="72" t="n"/>
      <c r="C2231" s="72" t="n"/>
      <c r="D2231" s="72" t="n"/>
      <c r="E2231" s="72" t="n"/>
      <c r="F2231" s="72" t="n"/>
      <c r="G2231" s="72" t="n"/>
      <c r="H2231" s="72" t="n"/>
      <c r="I2231" s="72" t="n"/>
      <c r="J2231" s="72" t="n"/>
      <c r="K2231" s="72" t="n"/>
      <c r="L2231" s="72" t="n"/>
      <c r="M2231" s="72" t="n"/>
      <c r="N2231" s="72" t="n"/>
      <c r="O2231" s="72" t="n"/>
      <c r="P2231" s="72" t="n"/>
      <c r="Q2231" s="72" t="n"/>
      <c r="R2231" s="72" t="n"/>
      <c r="S2231" s="72" t="n"/>
    </row>
    <row r="2232">
      <c r="B2232" s="72" t="n"/>
      <c r="C2232" s="72" t="n"/>
      <c r="D2232" s="72" t="n"/>
      <c r="E2232" s="72" t="n"/>
      <c r="F2232" s="72" t="n"/>
      <c r="G2232" s="72" t="n"/>
      <c r="H2232" s="72" t="n"/>
      <c r="I2232" s="72" t="n"/>
      <c r="J2232" s="72" t="n"/>
      <c r="K2232" s="72" t="n"/>
      <c r="L2232" s="72" t="n"/>
      <c r="M2232" s="72" t="n"/>
      <c r="N2232" s="72" t="n"/>
      <c r="O2232" s="72" t="n"/>
      <c r="P2232" s="72" t="n"/>
      <c r="Q2232" s="72" t="n"/>
      <c r="R2232" s="72" t="n"/>
      <c r="S2232" s="72" t="n"/>
    </row>
    <row r="2233">
      <c r="B2233" s="72" t="n"/>
      <c r="C2233" s="72" t="n"/>
      <c r="D2233" s="72" t="n"/>
      <c r="E2233" s="72" t="n"/>
      <c r="F2233" s="72" t="n"/>
      <c r="G2233" s="72" t="n"/>
      <c r="H2233" s="72" t="n"/>
      <c r="I2233" s="72" t="n"/>
      <c r="J2233" s="72" t="n"/>
      <c r="K2233" s="72" t="n"/>
      <c r="L2233" s="72" t="n"/>
      <c r="M2233" s="72" t="n"/>
      <c r="N2233" s="72" t="n"/>
      <c r="O2233" s="72" t="n"/>
      <c r="P2233" s="72" t="n"/>
      <c r="Q2233" s="72" t="n"/>
      <c r="R2233" s="72" t="n"/>
      <c r="S2233" s="72" t="n"/>
    </row>
    <row r="2234">
      <c r="B2234" s="72" t="n"/>
      <c r="C2234" s="72" t="n"/>
      <c r="D2234" s="72" t="n"/>
      <c r="E2234" s="72" t="n"/>
      <c r="F2234" s="72" t="n"/>
      <c r="G2234" s="72" t="n"/>
      <c r="H2234" s="72" t="n"/>
      <c r="I2234" s="72" t="n"/>
      <c r="J2234" s="72" t="n"/>
      <c r="K2234" s="72" t="n"/>
      <c r="L2234" s="72" t="n"/>
      <c r="M2234" s="72" t="n"/>
      <c r="N2234" s="72" t="n"/>
      <c r="O2234" s="72" t="n"/>
      <c r="P2234" s="72" t="n"/>
      <c r="Q2234" s="72" t="n"/>
      <c r="R2234" s="72" t="n"/>
      <c r="S2234" s="72" t="n"/>
    </row>
    <row r="2235">
      <c r="B2235" s="72" t="n"/>
      <c r="C2235" s="72" t="n"/>
      <c r="D2235" s="72" t="n"/>
      <c r="E2235" s="72" t="n"/>
      <c r="F2235" s="72" t="n"/>
      <c r="G2235" s="72" t="n"/>
      <c r="H2235" s="72" t="n"/>
      <c r="I2235" s="72" t="n"/>
      <c r="J2235" s="72" t="n"/>
      <c r="K2235" s="72" t="n"/>
      <c r="L2235" s="72" t="n"/>
      <c r="M2235" s="72" t="n"/>
      <c r="N2235" s="72" t="n"/>
      <c r="O2235" s="72" t="n"/>
      <c r="P2235" s="72" t="n"/>
      <c r="Q2235" s="72" t="n"/>
      <c r="R2235" s="72" t="n"/>
      <c r="S2235" s="72" t="n"/>
    </row>
    <row r="2236">
      <c r="B2236" s="72" t="n"/>
      <c r="C2236" s="72" t="n"/>
      <c r="D2236" s="72" t="n"/>
      <c r="E2236" s="72" t="n"/>
      <c r="F2236" s="72" t="n"/>
      <c r="G2236" s="72" t="n"/>
      <c r="H2236" s="72" t="n"/>
      <c r="I2236" s="72" t="n"/>
      <c r="J2236" s="72" t="n"/>
      <c r="K2236" s="72" t="n"/>
      <c r="L2236" s="72" t="n"/>
      <c r="M2236" s="72" t="n"/>
      <c r="N2236" s="72" t="n"/>
      <c r="O2236" s="72" t="n"/>
      <c r="P2236" s="72" t="n"/>
      <c r="Q2236" s="72" t="n"/>
      <c r="R2236" s="72" t="n"/>
      <c r="S2236" s="72" t="n"/>
    </row>
    <row r="2237">
      <c r="B2237" s="72" t="n"/>
      <c r="C2237" s="72" t="n"/>
      <c r="D2237" s="72" t="n"/>
      <c r="E2237" s="72" t="n"/>
      <c r="F2237" s="72" t="n"/>
      <c r="G2237" s="72" t="n"/>
      <c r="H2237" s="72" t="n"/>
      <c r="I2237" s="72" t="n"/>
      <c r="J2237" s="72" t="n"/>
      <c r="K2237" s="72" t="n"/>
      <c r="L2237" s="72" t="n"/>
      <c r="M2237" s="72" t="n"/>
      <c r="N2237" s="72" t="n"/>
      <c r="O2237" s="72" t="n"/>
      <c r="P2237" s="72" t="n"/>
      <c r="Q2237" s="72" t="n"/>
      <c r="R2237" s="72" t="n"/>
      <c r="S2237" s="72" t="n"/>
    </row>
    <row r="2238">
      <c r="B2238" s="72" t="n"/>
      <c r="C2238" s="72" t="n"/>
      <c r="D2238" s="72" t="n"/>
      <c r="E2238" s="72" t="n"/>
      <c r="F2238" s="72" t="n"/>
      <c r="G2238" s="72" t="n"/>
      <c r="H2238" s="72" t="n"/>
      <c r="I2238" s="72" t="n"/>
      <c r="J2238" s="72" t="n"/>
      <c r="K2238" s="72" t="n"/>
      <c r="L2238" s="72" t="n"/>
      <c r="M2238" s="72" t="n"/>
      <c r="N2238" s="72" t="n"/>
      <c r="O2238" s="72" t="n"/>
      <c r="P2238" s="72" t="n"/>
      <c r="Q2238" s="72" t="n"/>
      <c r="R2238" s="72" t="n"/>
      <c r="S2238" s="72" t="n"/>
    </row>
    <row r="2239">
      <c r="B2239" s="72" t="n"/>
      <c r="C2239" s="72" t="n"/>
      <c r="D2239" s="72" t="n"/>
      <c r="E2239" s="72" t="n"/>
      <c r="F2239" s="72" t="n"/>
      <c r="G2239" s="72" t="n"/>
      <c r="H2239" s="72" t="n"/>
      <c r="I2239" s="72" t="n"/>
      <c r="J2239" s="72" t="n"/>
      <c r="K2239" s="72" t="n"/>
      <c r="L2239" s="72" t="n"/>
      <c r="M2239" s="72" t="n"/>
      <c r="N2239" s="72" t="n"/>
      <c r="O2239" s="72" t="n"/>
      <c r="P2239" s="72" t="n"/>
      <c r="Q2239" s="72" t="n"/>
      <c r="R2239" s="72" t="n"/>
      <c r="S2239" s="72" t="n"/>
    </row>
    <row r="2240">
      <c r="B2240" s="72" t="n"/>
      <c r="C2240" s="72" t="n"/>
      <c r="D2240" s="72" t="n"/>
      <c r="E2240" s="72" t="n"/>
      <c r="F2240" s="72" t="n"/>
      <c r="G2240" s="72" t="n"/>
      <c r="H2240" s="72" t="n"/>
      <c r="I2240" s="72" t="n"/>
      <c r="J2240" s="72" t="n"/>
      <c r="K2240" s="72" t="n"/>
      <c r="L2240" s="72" t="n"/>
      <c r="M2240" s="72" t="n"/>
      <c r="N2240" s="72" t="n"/>
      <c r="O2240" s="72" t="n"/>
      <c r="P2240" s="72" t="n"/>
      <c r="Q2240" s="72" t="n"/>
      <c r="R2240" s="72" t="n"/>
      <c r="S2240" s="72" t="n"/>
    </row>
    <row r="2241">
      <c r="B2241" s="72" t="n"/>
      <c r="C2241" s="72" t="n"/>
      <c r="D2241" s="72" t="n"/>
      <c r="E2241" s="72" t="n"/>
      <c r="F2241" s="72" t="n"/>
      <c r="G2241" s="72" t="n"/>
      <c r="H2241" s="72" t="n"/>
      <c r="I2241" s="72" t="n"/>
      <c r="J2241" s="72" t="n"/>
      <c r="K2241" s="72" t="n"/>
      <c r="L2241" s="72" t="n"/>
      <c r="M2241" s="72" t="n"/>
      <c r="N2241" s="72" t="n"/>
      <c r="O2241" s="72" t="n"/>
      <c r="P2241" s="72" t="n"/>
      <c r="Q2241" s="72" t="n"/>
      <c r="R2241" s="72" t="n"/>
      <c r="S2241" s="72" t="n"/>
    </row>
    <row r="2242">
      <c r="B2242" s="72" t="n"/>
      <c r="C2242" s="72" t="n"/>
      <c r="D2242" s="72" t="n"/>
      <c r="E2242" s="72" t="n"/>
      <c r="F2242" s="72" t="n"/>
      <c r="G2242" s="72" t="n"/>
      <c r="H2242" s="72" t="n"/>
      <c r="I2242" s="72" t="n"/>
      <c r="J2242" s="72" t="n"/>
      <c r="K2242" s="72" t="n"/>
      <c r="L2242" s="72" t="n"/>
      <c r="M2242" s="72" t="n"/>
      <c r="N2242" s="72" t="n"/>
      <c r="O2242" s="72" t="n"/>
      <c r="P2242" s="72" t="n"/>
      <c r="Q2242" s="72" t="n"/>
      <c r="R2242" s="72" t="n"/>
      <c r="S2242" s="72" t="n"/>
    </row>
    <row r="2243">
      <c r="B2243" s="72" t="n"/>
      <c r="C2243" s="72" t="n"/>
      <c r="D2243" s="72" t="n"/>
      <c r="E2243" s="72" t="n"/>
      <c r="F2243" s="72" t="n"/>
      <c r="G2243" s="72" t="n"/>
      <c r="H2243" s="72" t="n"/>
      <c r="I2243" s="72" t="n"/>
      <c r="J2243" s="72" t="n"/>
      <c r="K2243" s="72" t="n"/>
      <c r="L2243" s="72" t="n"/>
      <c r="M2243" s="72" t="n"/>
      <c r="N2243" s="72" t="n"/>
      <c r="O2243" s="72" t="n"/>
      <c r="P2243" s="72" t="n"/>
      <c r="Q2243" s="72" t="n"/>
      <c r="R2243" s="72" t="n"/>
      <c r="S2243" s="72" t="n"/>
    </row>
    <row r="2244">
      <c r="B2244" s="72" t="n"/>
      <c r="C2244" s="72" t="n"/>
      <c r="D2244" s="72" t="n"/>
      <c r="E2244" s="72" t="n"/>
      <c r="F2244" s="72" t="n"/>
      <c r="G2244" s="72" t="n"/>
      <c r="H2244" s="72" t="n"/>
      <c r="I2244" s="72" t="n"/>
      <c r="J2244" s="72" t="n"/>
      <c r="K2244" s="72" t="n"/>
      <c r="L2244" s="72" t="n"/>
      <c r="M2244" s="72" t="n"/>
      <c r="N2244" s="72" t="n"/>
      <c r="O2244" s="72" t="n"/>
      <c r="P2244" s="72" t="n"/>
      <c r="Q2244" s="72" t="n"/>
      <c r="R2244" s="72" t="n"/>
      <c r="S2244" s="72" t="n"/>
    </row>
    <row r="2245">
      <c r="B2245" s="72" t="n"/>
      <c r="C2245" s="72" t="n"/>
      <c r="D2245" s="72" t="n"/>
      <c r="E2245" s="72" t="n"/>
      <c r="F2245" s="72" t="n"/>
      <c r="G2245" s="72" t="n"/>
      <c r="H2245" s="72" t="n"/>
      <c r="I2245" s="72" t="n"/>
      <c r="J2245" s="72" t="n"/>
      <c r="K2245" s="72" t="n"/>
      <c r="L2245" s="72" t="n"/>
      <c r="M2245" s="72" t="n"/>
      <c r="N2245" s="72" t="n"/>
      <c r="O2245" s="72" t="n"/>
      <c r="P2245" s="72" t="n"/>
      <c r="Q2245" s="72" t="n"/>
      <c r="R2245" s="72" t="n"/>
      <c r="S2245" s="72" t="n"/>
    </row>
    <row r="2246">
      <c r="B2246" s="72" t="n"/>
      <c r="C2246" s="72" t="n"/>
      <c r="D2246" s="72" t="n"/>
      <c r="E2246" s="72" t="n"/>
      <c r="F2246" s="72" t="n"/>
      <c r="G2246" s="72" t="n"/>
      <c r="H2246" s="72" t="n"/>
      <c r="I2246" s="72" t="n"/>
      <c r="J2246" s="72" t="n"/>
      <c r="K2246" s="72" t="n"/>
      <c r="L2246" s="72" t="n"/>
      <c r="M2246" s="72" t="n"/>
      <c r="N2246" s="72" t="n"/>
      <c r="O2246" s="72" t="n"/>
      <c r="P2246" s="72" t="n"/>
      <c r="Q2246" s="72" t="n"/>
      <c r="R2246" s="72" t="n"/>
      <c r="S2246" s="72" t="n"/>
    </row>
    <row r="2247">
      <c r="B2247" s="72" t="n"/>
      <c r="C2247" s="72" t="n"/>
      <c r="D2247" s="72" t="n"/>
      <c r="E2247" s="72" t="n"/>
      <c r="F2247" s="72" t="n"/>
      <c r="G2247" s="72" t="n"/>
      <c r="H2247" s="72" t="n"/>
      <c r="I2247" s="72" t="n"/>
      <c r="J2247" s="72" t="n"/>
      <c r="K2247" s="72" t="n"/>
      <c r="L2247" s="72" t="n"/>
      <c r="M2247" s="72" t="n"/>
      <c r="N2247" s="72" t="n"/>
      <c r="O2247" s="72" t="n"/>
      <c r="P2247" s="72" t="n"/>
      <c r="Q2247" s="72" t="n"/>
      <c r="R2247" s="72" t="n"/>
      <c r="S2247" s="72" t="n"/>
    </row>
    <row r="2248">
      <c r="B2248" s="72" t="n"/>
      <c r="C2248" s="72" t="n"/>
      <c r="D2248" s="72" t="n"/>
      <c r="E2248" s="72" t="n"/>
      <c r="F2248" s="72" t="n"/>
      <c r="G2248" s="72" t="n"/>
      <c r="H2248" s="72" t="n"/>
      <c r="I2248" s="72" t="n"/>
      <c r="J2248" s="72" t="n"/>
      <c r="K2248" s="72" t="n"/>
      <c r="L2248" s="72" t="n"/>
      <c r="M2248" s="72" t="n"/>
      <c r="N2248" s="72" t="n"/>
      <c r="O2248" s="72" t="n"/>
      <c r="P2248" s="72" t="n"/>
      <c r="Q2248" s="72" t="n"/>
      <c r="R2248" s="72" t="n"/>
      <c r="S2248" s="72" t="n"/>
    </row>
    <row r="2249">
      <c r="B2249" s="72" t="n"/>
      <c r="C2249" s="72" t="n"/>
      <c r="D2249" s="72" t="n"/>
      <c r="E2249" s="72" t="n"/>
      <c r="F2249" s="72" t="n"/>
      <c r="G2249" s="72" t="n"/>
      <c r="H2249" s="72" t="n"/>
      <c r="I2249" s="72" t="n"/>
      <c r="J2249" s="72" t="n"/>
      <c r="K2249" s="72" t="n"/>
      <c r="L2249" s="72" t="n"/>
      <c r="M2249" s="72" t="n"/>
      <c r="N2249" s="72" t="n"/>
      <c r="O2249" s="72" t="n"/>
      <c r="P2249" s="72" t="n"/>
      <c r="Q2249" s="72" t="n"/>
      <c r="R2249" s="72" t="n"/>
      <c r="S2249" s="72" t="n"/>
    </row>
    <row r="2250">
      <c r="B2250" s="72" t="n"/>
      <c r="C2250" s="72" t="n"/>
      <c r="D2250" s="72" t="n"/>
      <c r="E2250" s="72" t="n"/>
      <c r="F2250" s="72" t="n"/>
      <c r="G2250" s="72" t="n"/>
      <c r="H2250" s="72" t="n"/>
      <c r="I2250" s="72" t="n"/>
      <c r="J2250" s="72" t="n"/>
      <c r="K2250" s="72" t="n"/>
      <c r="L2250" s="72" t="n"/>
      <c r="M2250" s="72" t="n"/>
      <c r="N2250" s="72" t="n"/>
      <c r="O2250" s="72" t="n"/>
      <c r="P2250" s="72" t="n"/>
      <c r="Q2250" s="72" t="n"/>
      <c r="R2250" s="72" t="n"/>
      <c r="S2250" s="72" t="n"/>
    </row>
    <row r="2251">
      <c r="B2251" s="72" t="n"/>
      <c r="C2251" s="72" t="n"/>
      <c r="D2251" s="72" t="n"/>
      <c r="E2251" s="72" t="n"/>
      <c r="F2251" s="72" t="n"/>
      <c r="G2251" s="72" t="n"/>
      <c r="H2251" s="72" t="n"/>
      <c r="I2251" s="72" t="n"/>
      <c r="J2251" s="72" t="n"/>
      <c r="K2251" s="72" t="n"/>
      <c r="L2251" s="72" t="n"/>
      <c r="M2251" s="72" t="n"/>
      <c r="N2251" s="72" t="n"/>
      <c r="O2251" s="72" t="n"/>
      <c r="P2251" s="72" t="n"/>
      <c r="Q2251" s="72" t="n"/>
      <c r="R2251" s="72" t="n"/>
      <c r="S2251" s="72" t="n"/>
    </row>
    <row r="2252">
      <c r="B2252" s="72" t="n"/>
      <c r="C2252" s="72" t="n"/>
      <c r="D2252" s="72" t="n"/>
      <c r="E2252" s="72" t="n"/>
      <c r="F2252" s="72" t="n"/>
      <c r="G2252" s="72" t="n"/>
      <c r="H2252" s="72" t="n"/>
      <c r="I2252" s="72" t="n"/>
      <c r="J2252" s="72" t="n"/>
      <c r="K2252" s="72" t="n"/>
      <c r="L2252" s="72" t="n"/>
      <c r="M2252" s="72" t="n"/>
      <c r="N2252" s="72" t="n"/>
      <c r="O2252" s="72" t="n"/>
      <c r="P2252" s="72" t="n"/>
      <c r="Q2252" s="72" t="n"/>
      <c r="R2252" s="72" t="n"/>
      <c r="S2252" s="72" t="n"/>
    </row>
    <row r="2253">
      <c r="B2253" s="72" t="n"/>
      <c r="C2253" s="72" t="n"/>
      <c r="D2253" s="72" t="n"/>
      <c r="E2253" s="72" t="n"/>
      <c r="F2253" s="72" t="n"/>
      <c r="G2253" s="72" t="n"/>
      <c r="H2253" s="72" t="n"/>
      <c r="I2253" s="72" t="n"/>
      <c r="J2253" s="72" t="n"/>
      <c r="K2253" s="72" t="n"/>
      <c r="L2253" s="72" t="n"/>
      <c r="M2253" s="72" t="n"/>
      <c r="N2253" s="72" t="n"/>
      <c r="O2253" s="72" t="n"/>
      <c r="P2253" s="72" t="n"/>
      <c r="Q2253" s="72" t="n"/>
      <c r="R2253" s="72" t="n"/>
      <c r="S2253" s="72" t="n"/>
    </row>
    <row r="2254">
      <c r="B2254" s="72" t="n"/>
      <c r="C2254" s="72" t="n"/>
      <c r="D2254" s="72" t="n"/>
      <c r="E2254" s="72" t="n"/>
      <c r="F2254" s="72" t="n"/>
      <c r="G2254" s="72" t="n"/>
      <c r="H2254" s="72" t="n"/>
      <c r="I2254" s="72" t="n"/>
      <c r="J2254" s="72" t="n"/>
      <c r="K2254" s="72" t="n"/>
      <c r="L2254" s="72" t="n"/>
      <c r="M2254" s="72" t="n"/>
      <c r="N2254" s="72" t="n"/>
      <c r="O2254" s="72" t="n"/>
      <c r="P2254" s="72" t="n"/>
      <c r="Q2254" s="72" t="n"/>
      <c r="R2254" s="72" t="n"/>
      <c r="S2254" s="72" t="n"/>
    </row>
    <row r="2255">
      <c r="B2255" s="72" t="n"/>
      <c r="C2255" s="72" t="n"/>
      <c r="D2255" s="72" t="n"/>
      <c r="E2255" s="72" t="n"/>
      <c r="F2255" s="72" t="n"/>
      <c r="G2255" s="72" t="n"/>
      <c r="H2255" s="72" t="n"/>
      <c r="I2255" s="72" t="n"/>
      <c r="J2255" s="72" t="n"/>
      <c r="K2255" s="72" t="n"/>
      <c r="L2255" s="72" t="n"/>
      <c r="M2255" s="72" t="n"/>
      <c r="N2255" s="72" t="n"/>
      <c r="O2255" s="72" t="n"/>
      <c r="P2255" s="72" t="n"/>
      <c r="Q2255" s="72" t="n"/>
      <c r="R2255" s="72" t="n"/>
      <c r="S2255" s="72" t="n"/>
    </row>
    <row r="2256">
      <c r="B2256" s="72" t="n"/>
      <c r="C2256" s="72" t="n"/>
      <c r="D2256" s="72" t="n"/>
      <c r="E2256" s="72" t="n"/>
      <c r="F2256" s="72" t="n"/>
      <c r="G2256" s="72" t="n"/>
      <c r="H2256" s="72" t="n"/>
      <c r="I2256" s="72" t="n"/>
      <c r="J2256" s="72" t="n"/>
      <c r="K2256" s="72" t="n"/>
      <c r="L2256" s="72" t="n"/>
      <c r="M2256" s="72" t="n"/>
      <c r="N2256" s="72" t="n"/>
      <c r="O2256" s="72" t="n"/>
      <c r="P2256" s="72" t="n"/>
      <c r="Q2256" s="72" t="n"/>
      <c r="R2256" s="72" t="n"/>
      <c r="S2256" s="72" t="n"/>
    </row>
    <row r="2257">
      <c r="B2257" s="72" t="n"/>
      <c r="C2257" s="72" t="n"/>
      <c r="D2257" s="72" t="n"/>
      <c r="E2257" s="72" t="n"/>
      <c r="F2257" s="72" t="n"/>
      <c r="G2257" s="72" t="n"/>
      <c r="H2257" s="72" t="n"/>
      <c r="I2257" s="72" t="n"/>
      <c r="J2257" s="72" t="n"/>
      <c r="K2257" s="72" t="n"/>
      <c r="L2257" s="72" t="n"/>
      <c r="M2257" s="72" t="n"/>
      <c r="N2257" s="72" t="n"/>
      <c r="O2257" s="72" t="n"/>
      <c r="P2257" s="72" t="n"/>
      <c r="Q2257" s="72" t="n"/>
      <c r="R2257" s="72" t="n"/>
      <c r="S2257" s="72" t="n"/>
    </row>
    <row r="2258">
      <c r="B2258" s="72" t="n"/>
      <c r="C2258" s="72" t="n"/>
      <c r="D2258" s="72" t="n"/>
      <c r="E2258" s="72" t="n"/>
      <c r="F2258" s="72" t="n"/>
      <c r="G2258" s="72" t="n"/>
      <c r="H2258" s="72" t="n"/>
      <c r="I2258" s="72" t="n"/>
      <c r="J2258" s="72" t="n"/>
      <c r="K2258" s="72" t="n"/>
      <c r="L2258" s="72" t="n"/>
      <c r="M2258" s="72" t="n"/>
      <c r="N2258" s="72" t="n"/>
      <c r="O2258" s="72" t="n"/>
      <c r="P2258" s="72" t="n"/>
      <c r="Q2258" s="72" t="n"/>
      <c r="R2258" s="72" t="n"/>
      <c r="S2258" s="72" t="n"/>
    </row>
    <row r="2259">
      <c r="B2259" s="72" t="n"/>
      <c r="C2259" s="72" t="n"/>
      <c r="D2259" s="72" t="n"/>
      <c r="E2259" s="72" t="n"/>
      <c r="F2259" s="72" t="n"/>
      <c r="G2259" s="72" t="n"/>
      <c r="H2259" s="72" t="n"/>
      <c r="I2259" s="72" t="n"/>
      <c r="J2259" s="72" t="n"/>
      <c r="K2259" s="72" t="n"/>
      <c r="L2259" s="72" t="n"/>
      <c r="M2259" s="72" t="n"/>
      <c r="N2259" s="72" t="n"/>
      <c r="O2259" s="72" t="n"/>
      <c r="P2259" s="72" t="n"/>
      <c r="Q2259" s="72" t="n"/>
      <c r="R2259" s="72" t="n"/>
      <c r="S2259" s="72" t="n"/>
    </row>
    <row r="2260">
      <c r="B2260" s="72" t="n"/>
      <c r="C2260" s="72" t="n"/>
      <c r="D2260" s="72" t="n"/>
      <c r="E2260" s="72" t="n"/>
      <c r="F2260" s="72" t="n"/>
      <c r="G2260" s="72" t="n"/>
      <c r="H2260" s="72" t="n"/>
      <c r="I2260" s="72" t="n"/>
      <c r="J2260" s="72" t="n"/>
      <c r="K2260" s="72" t="n"/>
      <c r="L2260" s="72" t="n"/>
      <c r="M2260" s="72" t="n"/>
      <c r="N2260" s="72" t="n"/>
      <c r="O2260" s="72" t="n"/>
      <c r="P2260" s="72" t="n"/>
      <c r="Q2260" s="72" t="n"/>
      <c r="R2260" s="72" t="n"/>
      <c r="S2260" s="72" t="n"/>
    </row>
    <row r="2261">
      <c r="B2261" s="72" t="n"/>
      <c r="C2261" s="72" t="n"/>
      <c r="D2261" s="72" t="n"/>
      <c r="E2261" s="72" t="n"/>
      <c r="F2261" s="72" t="n"/>
      <c r="G2261" s="72" t="n"/>
      <c r="H2261" s="72" t="n"/>
      <c r="I2261" s="72" t="n"/>
      <c r="J2261" s="72" t="n"/>
      <c r="K2261" s="72" t="n"/>
      <c r="L2261" s="72" t="n"/>
      <c r="M2261" s="72" t="n"/>
      <c r="N2261" s="72" t="n"/>
      <c r="O2261" s="72" t="n"/>
      <c r="P2261" s="72" t="n"/>
      <c r="Q2261" s="72" t="n"/>
      <c r="R2261" s="72" t="n"/>
      <c r="S2261" s="72" t="n"/>
    </row>
    <row r="2262">
      <c r="B2262" s="72" t="n"/>
      <c r="C2262" s="72" t="n"/>
      <c r="D2262" s="72" t="n"/>
      <c r="E2262" s="72" t="n"/>
      <c r="F2262" s="72" t="n"/>
      <c r="G2262" s="72" t="n"/>
      <c r="H2262" s="72" t="n"/>
      <c r="I2262" s="72" t="n"/>
      <c r="J2262" s="72" t="n"/>
      <c r="K2262" s="72" t="n"/>
      <c r="L2262" s="72" t="n"/>
      <c r="M2262" s="72" t="n"/>
      <c r="N2262" s="72" t="n"/>
      <c r="O2262" s="72" t="n"/>
      <c r="P2262" s="72" t="n"/>
      <c r="Q2262" s="72" t="n"/>
      <c r="R2262" s="72" t="n"/>
      <c r="S2262" s="72" t="n"/>
    </row>
    <row r="2263">
      <c r="B2263" s="72" t="n"/>
      <c r="C2263" s="72" t="n"/>
      <c r="D2263" s="72" t="n"/>
      <c r="E2263" s="72" t="n"/>
      <c r="F2263" s="72" t="n"/>
      <c r="G2263" s="72" t="n"/>
      <c r="H2263" s="72" t="n"/>
      <c r="I2263" s="72" t="n"/>
      <c r="J2263" s="72" t="n"/>
      <c r="K2263" s="72" t="n"/>
      <c r="L2263" s="72" t="n"/>
      <c r="M2263" s="72" t="n"/>
      <c r="N2263" s="72" t="n"/>
      <c r="O2263" s="72" t="n"/>
      <c r="P2263" s="72" t="n"/>
      <c r="Q2263" s="72" t="n"/>
      <c r="R2263" s="72" t="n"/>
      <c r="S2263" s="72" t="n"/>
    </row>
    <row r="2264">
      <c r="B2264" s="72" t="n"/>
      <c r="C2264" s="72" t="n"/>
      <c r="D2264" s="72" t="n"/>
      <c r="E2264" s="72" t="n"/>
      <c r="F2264" s="72" t="n"/>
      <c r="G2264" s="72" t="n"/>
      <c r="H2264" s="72" t="n"/>
      <c r="I2264" s="72" t="n"/>
      <c r="J2264" s="72" t="n"/>
      <c r="K2264" s="72" t="n"/>
      <c r="L2264" s="72" t="n"/>
      <c r="M2264" s="72" t="n"/>
      <c r="N2264" s="72" t="n"/>
      <c r="O2264" s="72" t="n"/>
      <c r="P2264" s="72" t="n"/>
      <c r="Q2264" s="72" t="n"/>
      <c r="R2264" s="72" t="n"/>
      <c r="S2264" s="72" t="n"/>
    </row>
    <row r="2265">
      <c r="B2265" s="72" t="n"/>
      <c r="C2265" s="72" t="n"/>
      <c r="D2265" s="72" t="n"/>
      <c r="E2265" s="72" t="n"/>
      <c r="F2265" s="72" t="n"/>
      <c r="G2265" s="72" t="n"/>
      <c r="H2265" s="72" t="n"/>
      <c r="I2265" s="72" t="n"/>
      <c r="J2265" s="72" t="n"/>
      <c r="K2265" s="72" t="n"/>
      <c r="L2265" s="72" t="n"/>
      <c r="M2265" s="72" t="n"/>
      <c r="N2265" s="72" t="n"/>
      <c r="O2265" s="72" t="n"/>
      <c r="P2265" s="72" t="n"/>
      <c r="Q2265" s="72" t="n"/>
      <c r="R2265" s="72" t="n"/>
      <c r="S2265" s="72" t="n"/>
    </row>
    <row r="2266">
      <c r="B2266" s="72" t="n"/>
      <c r="C2266" s="72" t="n"/>
      <c r="D2266" s="72" t="n"/>
      <c r="E2266" s="72" t="n"/>
      <c r="F2266" s="72" t="n"/>
      <c r="G2266" s="72" t="n"/>
      <c r="H2266" s="72" t="n"/>
      <c r="I2266" s="72" t="n"/>
      <c r="J2266" s="72" t="n"/>
      <c r="K2266" s="72" t="n"/>
      <c r="L2266" s="72" t="n"/>
      <c r="M2266" s="72" t="n"/>
      <c r="N2266" s="72" t="n"/>
      <c r="O2266" s="72" t="n"/>
      <c r="P2266" s="72" t="n"/>
      <c r="Q2266" s="72" t="n"/>
      <c r="R2266" s="72" t="n"/>
      <c r="S2266" s="72" t="n"/>
    </row>
    <row r="2267">
      <c r="B2267" s="72" t="n"/>
      <c r="C2267" s="72" t="n"/>
      <c r="D2267" s="72" t="n"/>
      <c r="E2267" s="72" t="n"/>
      <c r="F2267" s="72" t="n"/>
      <c r="G2267" s="72" t="n"/>
      <c r="H2267" s="72" t="n"/>
      <c r="I2267" s="72" t="n"/>
      <c r="J2267" s="72" t="n"/>
      <c r="K2267" s="72" t="n"/>
      <c r="L2267" s="72" t="n"/>
      <c r="M2267" s="72" t="n"/>
      <c r="N2267" s="72" t="n"/>
      <c r="O2267" s="72" t="n"/>
      <c r="P2267" s="72" t="n"/>
      <c r="Q2267" s="72" t="n"/>
      <c r="R2267" s="72" t="n"/>
      <c r="S2267" s="72" t="n"/>
    </row>
    <row r="2268">
      <c r="B2268" s="72" t="n"/>
      <c r="C2268" s="72" t="n"/>
      <c r="D2268" s="72" t="n"/>
      <c r="E2268" s="72" t="n"/>
      <c r="F2268" s="72" t="n"/>
      <c r="G2268" s="72" t="n"/>
      <c r="H2268" s="72" t="n"/>
      <c r="I2268" s="72" t="n"/>
      <c r="J2268" s="72" t="n"/>
      <c r="K2268" s="72" t="n"/>
      <c r="L2268" s="72" t="n"/>
      <c r="M2268" s="72" t="n"/>
      <c r="N2268" s="72" t="n"/>
      <c r="O2268" s="72" t="n"/>
      <c r="P2268" s="72" t="n"/>
      <c r="Q2268" s="72" t="n"/>
      <c r="R2268" s="72" t="n"/>
      <c r="S2268" s="72" t="n"/>
    </row>
    <row r="2269">
      <c r="B2269" s="72" t="n"/>
      <c r="C2269" s="72" t="n"/>
      <c r="D2269" s="72" t="n"/>
      <c r="E2269" s="72" t="n"/>
      <c r="F2269" s="72" t="n"/>
      <c r="G2269" s="72" t="n"/>
      <c r="H2269" s="72" t="n"/>
      <c r="I2269" s="72" t="n"/>
      <c r="J2269" s="72" t="n"/>
      <c r="K2269" s="72" t="n"/>
      <c r="L2269" s="72" t="n"/>
      <c r="M2269" s="72" t="n"/>
      <c r="N2269" s="72" t="n"/>
      <c r="O2269" s="72" t="n"/>
      <c r="P2269" s="72" t="n"/>
      <c r="Q2269" s="72" t="n"/>
      <c r="R2269" s="72" t="n"/>
      <c r="S2269" s="72" t="n"/>
    </row>
    <row r="2270">
      <c r="B2270" s="72" t="n"/>
      <c r="C2270" s="72" t="n"/>
      <c r="D2270" s="72" t="n"/>
      <c r="E2270" s="72" t="n"/>
      <c r="F2270" s="72" t="n"/>
      <c r="G2270" s="72" t="n"/>
      <c r="H2270" s="72" t="n"/>
      <c r="I2270" s="72" t="n"/>
      <c r="J2270" s="72" t="n"/>
      <c r="K2270" s="72" t="n"/>
      <c r="L2270" s="72" t="n"/>
      <c r="M2270" s="72" t="n"/>
      <c r="N2270" s="72" t="n"/>
      <c r="O2270" s="72" t="n"/>
      <c r="P2270" s="72" t="n"/>
      <c r="Q2270" s="72" t="n"/>
      <c r="R2270" s="72" t="n"/>
      <c r="S2270" s="72" t="n"/>
    </row>
    <row r="2271">
      <c r="B2271" s="72" t="n"/>
      <c r="C2271" s="72" t="n"/>
      <c r="D2271" s="72" t="n"/>
      <c r="E2271" s="72" t="n"/>
      <c r="F2271" s="72" t="n"/>
      <c r="G2271" s="72" t="n"/>
      <c r="H2271" s="72" t="n"/>
      <c r="I2271" s="72" t="n"/>
      <c r="J2271" s="72" t="n"/>
      <c r="K2271" s="72" t="n"/>
      <c r="L2271" s="72" t="n"/>
      <c r="M2271" s="72" t="n"/>
      <c r="N2271" s="72" t="n"/>
      <c r="O2271" s="72" t="n"/>
      <c r="P2271" s="72" t="n"/>
      <c r="Q2271" s="72" t="n"/>
      <c r="R2271" s="72" t="n"/>
      <c r="S2271" s="72" t="n"/>
    </row>
    <row r="2272">
      <c r="B2272" s="72" t="n"/>
      <c r="C2272" s="72" t="n"/>
      <c r="D2272" s="72" t="n"/>
      <c r="E2272" s="72" t="n"/>
      <c r="F2272" s="72" t="n"/>
      <c r="G2272" s="72" t="n"/>
      <c r="H2272" s="72" t="n"/>
      <c r="I2272" s="72" t="n"/>
      <c r="J2272" s="72" t="n"/>
      <c r="K2272" s="72" t="n"/>
      <c r="L2272" s="72" t="n"/>
      <c r="M2272" s="72" t="n"/>
      <c r="N2272" s="72" t="n"/>
      <c r="O2272" s="72" t="n"/>
      <c r="P2272" s="72" t="n"/>
      <c r="Q2272" s="72" t="n"/>
      <c r="R2272" s="72" t="n"/>
      <c r="S2272" s="72" t="n"/>
    </row>
    <row r="2273">
      <c r="B2273" s="72" t="n"/>
      <c r="C2273" s="72" t="n"/>
      <c r="D2273" s="72" t="n"/>
      <c r="E2273" s="72" t="n"/>
      <c r="F2273" s="72" t="n"/>
      <c r="G2273" s="72" t="n"/>
      <c r="H2273" s="72" t="n"/>
      <c r="I2273" s="72" t="n"/>
      <c r="J2273" s="72" t="n"/>
      <c r="K2273" s="72" t="n"/>
      <c r="L2273" s="72" t="n"/>
      <c r="M2273" s="72" t="n"/>
      <c r="N2273" s="72" t="n"/>
      <c r="O2273" s="72" t="n"/>
      <c r="P2273" s="72" t="n"/>
      <c r="Q2273" s="72" t="n"/>
      <c r="R2273" s="72" t="n"/>
      <c r="S2273" s="72" t="n"/>
    </row>
    <row r="2274">
      <c r="B2274" s="72" t="n"/>
      <c r="C2274" s="72" t="n"/>
      <c r="D2274" s="72" t="n"/>
      <c r="E2274" s="72" t="n"/>
      <c r="F2274" s="72" t="n"/>
      <c r="G2274" s="72" t="n"/>
      <c r="H2274" s="72" t="n"/>
      <c r="I2274" s="72" t="n"/>
      <c r="J2274" s="72" t="n"/>
      <c r="K2274" s="72" t="n"/>
      <c r="L2274" s="72" t="n"/>
      <c r="M2274" s="72" t="n"/>
      <c r="N2274" s="72" t="n"/>
      <c r="O2274" s="72" t="n"/>
      <c r="P2274" s="72" t="n"/>
      <c r="Q2274" s="72" t="n"/>
      <c r="R2274" s="72" t="n"/>
      <c r="S2274" s="72" t="n"/>
    </row>
    <row r="2275">
      <c r="B2275" s="72" t="n"/>
      <c r="C2275" s="72" t="n"/>
      <c r="D2275" s="72" t="n"/>
      <c r="E2275" s="72" t="n"/>
      <c r="F2275" s="72" t="n"/>
      <c r="G2275" s="72" t="n"/>
      <c r="H2275" s="72" t="n"/>
      <c r="I2275" s="72" t="n"/>
      <c r="J2275" s="72" t="n"/>
      <c r="K2275" s="72" t="n"/>
      <c r="L2275" s="72" t="n"/>
      <c r="M2275" s="72" t="n"/>
      <c r="N2275" s="72" t="n"/>
      <c r="O2275" s="72" t="n"/>
      <c r="P2275" s="72" t="n"/>
      <c r="Q2275" s="72" t="n"/>
      <c r="R2275" s="72" t="n"/>
      <c r="S2275" s="72" t="n"/>
    </row>
    <row r="2276">
      <c r="B2276" s="72" t="n"/>
      <c r="C2276" s="72" t="n"/>
      <c r="D2276" s="72" t="n"/>
      <c r="E2276" s="72" t="n"/>
      <c r="F2276" s="72" t="n"/>
      <c r="G2276" s="72" t="n"/>
      <c r="H2276" s="72" t="n"/>
      <c r="I2276" s="72" t="n"/>
      <c r="J2276" s="72" t="n"/>
      <c r="K2276" s="72" t="n"/>
      <c r="L2276" s="72" t="n"/>
      <c r="M2276" s="72" t="n"/>
      <c r="N2276" s="72" t="n"/>
      <c r="O2276" s="72" t="n"/>
      <c r="P2276" s="72" t="n"/>
      <c r="Q2276" s="72" t="n"/>
      <c r="R2276" s="72" t="n"/>
      <c r="S2276" s="72" t="n"/>
    </row>
    <row r="2277">
      <c r="B2277" s="72" t="n"/>
      <c r="C2277" s="72" t="n"/>
      <c r="D2277" s="72" t="n"/>
      <c r="E2277" s="72" t="n"/>
      <c r="F2277" s="72" t="n"/>
      <c r="G2277" s="72" t="n"/>
      <c r="H2277" s="72" t="n"/>
      <c r="I2277" s="72" t="n"/>
      <c r="J2277" s="72" t="n"/>
      <c r="K2277" s="72" t="n"/>
      <c r="L2277" s="72" t="n"/>
      <c r="M2277" s="72" t="n"/>
      <c r="N2277" s="72" t="n"/>
      <c r="O2277" s="72" t="n"/>
      <c r="P2277" s="72" t="n"/>
      <c r="Q2277" s="72" t="n"/>
      <c r="R2277" s="72" t="n"/>
      <c r="S2277" s="72" t="n"/>
    </row>
    <row r="2278">
      <c r="B2278" s="72" t="n"/>
      <c r="C2278" s="72" t="n"/>
      <c r="D2278" s="72" t="n"/>
      <c r="E2278" s="72" t="n"/>
      <c r="F2278" s="72" t="n"/>
      <c r="G2278" s="72" t="n"/>
      <c r="H2278" s="72" t="n"/>
      <c r="I2278" s="72" t="n"/>
      <c r="J2278" s="72" t="n"/>
      <c r="K2278" s="72" t="n"/>
      <c r="L2278" s="72" t="n"/>
      <c r="M2278" s="72" t="n"/>
      <c r="N2278" s="72" t="n"/>
      <c r="O2278" s="72" t="n"/>
      <c r="P2278" s="72" t="n"/>
      <c r="Q2278" s="72" t="n"/>
      <c r="R2278" s="72" t="n"/>
      <c r="S2278" s="72" t="n"/>
    </row>
    <row r="2279">
      <c r="B2279" s="72" t="n"/>
      <c r="C2279" s="72" t="n"/>
      <c r="D2279" s="72" t="n"/>
      <c r="E2279" s="72" t="n"/>
      <c r="F2279" s="72" t="n"/>
      <c r="G2279" s="72" t="n"/>
      <c r="H2279" s="72" t="n"/>
      <c r="I2279" s="72" t="n"/>
      <c r="J2279" s="72" t="n"/>
      <c r="K2279" s="72" t="n"/>
      <c r="L2279" s="72" t="n"/>
      <c r="M2279" s="72" t="n"/>
      <c r="N2279" s="72" t="n"/>
      <c r="O2279" s="72" t="n"/>
      <c r="P2279" s="72" t="n"/>
      <c r="Q2279" s="72" t="n"/>
      <c r="R2279" s="72" t="n"/>
      <c r="S2279" s="72" t="n"/>
    </row>
    <row r="2280">
      <c r="B2280" s="72" t="n"/>
      <c r="C2280" s="72" t="n"/>
      <c r="D2280" s="72" t="n"/>
      <c r="E2280" s="72" t="n"/>
      <c r="F2280" s="72" t="n"/>
      <c r="G2280" s="72" t="n"/>
      <c r="H2280" s="72" t="n"/>
      <c r="I2280" s="72" t="n"/>
      <c r="J2280" s="72" t="n"/>
      <c r="K2280" s="72" t="n"/>
      <c r="L2280" s="72" t="n"/>
      <c r="M2280" s="72" t="n"/>
      <c r="N2280" s="72" t="n"/>
      <c r="O2280" s="72" t="n"/>
      <c r="P2280" s="72" t="n"/>
      <c r="Q2280" s="72" t="n"/>
      <c r="R2280" s="72" t="n"/>
      <c r="S2280" s="72" t="n"/>
    </row>
    <row r="2281">
      <c r="B2281" s="72" t="n"/>
      <c r="C2281" s="72" t="n"/>
      <c r="D2281" s="72" t="n"/>
      <c r="E2281" s="72" t="n"/>
      <c r="F2281" s="72" t="n"/>
      <c r="G2281" s="72" t="n"/>
      <c r="H2281" s="72" t="n"/>
      <c r="I2281" s="72" t="n"/>
      <c r="J2281" s="72" t="n"/>
      <c r="K2281" s="72" t="n"/>
      <c r="L2281" s="72" t="n"/>
      <c r="M2281" s="72" t="n"/>
      <c r="N2281" s="72" t="n"/>
      <c r="O2281" s="72" t="n"/>
      <c r="P2281" s="72" t="n"/>
      <c r="Q2281" s="72" t="n"/>
      <c r="R2281" s="72" t="n"/>
      <c r="S2281" s="72" t="n"/>
    </row>
    <row r="2282">
      <c r="B2282" s="72" t="n"/>
      <c r="C2282" s="72" t="n"/>
      <c r="D2282" s="72" t="n"/>
      <c r="E2282" s="72" t="n"/>
      <c r="F2282" s="72" t="n"/>
      <c r="G2282" s="72" t="n"/>
      <c r="H2282" s="72" t="n"/>
      <c r="I2282" s="72" t="n"/>
      <c r="J2282" s="72" t="n"/>
      <c r="K2282" s="72" t="n"/>
      <c r="L2282" s="72" t="n"/>
      <c r="M2282" s="72" t="n"/>
      <c r="N2282" s="72" t="n"/>
      <c r="O2282" s="72" t="n"/>
      <c r="P2282" s="72" t="n"/>
      <c r="Q2282" s="72" t="n"/>
      <c r="R2282" s="72" t="n"/>
      <c r="S2282" s="72" t="n"/>
    </row>
    <row r="2283">
      <c r="B2283" s="72" t="n"/>
      <c r="C2283" s="72" t="n"/>
      <c r="D2283" s="72" t="n"/>
      <c r="E2283" s="72" t="n"/>
      <c r="F2283" s="72" t="n"/>
      <c r="G2283" s="72" t="n"/>
      <c r="H2283" s="72" t="n"/>
      <c r="I2283" s="72" t="n"/>
      <c r="J2283" s="72" t="n"/>
      <c r="K2283" s="72" t="n"/>
      <c r="L2283" s="72" t="n"/>
      <c r="M2283" s="72" t="n"/>
      <c r="N2283" s="72" t="n"/>
      <c r="O2283" s="72" t="n"/>
      <c r="P2283" s="72" t="n"/>
      <c r="Q2283" s="72" t="n"/>
      <c r="R2283" s="72" t="n"/>
      <c r="S2283" s="72" t="n"/>
    </row>
    <row r="2284">
      <c r="B2284" s="72" t="n"/>
      <c r="C2284" s="72" t="n"/>
      <c r="D2284" s="72" t="n"/>
      <c r="E2284" s="72" t="n"/>
      <c r="F2284" s="72" t="n"/>
      <c r="G2284" s="72" t="n"/>
      <c r="H2284" s="72" t="n"/>
      <c r="I2284" s="72" t="n"/>
      <c r="J2284" s="72" t="n"/>
      <c r="K2284" s="72" t="n"/>
      <c r="L2284" s="72" t="n"/>
      <c r="M2284" s="72" t="n"/>
      <c r="N2284" s="72" t="n"/>
      <c r="O2284" s="72" t="n"/>
      <c r="P2284" s="72" t="n"/>
      <c r="Q2284" s="72" t="n"/>
      <c r="R2284" s="72" t="n"/>
      <c r="S2284" s="72" t="n"/>
    </row>
    <row r="2285">
      <c r="B2285" s="72" t="n"/>
      <c r="C2285" s="72" t="n"/>
      <c r="D2285" s="72" t="n"/>
      <c r="E2285" s="72" t="n"/>
      <c r="F2285" s="72" t="n"/>
      <c r="G2285" s="72" t="n"/>
      <c r="H2285" s="72" t="n"/>
      <c r="I2285" s="72" t="n"/>
      <c r="J2285" s="72" t="n"/>
      <c r="K2285" s="72" t="n"/>
      <c r="L2285" s="72" t="n"/>
      <c r="M2285" s="72" t="n"/>
      <c r="N2285" s="72" t="n"/>
      <c r="O2285" s="72" t="n"/>
      <c r="P2285" s="72" t="n"/>
      <c r="Q2285" s="72" t="n"/>
      <c r="R2285" s="72" t="n"/>
      <c r="S2285" s="72" t="n"/>
    </row>
    <row r="2286">
      <c r="B2286" s="72" t="n"/>
      <c r="C2286" s="72" t="n"/>
      <c r="D2286" s="72" t="n"/>
      <c r="E2286" s="72" t="n"/>
      <c r="F2286" s="72" t="n"/>
      <c r="G2286" s="72" t="n"/>
      <c r="H2286" s="72" t="n"/>
      <c r="I2286" s="72" t="n"/>
      <c r="J2286" s="72" t="n"/>
      <c r="K2286" s="72" t="n"/>
      <c r="L2286" s="72" t="n"/>
      <c r="M2286" s="72" t="n"/>
      <c r="N2286" s="72" t="n"/>
      <c r="O2286" s="72" t="n"/>
      <c r="P2286" s="72" t="n"/>
      <c r="Q2286" s="72" t="n"/>
      <c r="R2286" s="72" t="n"/>
      <c r="S2286" s="72" t="n"/>
    </row>
    <row r="2287">
      <c r="B2287" s="72" t="n"/>
      <c r="C2287" s="72" t="n"/>
      <c r="D2287" s="72" t="n"/>
      <c r="E2287" s="72" t="n"/>
      <c r="F2287" s="72" t="n"/>
      <c r="G2287" s="72" t="n"/>
      <c r="H2287" s="72" t="n"/>
      <c r="I2287" s="72" t="n"/>
      <c r="J2287" s="72" t="n"/>
      <c r="K2287" s="72" t="n"/>
      <c r="L2287" s="72" t="n"/>
      <c r="M2287" s="72" t="n"/>
      <c r="N2287" s="72" t="n"/>
      <c r="O2287" s="72" t="n"/>
      <c r="P2287" s="72" t="n"/>
      <c r="Q2287" s="72" t="n"/>
      <c r="R2287" s="72" t="n"/>
      <c r="S2287" s="72" t="n"/>
    </row>
    <row r="2288">
      <c r="B2288" s="72" t="n"/>
      <c r="C2288" s="72" t="n"/>
      <c r="D2288" s="72" t="n"/>
      <c r="E2288" s="72" t="n"/>
      <c r="F2288" s="72" t="n"/>
      <c r="G2288" s="72" t="n"/>
      <c r="H2288" s="72" t="n"/>
      <c r="I2288" s="72" t="n"/>
      <c r="J2288" s="72" t="n"/>
      <c r="K2288" s="72" t="n"/>
      <c r="L2288" s="72" t="n"/>
      <c r="M2288" s="72" t="n"/>
      <c r="N2288" s="72" t="n"/>
      <c r="O2288" s="72" t="n"/>
      <c r="P2288" s="72" t="n"/>
      <c r="Q2288" s="72" t="n"/>
      <c r="R2288" s="72" t="n"/>
      <c r="S2288" s="72" t="n"/>
    </row>
    <row r="2289">
      <c r="B2289" s="72" t="n"/>
      <c r="C2289" s="72" t="n"/>
      <c r="D2289" s="72" t="n"/>
      <c r="E2289" s="72" t="n"/>
      <c r="F2289" s="72" t="n"/>
      <c r="G2289" s="72" t="n"/>
      <c r="H2289" s="72" t="n"/>
      <c r="I2289" s="72" t="n"/>
      <c r="J2289" s="72" t="n"/>
      <c r="K2289" s="72" t="n"/>
      <c r="L2289" s="72" t="n"/>
      <c r="M2289" s="72" t="n"/>
      <c r="N2289" s="72" t="n"/>
      <c r="O2289" s="72" t="n"/>
      <c r="P2289" s="72" t="n"/>
      <c r="Q2289" s="72" t="n"/>
      <c r="R2289" s="72" t="n"/>
      <c r="S2289" s="72" t="n"/>
    </row>
    <row r="2290">
      <c r="B2290" s="72" t="n"/>
      <c r="C2290" s="72" t="n"/>
      <c r="D2290" s="72" t="n"/>
      <c r="E2290" s="72" t="n"/>
      <c r="F2290" s="72" t="n"/>
      <c r="G2290" s="72" t="n"/>
      <c r="H2290" s="72" t="n"/>
      <c r="I2290" s="72" t="n"/>
      <c r="J2290" s="72" t="n"/>
      <c r="K2290" s="72" t="n"/>
      <c r="L2290" s="72" t="n"/>
      <c r="M2290" s="72" t="n"/>
      <c r="N2290" s="72" t="n"/>
      <c r="O2290" s="72" t="n"/>
      <c r="P2290" s="72" t="n"/>
      <c r="Q2290" s="72" t="n"/>
      <c r="R2290" s="72" t="n"/>
      <c r="S2290" s="72" t="n"/>
    </row>
    <row r="2291">
      <c r="B2291" s="72" t="n"/>
      <c r="C2291" s="72" t="n"/>
      <c r="D2291" s="72" t="n"/>
      <c r="E2291" s="72" t="n"/>
      <c r="F2291" s="72" t="n"/>
      <c r="G2291" s="72" t="n"/>
      <c r="H2291" s="72" t="n"/>
      <c r="I2291" s="72" t="n"/>
      <c r="J2291" s="72" t="n"/>
      <c r="K2291" s="72" t="n"/>
      <c r="L2291" s="72" t="n"/>
      <c r="M2291" s="72" t="n"/>
      <c r="N2291" s="72" t="n"/>
      <c r="O2291" s="72" t="n"/>
      <c r="P2291" s="72" t="n"/>
      <c r="Q2291" s="72" t="n"/>
      <c r="R2291" s="72" t="n"/>
      <c r="S2291" s="72" t="n"/>
    </row>
    <row r="2292">
      <c r="B2292" s="72" t="n"/>
      <c r="C2292" s="72" t="n"/>
      <c r="D2292" s="72" t="n"/>
      <c r="E2292" s="72" t="n"/>
      <c r="F2292" s="72" t="n"/>
      <c r="G2292" s="72" t="n"/>
      <c r="H2292" s="72" t="n"/>
      <c r="I2292" s="72" t="n"/>
      <c r="J2292" s="72" t="n"/>
      <c r="K2292" s="72" t="n"/>
      <c r="L2292" s="72" t="n"/>
      <c r="M2292" s="72" t="n"/>
      <c r="N2292" s="72" t="n"/>
      <c r="O2292" s="72" t="n"/>
      <c r="P2292" s="72" t="n"/>
      <c r="Q2292" s="72" t="n"/>
      <c r="R2292" s="72" t="n"/>
      <c r="S2292" s="72" t="n"/>
    </row>
    <row r="2293">
      <c r="B2293" s="72" t="n"/>
      <c r="C2293" s="72" t="n"/>
      <c r="D2293" s="72" t="n"/>
      <c r="E2293" s="72" t="n"/>
      <c r="F2293" s="72" t="n"/>
      <c r="G2293" s="72" t="n"/>
      <c r="H2293" s="72" t="n"/>
      <c r="I2293" s="72" t="n"/>
      <c r="J2293" s="72" t="n"/>
      <c r="K2293" s="72" t="n"/>
      <c r="L2293" s="72" t="n"/>
      <c r="M2293" s="72" t="n"/>
      <c r="N2293" s="72" t="n"/>
      <c r="O2293" s="72" t="n"/>
      <c r="P2293" s="72" t="n"/>
      <c r="Q2293" s="72" t="n"/>
      <c r="R2293" s="72" t="n"/>
      <c r="S2293" s="72" t="n"/>
    </row>
    <row r="2294">
      <c r="B2294" s="72" t="n"/>
      <c r="C2294" s="72" t="n"/>
      <c r="D2294" s="72" t="n"/>
      <c r="E2294" s="72" t="n"/>
      <c r="F2294" s="72" t="n"/>
      <c r="G2294" s="72" t="n"/>
      <c r="H2294" s="72" t="n"/>
      <c r="I2294" s="72" t="n"/>
      <c r="J2294" s="72" t="n"/>
      <c r="K2294" s="72" t="n"/>
      <c r="L2294" s="72" t="n"/>
      <c r="M2294" s="72" t="n"/>
      <c r="N2294" s="72" t="n"/>
      <c r="O2294" s="72" t="n"/>
      <c r="P2294" s="72" t="n"/>
      <c r="Q2294" s="72" t="n"/>
      <c r="R2294" s="72" t="n"/>
      <c r="S2294" s="72" t="n"/>
    </row>
    <row r="2295">
      <c r="B2295" s="72" t="n"/>
      <c r="C2295" s="72" t="n"/>
      <c r="D2295" s="72" t="n"/>
      <c r="E2295" s="72" t="n"/>
      <c r="F2295" s="72" t="n"/>
      <c r="G2295" s="72" t="n"/>
      <c r="H2295" s="72" t="n"/>
      <c r="I2295" s="72" t="n"/>
      <c r="J2295" s="72" t="n"/>
      <c r="K2295" s="72" t="n"/>
      <c r="L2295" s="72" t="n"/>
      <c r="M2295" s="72" t="n"/>
      <c r="N2295" s="72" t="n"/>
      <c r="O2295" s="72" t="n"/>
      <c r="P2295" s="72" t="n"/>
      <c r="Q2295" s="72" t="n"/>
      <c r="R2295" s="72" t="n"/>
      <c r="S2295" s="72" t="n"/>
    </row>
    <row r="2296">
      <c r="B2296" s="72" t="n"/>
      <c r="C2296" s="72" t="n"/>
      <c r="D2296" s="72" t="n"/>
      <c r="E2296" s="72" t="n"/>
      <c r="F2296" s="72" t="n"/>
      <c r="G2296" s="72" t="n"/>
      <c r="H2296" s="72" t="n"/>
      <c r="I2296" s="72" t="n"/>
      <c r="J2296" s="72" t="n"/>
      <c r="K2296" s="72" t="n"/>
      <c r="L2296" s="72" t="n"/>
      <c r="M2296" s="72" t="n"/>
      <c r="N2296" s="72" t="n"/>
      <c r="O2296" s="72" t="n"/>
      <c r="P2296" s="72" t="n"/>
      <c r="Q2296" s="72" t="n"/>
      <c r="R2296" s="72" t="n"/>
      <c r="S2296" s="72" t="n"/>
    </row>
    <row r="2297">
      <c r="B2297" s="72" t="n"/>
      <c r="C2297" s="72" t="n"/>
      <c r="D2297" s="72" t="n"/>
      <c r="E2297" s="72" t="n"/>
      <c r="F2297" s="72" t="n"/>
      <c r="G2297" s="72" t="n"/>
      <c r="H2297" s="72" t="n"/>
      <c r="I2297" s="72" t="n"/>
      <c r="J2297" s="72" t="n"/>
      <c r="K2297" s="72" t="n"/>
      <c r="L2297" s="72" t="n"/>
      <c r="M2297" s="72" t="n"/>
      <c r="N2297" s="72" t="n"/>
      <c r="O2297" s="72" t="n"/>
      <c r="P2297" s="72" t="n"/>
      <c r="Q2297" s="72" t="n"/>
      <c r="R2297" s="72" t="n"/>
      <c r="S2297" s="72" t="n"/>
    </row>
    <row r="2298">
      <c r="B2298" s="72" t="n"/>
      <c r="C2298" s="72" t="n"/>
      <c r="D2298" s="72" t="n"/>
      <c r="E2298" s="72" t="n"/>
      <c r="F2298" s="72" t="n"/>
      <c r="G2298" s="72" t="n"/>
      <c r="H2298" s="72" t="n"/>
      <c r="I2298" s="72" t="n"/>
      <c r="J2298" s="72" t="n"/>
      <c r="K2298" s="72" t="n"/>
      <c r="L2298" s="72" t="n"/>
      <c r="M2298" s="72" t="n"/>
      <c r="N2298" s="72" t="n"/>
      <c r="O2298" s="72" t="n"/>
      <c r="P2298" s="72" t="n"/>
      <c r="Q2298" s="72" t="n"/>
      <c r="R2298" s="72" t="n"/>
      <c r="S2298" s="72" t="n"/>
    </row>
    <row r="2299">
      <c r="B2299" s="72" t="n"/>
      <c r="C2299" s="72" t="n"/>
      <c r="D2299" s="72" t="n"/>
      <c r="E2299" s="72" t="n"/>
      <c r="F2299" s="72" t="n"/>
      <c r="G2299" s="72" t="n"/>
      <c r="H2299" s="72" t="n"/>
      <c r="I2299" s="72" t="n"/>
      <c r="J2299" s="72" t="n"/>
      <c r="K2299" s="72" t="n"/>
      <c r="L2299" s="72" t="n"/>
      <c r="M2299" s="72" t="n"/>
      <c r="N2299" s="72" t="n"/>
      <c r="O2299" s="72" t="n"/>
      <c r="P2299" s="72" t="n"/>
      <c r="Q2299" s="72" t="n"/>
      <c r="R2299" s="72" t="n"/>
      <c r="S2299" s="72" t="n"/>
    </row>
    <row r="2300">
      <c r="B2300" s="72" t="n"/>
      <c r="C2300" s="72" t="n"/>
      <c r="D2300" s="72" t="n"/>
      <c r="E2300" s="72" t="n"/>
      <c r="F2300" s="72" t="n"/>
      <c r="G2300" s="72" t="n"/>
      <c r="H2300" s="72" t="n"/>
      <c r="I2300" s="72" t="n"/>
      <c r="J2300" s="72" t="n"/>
      <c r="K2300" s="72" t="n"/>
      <c r="L2300" s="72" t="n"/>
      <c r="M2300" s="72" t="n"/>
      <c r="N2300" s="72" t="n"/>
      <c r="O2300" s="72" t="n"/>
      <c r="P2300" s="72" t="n"/>
      <c r="Q2300" s="72" t="n"/>
      <c r="R2300" s="72" t="n"/>
      <c r="S2300" s="72" t="n"/>
    </row>
    <row r="2301">
      <c r="B2301" s="72" t="n"/>
      <c r="C2301" s="72" t="n"/>
      <c r="D2301" s="72" t="n"/>
      <c r="E2301" s="72" t="n"/>
      <c r="F2301" s="72" t="n"/>
      <c r="G2301" s="72" t="n"/>
      <c r="H2301" s="72" t="n"/>
      <c r="I2301" s="72" t="n"/>
      <c r="J2301" s="72" t="n"/>
      <c r="K2301" s="72" t="n"/>
      <c r="L2301" s="72" t="n"/>
      <c r="M2301" s="72" t="n"/>
      <c r="N2301" s="72" t="n"/>
      <c r="O2301" s="72" t="n"/>
      <c r="P2301" s="72" t="n"/>
      <c r="Q2301" s="72" t="n"/>
      <c r="R2301" s="72" t="n"/>
      <c r="S2301" s="72" t="n"/>
    </row>
    <row r="2302">
      <c r="B2302" s="72" t="n"/>
      <c r="C2302" s="72" t="n"/>
      <c r="D2302" s="72" t="n"/>
      <c r="E2302" s="72" t="n"/>
      <c r="F2302" s="72" t="n"/>
      <c r="G2302" s="72" t="n"/>
      <c r="H2302" s="72" t="n"/>
      <c r="I2302" s="72" t="n"/>
      <c r="J2302" s="72" t="n"/>
      <c r="K2302" s="72" t="n"/>
      <c r="L2302" s="72" t="n"/>
      <c r="M2302" s="72" t="n"/>
      <c r="N2302" s="72" t="n"/>
      <c r="O2302" s="72" t="n"/>
      <c r="P2302" s="72" t="n"/>
      <c r="Q2302" s="72" t="n"/>
      <c r="R2302" s="72" t="n"/>
      <c r="S2302" s="72" t="n"/>
    </row>
    <row r="2303">
      <c r="B2303" s="72" t="n"/>
      <c r="C2303" s="72" t="n"/>
      <c r="D2303" s="72" t="n"/>
      <c r="E2303" s="72" t="n"/>
      <c r="F2303" s="72" t="n"/>
      <c r="G2303" s="72" t="n"/>
      <c r="H2303" s="72" t="n"/>
      <c r="I2303" s="72" t="n"/>
      <c r="J2303" s="72" t="n"/>
      <c r="K2303" s="72" t="n"/>
      <c r="L2303" s="72" t="n"/>
      <c r="M2303" s="72" t="n"/>
      <c r="N2303" s="72" t="n"/>
      <c r="O2303" s="72" t="n"/>
      <c r="P2303" s="72" t="n"/>
      <c r="Q2303" s="72" t="n"/>
      <c r="R2303" s="72" t="n"/>
      <c r="S2303" s="72" t="n"/>
    </row>
    <row r="2304">
      <c r="B2304" s="72" t="n"/>
      <c r="C2304" s="72" t="n"/>
      <c r="D2304" s="72" t="n"/>
      <c r="E2304" s="72" t="n"/>
      <c r="F2304" s="72" t="n"/>
      <c r="G2304" s="72" t="n"/>
      <c r="H2304" s="72" t="n"/>
      <c r="I2304" s="72" t="n"/>
      <c r="J2304" s="72" t="n"/>
      <c r="K2304" s="72" t="n"/>
      <c r="L2304" s="72" t="n"/>
      <c r="M2304" s="72" t="n"/>
      <c r="N2304" s="72" t="n"/>
      <c r="O2304" s="72" t="n"/>
      <c r="P2304" s="72" t="n"/>
      <c r="Q2304" s="72" t="n"/>
      <c r="R2304" s="72" t="n"/>
      <c r="S2304" s="72" t="n"/>
    </row>
    <row r="2305">
      <c r="B2305" s="72" t="n"/>
      <c r="C2305" s="72" t="n"/>
      <c r="D2305" s="72" t="n"/>
      <c r="E2305" s="72" t="n"/>
      <c r="F2305" s="72" t="n"/>
      <c r="G2305" s="72" t="n"/>
      <c r="H2305" s="72" t="n"/>
      <c r="I2305" s="72" t="n"/>
      <c r="J2305" s="72" t="n"/>
      <c r="K2305" s="72" t="n"/>
      <c r="L2305" s="72" t="n"/>
      <c r="M2305" s="72" t="n"/>
      <c r="N2305" s="72" t="n"/>
      <c r="O2305" s="72" t="n"/>
      <c r="P2305" s="72" t="n"/>
      <c r="Q2305" s="72" t="n"/>
      <c r="R2305" s="72" t="n"/>
      <c r="S2305" s="72" t="n"/>
    </row>
    <row r="2306">
      <c r="B2306" s="72" t="n"/>
      <c r="C2306" s="72" t="n"/>
      <c r="D2306" s="72" t="n"/>
      <c r="E2306" s="72" t="n"/>
      <c r="F2306" s="72" t="n"/>
      <c r="G2306" s="72" t="n"/>
      <c r="H2306" s="72" t="n"/>
      <c r="I2306" s="72" t="n"/>
      <c r="J2306" s="72" t="n"/>
      <c r="K2306" s="72" t="n"/>
      <c r="L2306" s="72" t="n"/>
      <c r="M2306" s="72" t="n"/>
      <c r="N2306" s="72" t="n"/>
      <c r="O2306" s="72" t="n"/>
      <c r="P2306" s="72" t="n"/>
      <c r="Q2306" s="72" t="n"/>
      <c r="R2306" s="72" t="n"/>
      <c r="S2306" s="72" t="n"/>
    </row>
    <row r="2307">
      <c r="B2307" s="72" t="n"/>
      <c r="C2307" s="72" t="n"/>
      <c r="D2307" s="72" t="n"/>
      <c r="E2307" s="72" t="n"/>
      <c r="F2307" s="72" t="n"/>
      <c r="G2307" s="72" t="n"/>
      <c r="H2307" s="72" t="n"/>
      <c r="I2307" s="72" t="n"/>
      <c r="J2307" s="72" t="n"/>
      <c r="K2307" s="72" t="n"/>
      <c r="L2307" s="72" t="n"/>
      <c r="M2307" s="72" t="n"/>
      <c r="N2307" s="72" t="n"/>
      <c r="O2307" s="72" t="n"/>
      <c r="P2307" s="72" t="n"/>
      <c r="Q2307" s="72" t="n"/>
      <c r="R2307" s="72" t="n"/>
      <c r="S2307" s="72" t="n"/>
    </row>
    <row r="2308">
      <c r="B2308" s="72" t="n"/>
      <c r="C2308" s="72" t="n"/>
      <c r="D2308" s="72" t="n"/>
      <c r="E2308" s="72" t="n"/>
      <c r="F2308" s="72" t="n"/>
      <c r="G2308" s="72" t="n"/>
      <c r="H2308" s="72" t="n"/>
      <c r="I2308" s="72" t="n"/>
      <c r="J2308" s="72" t="n"/>
      <c r="K2308" s="72" t="n"/>
      <c r="L2308" s="72" t="n"/>
      <c r="M2308" s="72" t="n"/>
      <c r="N2308" s="72" t="n"/>
      <c r="O2308" s="72" t="n"/>
      <c r="P2308" s="72" t="n"/>
      <c r="Q2308" s="72" t="n"/>
      <c r="R2308" s="72" t="n"/>
      <c r="S2308" s="72" t="n"/>
    </row>
    <row r="2309">
      <c r="B2309" s="72" t="n"/>
      <c r="C2309" s="72" t="n"/>
      <c r="D2309" s="72" t="n"/>
      <c r="E2309" s="72" t="n"/>
      <c r="F2309" s="72" t="n"/>
      <c r="G2309" s="72" t="n"/>
      <c r="H2309" s="72" t="n"/>
      <c r="I2309" s="72" t="n"/>
      <c r="J2309" s="72" t="n"/>
      <c r="K2309" s="72" t="n"/>
      <c r="L2309" s="72" t="n"/>
      <c r="M2309" s="72" t="n"/>
      <c r="N2309" s="72" t="n"/>
      <c r="O2309" s="72" t="n"/>
      <c r="P2309" s="72" t="n"/>
      <c r="Q2309" s="72" t="n"/>
      <c r="R2309" s="72" t="n"/>
      <c r="S2309" s="72" t="n"/>
    </row>
    <row r="2310">
      <c r="B2310" s="72" t="n"/>
      <c r="C2310" s="72" t="n"/>
      <c r="D2310" s="72" t="n"/>
      <c r="E2310" s="72" t="n"/>
      <c r="F2310" s="72" t="n"/>
      <c r="G2310" s="72" t="n"/>
      <c r="H2310" s="72" t="n"/>
      <c r="I2310" s="72" t="n"/>
      <c r="J2310" s="72" t="n"/>
      <c r="K2310" s="72" t="n"/>
      <c r="L2310" s="72" t="n"/>
      <c r="M2310" s="72" t="n"/>
      <c r="N2310" s="72" t="n"/>
      <c r="O2310" s="72" t="n"/>
      <c r="P2310" s="72" t="n"/>
      <c r="Q2310" s="72" t="n"/>
      <c r="R2310" s="72" t="n"/>
      <c r="S2310" s="72" t="n"/>
    </row>
    <row r="2311">
      <c r="B2311" s="72" t="n"/>
      <c r="C2311" s="72" t="n"/>
      <c r="D2311" s="72" t="n"/>
      <c r="E2311" s="72" t="n"/>
      <c r="F2311" s="72" t="n"/>
      <c r="G2311" s="72" t="n"/>
      <c r="H2311" s="72" t="n"/>
      <c r="I2311" s="72" t="n"/>
      <c r="J2311" s="72" t="n"/>
      <c r="K2311" s="72" t="n"/>
      <c r="L2311" s="72" t="n"/>
      <c r="M2311" s="72" t="n"/>
      <c r="N2311" s="72" t="n"/>
      <c r="O2311" s="72" t="n"/>
      <c r="P2311" s="72" t="n"/>
      <c r="Q2311" s="72" t="n"/>
      <c r="R2311" s="72" t="n"/>
      <c r="S2311" s="72" t="n"/>
    </row>
    <row r="2312">
      <c r="B2312" s="72" t="n"/>
      <c r="C2312" s="72" t="n"/>
      <c r="D2312" s="72" t="n"/>
      <c r="E2312" s="72" t="n"/>
      <c r="F2312" s="72" t="n"/>
      <c r="G2312" s="72" t="n"/>
      <c r="H2312" s="72" t="n"/>
      <c r="I2312" s="72" t="n"/>
      <c r="J2312" s="72" t="n"/>
      <c r="K2312" s="72" t="n"/>
      <c r="L2312" s="72" t="n"/>
      <c r="M2312" s="72" t="n"/>
      <c r="N2312" s="72" t="n"/>
      <c r="O2312" s="72" t="n"/>
      <c r="P2312" s="72" t="n"/>
      <c r="Q2312" s="72" t="n"/>
      <c r="R2312" s="72" t="n"/>
      <c r="S2312" s="72" t="n"/>
    </row>
    <row r="2313">
      <c r="B2313" s="72" t="n"/>
      <c r="C2313" s="72" t="n"/>
      <c r="D2313" s="72" t="n"/>
      <c r="E2313" s="72" t="n"/>
      <c r="F2313" s="72" t="n"/>
      <c r="G2313" s="72" t="n"/>
      <c r="H2313" s="72" t="n"/>
      <c r="I2313" s="72" t="n"/>
      <c r="J2313" s="72" t="n"/>
      <c r="K2313" s="72" t="n"/>
      <c r="L2313" s="72" t="n"/>
      <c r="M2313" s="72" t="n"/>
      <c r="N2313" s="72" t="n"/>
      <c r="O2313" s="72" t="n"/>
      <c r="P2313" s="72" t="n"/>
      <c r="Q2313" s="72" t="n"/>
      <c r="R2313" s="72" t="n"/>
      <c r="S2313" s="72" t="n"/>
    </row>
    <row r="2314">
      <c r="B2314" s="72" t="n"/>
      <c r="C2314" s="72" t="n"/>
      <c r="D2314" s="72" t="n"/>
      <c r="E2314" s="72" t="n"/>
      <c r="F2314" s="72" t="n"/>
      <c r="G2314" s="72" t="n"/>
      <c r="H2314" s="72" t="n"/>
      <c r="I2314" s="72" t="n"/>
      <c r="J2314" s="72" t="n"/>
      <c r="K2314" s="72" t="n"/>
      <c r="L2314" s="72" t="n"/>
      <c r="M2314" s="72" t="n"/>
      <c r="N2314" s="72" t="n"/>
      <c r="O2314" s="72" t="n"/>
      <c r="P2314" s="72" t="n"/>
      <c r="Q2314" s="72" t="n"/>
      <c r="R2314" s="72" t="n"/>
      <c r="S2314" s="72" t="n"/>
    </row>
    <row r="2315">
      <c r="B2315" s="72" t="n"/>
      <c r="C2315" s="72" t="n"/>
      <c r="D2315" s="72" t="n"/>
      <c r="E2315" s="72" t="n"/>
      <c r="F2315" s="72" t="n"/>
      <c r="G2315" s="72" t="n"/>
      <c r="H2315" s="72" t="n"/>
      <c r="I2315" s="72" t="n"/>
      <c r="J2315" s="72" t="n"/>
      <c r="K2315" s="72" t="n"/>
      <c r="L2315" s="72" t="n"/>
      <c r="M2315" s="72" t="n"/>
      <c r="N2315" s="72" t="n"/>
      <c r="O2315" s="72" t="n"/>
      <c r="P2315" s="72" t="n"/>
      <c r="Q2315" s="72" t="n"/>
      <c r="R2315" s="72" t="n"/>
      <c r="S2315" s="72" t="n"/>
    </row>
    <row r="2316">
      <c r="B2316" s="72" t="n"/>
      <c r="C2316" s="72" t="n"/>
      <c r="D2316" s="72" t="n"/>
      <c r="E2316" s="72" t="n"/>
      <c r="F2316" s="72" t="n"/>
      <c r="G2316" s="72" t="n"/>
      <c r="H2316" s="72" t="n"/>
      <c r="I2316" s="72" t="n"/>
      <c r="J2316" s="72" t="n"/>
      <c r="K2316" s="72" t="n"/>
      <c r="L2316" s="72" t="n"/>
      <c r="M2316" s="72" t="n"/>
      <c r="N2316" s="72" t="n"/>
      <c r="O2316" s="72" t="n"/>
      <c r="P2316" s="72" t="n"/>
      <c r="Q2316" s="72" t="n"/>
      <c r="R2316" s="72" t="n"/>
      <c r="S2316" s="72" t="n"/>
    </row>
    <row r="2317">
      <c r="B2317" s="72" t="n"/>
      <c r="C2317" s="72" t="n"/>
      <c r="D2317" s="72" t="n"/>
      <c r="E2317" s="72" t="n"/>
      <c r="F2317" s="72" t="n"/>
      <c r="G2317" s="72" t="n"/>
      <c r="H2317" s="72" t="n"/>
      <c r="I2317" s="72" t="n"/>
      <c r="J2317" s="72" t="n"/>
      <c r="K2317" s="72" t="n"/>
      <c r="L2317" s="72" t="n"/>
      <c r="M2317" s="72" t="n"/>
      <c r="N2317" s="72" t="n"/>
      <c r="O2317" s="72" t="n"/>
      <c r="P2317" s="72" t="n"/>
      <c r="Q2317" s="72" t="n"/>
      <c r="R2317" s="72" t="n"/>
      <c r="S2317" s="72" t="n"/>
    </row>
    <row r="2318">
      <c r="B2318" s="72" t="n"/>
      <c r="C2318" s="72" t="n"/>
      <c r="D2318" s="72" t="n"/>
      <c r="E2318" s="72" t="n"/>
      <c r="F2318" s="72" t="n"/>
      <c r="G2318" s="72" t="n"/>
      <c r="H2318" s="72" t="n"/>
      <c r="I2318" s="72" t="n"/>
      <c r="J2318" s="72" t="n"/>
      <c r="K2318" s="72" t="n"/>
      <c r="L2318" s="72" t="n"/>
      <c r="M2318" s="72" t="n"/>
      <c r="N2318" s="72" t="n"/>
      <c r="O2318" s="72" t="n"/>
      <c r="P2318" s="72" t="n"/>
      <c r="Q2318" s="72" t="n"/>
      <c r="R2318" s="72" t="n"/>
      <c r="S2318" s="72" t="n"/>
    </row>
    <row r="2319">
      <c r="B2319" s="72" t="n"/>
      <c r="C2319" s="72" t="n"/>
      <c r="D2319" s="72" t="n"/>
      <c r="E2319" s="72" t="n"/>
      <c r="F2319" s="72" t="n"/>
      <c r="G2319" s="72" t="n"/>
      <c r="H2319" s="72" t="n"/>
      <c r="I2319" s="72" t="n"/>
      <c r="J2319" s="72" t="n"/>
      <c r="K2319" s="72" t="n"/>
      <c r="L2319" s="72" t="n"/>
      <c r="M2319" s="72" t="n"/>
      <c r="N2319" s="72" t="n"/>
      <c r="O2319" s="72" t="n"/>
      <c r="P2319" s="72" t="n"/>
      <c r="Q2319" s="72" t="n"/>
      <c r="R2319" s="72" t="n"/>
      <c r="S2319" s="72" t="n"/>
    </row>
    <row r="2320">
      <c r="B2320" s="72" t="n"/>
      <c r="C2320" s="72" t="n"/>
      <c r="D2320" s="72" t="n"/>
      <c r="E2320" s="72" t="n"/>
      <c r="F2320" s="72" t="n"/>
      <c r="G2320" s="72" t="n"/>
      <c r="H2320" s="72" t="n"/>
      <c r="I2320" s="72" t="n"/>
      <c r="J2320" s="72" t="n"/>
      <c r="K2320" s="72" t="n"/>
      <c r="L2320" s="72" t="n"/>
      <c r="M2320" s="72" t="n"/>
      <c r="N2320" s="72" t="n"/>
      <c r="O2320" s="72" t="n"/>
      <c r="P2320" s="72" t="n"/>
      <c r="Q2320" s="72" t="n"/>
      <c r="R2320" s="72" t="n"/>
      <c r="S2320" s="72" t="n"/>
    </row>
    <row r="2321">
      <c r="B2321" s="72" t="n"/>
      <c r="C2321" s="72" t="n"/>
      <c r="D2321" s="72" t="n"/>
      <c r="E2321" s="72" t="n"/>
      <c r="F2321" s="72" t="n"/>
      <c r="G2321" s="72" t="n"/>
      <c r="H2321" s="72" t="n"/>
      <c r="I2321" s="72" t="n"/>
      <c r="J2321" s="72" t="n"/>
      <c r="K2321" s="72" t="n"/>
      <c r="L2321" s="72" t="n"/>
      <c r="M2321" s="72" t="n"/>
      <c r="N2321" s="72" t="n"/>
      <c r="O2321" s="72" t="n"/>
      <c r="P2321" s="72" t="n"/>
      <c r="Q2321" s="72" t="n"/>
      <c r="R2321" s="72" t="n"/>
      <c r="S2321" s="72" t="n"/>
    </row>
    <row r="2322">
      <c r="B2322" s="72" t="n"/>
      <c r="C2322" s="72" t="n"/>
      <c r="D2322" s="72" t="n"/>
      <c r="E2322" s="72" t="n"/>
      <c r="F2322" s="72" t="n"/>
      <c r="G2322" s="72" t="n"/>
      <c r="H2322" s="72" t="n"/>
      <c r="I2322" s="72" t="n"/>
      <c r="J2322" s="72" t="n"/>
      <c r="K2322" s="72" t="n"/>
      <c r="L2322" s="72" t="n"/>
      <c r="M2322" s="72" t="n"/>
      <c r="N2322" s="72" t="n"/>
      <c r="O2322" s="72" t="n"/>
      <c r="P2322" s="72" t="n"/>
      <c r="Q2322" s="72" t="n"/>
      <c r="R2322" s="72" t="n"/>
      <c r="S2322" s="72" t="n"/>
    </row>
    <row r="2323">
      <c r="B2323" s="72" t="n"/>
      <c r="C2323" s="72" t="n"/>
      <c r="D2323" s="72" t="n"/>
      <c r="E2323" s="72" t="n"/>
      <c r="F2323" s="72" t="n"/>
      <c r="G2323" s="72" t="n"/>
      <c r="H2323" s="72" t="n"/>
      <c r="I2323" s="72" t="n"/>
      <c r="J2323" s="72" t="n"/>
      <c r="K2323" s="72" t="n"/>
      <c r="L2323" s="72" t="n"/>
      <c r="M2323" s="72" t="n"/>
      <c r="N2323" s="72" t="n"/>
      <c r="O2323" s="72" t="n"/>
      <c r="P2323" s="72" t="n"/>
      <c r="Q2323" s="72" t="n"/>
      <c r="R2323" s="72" t="n"/>
      <c r="S2323" s="72" t="n"/>
    </row>
    <row r="2324">
      <c r="B2324" s="72" t="n"/>
      <c r="C2324" s="72" t="n"/>
      <c r="D2324" s="72" t="n"/>
      <c r="E2324" s="72" t="n"/>
      <c r="F2324" s="72" t="n"/>
      <c r="G2324" s="72" t="n"/>
      <c r="H2324" s="72" t="n"/>
      <c r="I2324" s="72" t="n"/>
      <c r="J2324" s="72" t="n"/>
      <c r="K2324" s="72" t="n"/>
      <c r="L2324" s="72" t="n"/>
      <c r="M2324" s="72" t="n"/>
      <c r="N2324" s="72" t="n"/>
      <c r="O2324" s="72" t="n"/>
      <c r="P2324" s="72" t="n"/>
      <c r="Q2324" s="72" t="n"/>
      <c r="R2324" s="72" t="n"/>
      <c r="S2324" s="72" t="n"/>
    </row>
    <row r="2325">
      <c r="B2325" s="72" t="n"/>
      <c r="C2325" s="72" t="n"/>
      <c r="D2325" s="72" t="n"/>
      <c r="E2325" s="72" t="n"/>
      <c r="F2325" s="72" t="n"/>
      <c r="G2325" s="72" t="n"/>
      <c r="H2325" s="72" t="n"/>
      <c r="I2325" s="72" t="n"/>
      <c r="J2325" s="72" t="n"/>
      <c r="K2325" s="72" t="n"/>
      <c r="L2325" s="72" t="n"/>
      <c r="M2325" s="72" t="n"/>
      <c r="N2325" s="72" t="n"/>
      <c r="O2325" s="72" t="n"/>
      <c r="P2325" s="72" t="n"/>
      <c r="Q2325" s="72" t="n"/>
      <c r="R2325" s="72" t="n"/>
      <c r="S2325" s="72" t="n"/>
    </row>
    <row r="2326">
      <c r="B2326" s="72" t="n"/>
      <c r="C2326" s="72" t="n"/>
      <c r="D2326" s="72" t="n"/>
      <c r="E2326" s="72" t="n"/>
      <c r="F2326" s="72" t="n"/>
      <c r="G2326" s="72" t="n"/>
      <c r="H2326" s="72" t="n"/>
      <c r="I2326" s="72" t="n"/>
      <c r="J2326" s="72" t="n"/>
      <c r="K2326" s="72" t="n"/>
      <c r="L2326" s="72" t="n"/>
      <c r="M2326" s="72" t="n"/>
      <c r="N2326" s="72" t="n"/>
      <c r="O2326" s="72" t="n"/>
      <c r="P2326" s="72" t="n"/>
      <c r="Q2326" s="72" t="n"/>
      <c r="R2326" s="72" t="n"/>
      <c r="S2326" s="72" t="n"/>
    </row>
    <row r="2327">
      <c r="B2327" s="72" t="n"/>
      <c r="C2327" s="72" t="n"/>
      <c r="D2327" s="72" t="n"/>
      <c r="E2327" s="72" t="n"/>
      <c r="F2327" s="72" t="n"/>
      <c r="G2327" s="72" t="n"/>
      <c r="H2327" s="72" t="n"/>
      <c r="I2327" s="72" t="n"/>
      <c r="J2327" s="72" t="n"/>
      <c r="K2327" s="72" t="n"/>
      <c r="L2327" s="72" t="n"/>
      <c r="M2327" s="72" t="n"/>
      <c r="N2327" s="72" t="n"/>
      <c r="O2327" s="72" t="n"/>
      <c r="P2327" s="72" t="n"/>
      <c r="Q2327" s="72" t="n"/>
      <c r="R2327" s="72" t="n"/>
      <c r="S2327" s="72" t="n"/>
    </row>
    <row r="2328">
      <c r="B2328" s="72" t="n"/>
      <c r="C2328" s="72" t="n"/>
      <c r="D2328" s="72" t="n"/>
      <c r="E2328" s="72" t="n"/>
      <c r="F2328" s="72" t="n"/>
      <c r="G2328" s="72" t="n"/>
      <c r="H2328" s="72" t="n"/>
      <c r="I2328" s="72" t="n"/>
      <c r="J2328" s="72" t="n"/>
      <c r="K2328" s="72" t="n"/>
      <c r="L2328" s="72" t="n"/>
      <c r="M2328" s="72" t="n"/>
      <c r="N2328" s="72" t="n"/>
      <c r="O2328" s="72" t="n"/>
      <c r="P2328" s="72" t="n"/>
      <c r="Q2328" s="72" t="n"/>
      <c r="R2328" s="72" t="n"/>
      <c r="S2328" s="72" t="n"/>
    </row>
    <row r="2329">
      <c r="B2329" s="72" t="n"/>
      <c r="C2329" s="72" t="n"/>
      <c r="D2329" s="72" t="n"/>
      <c r="E2329" s="72" t="n"/>
      <c r="F2329" s="72" t="n"/>
      <c r="G2329" s="72" t="n"/>
      <c r="H2329" s="72" t="n"/>
      <c r="I2329" s="72" t="n"/>
      <c r="J2329" s="72" t="n"/>
      <c r="K2329" s="72" t="n"/>
      <c r="L2329" s="72" t="n"/>
      <c r="M2329" s="72" t="n"/>
      <c r="N2329" s="72" t="n"/>
      <c r="O2329" s="72" t="n"/>
      <c r="P2329" s="72" t="n"/>
      <c r="Q2329" s="72" t="n"/>
      <c r="R2329" s="72" t="n"/>
      <c r="S2329" s="72" t="n"/>
    </row>
    <row r="2330">
      <c r="B2330" s="72" t="n"/>
      <c r="C2330" s="72" t="n"/>
      <c r="D2330" s="72" t="n"/>
      <c r="E2330" s="72" t="n"/>
      <c r="F2330" s="72" t="n"/>
      <c r="G2330" s="72" t="n"/>
      <c r="H2330" s="72" t="n"/>
      <c r="I2330" s="72" t="n"/>
      <c r="J2330" s="72" t="n"/>
      <c r="K2330" s="72" t="n"/>
      <c r="L2330" s="72" t="n"/>
      <c r="M2330" s="72" t="n"/>
      <c r="N2330" s="72" t="n"/>
      <c r="O2330" s="72" t="n"/>
      <c r="P2330" s="72" t="n"/>
      <c r="Q2330" s="72" t="n"/>
      <c r="R2330" s="72" t="n"/>
      <c r="S2330" s="72" t="n"/>
    </row>
    <row r="2331">
      <c r="B2331" s="72" t="n"/>
      <c r="C2331" s="72" t="n"/>
      <c r="D2331" s="72" t="n"/>
      <c r="E2331" s="72" t="n"/>
      <c r="F2331" s="72" t="n"/>
      <c r="G2331" s="72" t="n"/>
      <c r="H2331" s="72" t="n"/>
      <c r="I2331" s="72" t="n"/>
      <c r="J2331" s="72" t="n"/>
      <c r="K2331" s="72" t="n"/>
      <c r="L2331" s="72" t="n"/>
      <c r="M2331" s="72" t="n"/>
      <c r="N2331" s="72" t="n"/>
      <c r="O2331" s="72" t="n"/>
      <c r="P2331" s="72" t="n"/>
      <c r="Q2331" s="72" t="n"/>
      <c r="R2331" s="72" t="n"/>
      <c r="S2331" s="72" t="n"/>
    </row>
    <row r="2332">
      <c r="B2332" s="72" t="n"/>
      <c r="C2332" s="72" t="n"/>
      <c r="D2332" s="72" t="n"/>
      <c r="E2332" s="72" t="n"/>
      <c r="F2332" s="72" t="n"/>
      <c r="G2332" s="72" t="n"/>
      <c r="H2332" s="72" t="n"/>
      <c r="I2332" s="72" t="n"/>
      <c r="J2332" s="72" t="n"/>
      <c r="K2332" s="72" t="n"/>
      <c r="L2332" s="72" t="n"/>
      <c r="M2332" s="72" t="n"/>
      <c r="N2332" s="72" t="n"/>
      <c r="O2332" s="72" t="n"/>
      <c r="P2332" s="72" t="n"/>
      <c r="Q2332" s="72" t="n"/>
      <c r="R2332" s="72" t="n"/>
      <c r="S2332" s="72" t="n"/>
    </row>
    <row r="2333">
      <c r="B2333" s="72" t="n"/>
      <c r="C2333" s="72" t="n"/>
      <c r="D2333" s="72" t="n"/>
      <c r="E2333" s="72" t="n"/>
      <c r="F2333" s="72" t="n"/>
      <c r="G2333" s="72" t="n"/>
      <c r="H2333" s="72" t="n"/>
      <c r="I2333" s="72" t="n"/>
      <c r="J2333" s="72" t="n"/>
      <c r="K2333" s="72" t="n"/>
      <c r="L2333" s="72" t="n"/>
      <c r="M2333" s="72" t="n"/>
      <c r="N2333" s="72" t="n"/>
      <c r="O2333" s="72" t="n"/>
      <c r="P2333" s="72" t="n"/>
      <c r="Q2333" s="72" t="n"/>
      <c r="R2333" s="72" t="n"/>
      <c r="S2333" s="72" t="n"/>
    </row>
    <row r="2334">
      <c r="B2334" s="72" t="n"/>
      <c r="C2334" s="72" t="n"/>
      <c r="D2334" s="72" t="n"/>
      <c r="E2334" s="72" t="n"/>
      <c r="F2334" s="72" t="n"/>
      <c r="G2334" s="72" t="n"/>
      <c r="H2334" s="72" t="n"/>
      <c r="I2334" s="72" t="n"/>
      <c r="J2334" s="72" t="n"/>
      <c r="K2334" s="72" t="n"/>
      <c r="L2334" s="72" t="n"/>
      <c r="M2334" s="72" t="n"/>
      <c r="N2334" s="72" t="n"/>
      <c r="O2334" s="72" t="n"/>
      <c r="P2334" s="72" t="n"/>
      <c r="Q2334" s="72" t="n"/>
      <c r="R2334" s="72" t="n"/>
      <c r="S2334" s="72" t="n"/>
    </row>
    <row r="2335">
      <c r="B2335" s="72" t="n"/>
      <c r="C2335" s="72" t="n"/>
      <c r="D2335" s="72" t="n"/>
      <c r="E2335" s="72" t="n"/>
      <c r="F2335" s="72" t="n"/>
      <c r="G2335" s="72" t="n"/>
      <c r="H2335" s="72" t="n"/>
      <c r="I2335" s="72" t="n"/>
      <c r="J2335" s="72" t="n"/>
      <c r="K2335" s="72" t="n"/>
      <c r="L2335" s="72" t="n"/>
      <c r="M2335" s="72" t="n"/>
      <c r="N2335" s="72" t="n"/>
      <c r="O2335" s="72" t="n"/>
      <c r="P2335" s="72" t="n"/>
      <c r="Q2335" s="72" t="n"/>
      <c r="R2335" s="72" t="n"/>
      <c r="S2335" s="72" t="n"/>
    </row>
    <row r="2336">
      <c r="B2336" s="72" t="n"/>
      <c r="C2336" s="72" t="n"/>
      <c r="D2336" s="72" t="n"/>
      <c r="E2336" s="72" t="n"/>
      <c r="F2336" s="72" t="n"/>
      <c r="G2336" s="72" t="n"/>
      <c r="H2336" s="72" t="n"/>
      <c r="I2336" s="72" t="n"/>
      <c r="J2336" s="72" t="n"/>
      <c r="K2336" s="72" t="n"/>
      <c r="L2336" s="72" t="n"/>
      <c r="M2336" s="72" t="n"/>
      <c r="N2336" s="72" t="n"/>
      <c r="O2336" s="72" t="n"/>
      <c r="P2336" s="72" t="n"/>
      <c r="Q2336" s="72" t="n"/>
      <c r="R2336" s="72" t="n"/>
      <c r="S2336" s="72" t="n"/>
    </row>
    <row r="2337">
      <c r="B2337" s="72" t="n"/>
      <c r="C2337" s="72" t="n"/>
      <c r="D2337" s="72" t="n"/>
      <c r="E2337" s="72" t="n"/>
      <c r="F2337" s="72" t="n"/>
      <c r="G2337" s="72" t="n"/>
      <c r="H2337" s="72" t="n"/>
      <c r="I2337" s="72" t="n"/>
      <c r="J2337" s="72" t="n"/>
      <c r="K2337" s="72" t="n"/>
      <c r="L2337" s="72" t="n"/>
      <c r="M2337" s="72" t="n"/>
      <c r="N2337" s="72" t="n"/>
      <c r="O2337" s="72" t="n"/>
      <c r="P2337" s="72" t="n"/>
      <c r="Q2337" s="72" t="n"/>
      <c r="R2337" s="72" t="n"/>
      <c r="S2337" s="72" t="n"/>
    </row>
    <row r="2338">
      <c r="B2338" s="72" t="n"/>
      <c r="C2338" s="72" t="n"/>
      <c r="D2338" s="72" t="n"/>
      <c r="E2338" s="72" t="n"/>
      <c r="F2338" s="72" t="n"/>
      <c r="G2338" s="72" t="n"/>
      <c r="H2338" s="72" t="n"/>
      <c r="I2338" s="72" t="n"/>
      <c r="J2338" s="72" t="n"/>
      <c r="K2338" s="72" t="n"/>
      <c r="L2338" s="72" t="n"/>
      <c r="M2338" s="72" t="n"/>
      <c r="N2338" s="72" t="n"/>
      <c r="O2338" s="72" t="n"/>
      <c r="P2338" s="72" t="n"/>
      <c r="Q2338" s="72" t="n"/>
      <c r="R2338" s="72" t="n"/>
      <c r="S2338" s="72" t="n"/>
    </row>
    <row r="2339">
      <c r="B2339" s="72" t="n"/>
      <c r="C2339" s="72" t="n"/>
      <c r="D2339" s="72" t="n"/>
      <c r="E2339" s="72" t="n"/>
      <c r="F2339" s="72" t="n"/>
      <c r="G2339" s="72" t="n"/>
      <c r="H2339" s="72" t="n"/>
      <c r="I2339" s="72" t="n"/>
      <c r="J2339" s="72" t="n"/>
      <c r="K2339" s="72" t="n"/>
      <c r="L2339" s="72" t="n"/>
      <c r="M2339" s="72" t="n"/>
      <c r="N2339" s="72" t="n"/>
      <c r="O2339" s="72" t="n"/>
      <c r="P2339" s="72" t="n"/>
      <c r="Q2339" s="72" t="n"/>
      <c r="R2339" s="72" t="n"/>
      <c r="S2339" s="72" t="n"/>
    </row>
    <row r="2340">
      <c r="B2340" s="72" t="n"/>
      <c r="C2340" s="72" t="n"/>
      <c r="D2340" s="72" t="n"/>
      <c r="E2340" s="72" t="n"/>
      <c r="F2340" s="72" t="n"/>
      <c r="G2340" s="72" t="n"/>
      <c r="H2340" s="72" t="n"/>
      <c r="I2340" s="72" t="n"/>
      <c r="J2340" s="72" t="n"/>
      <c r="K2340" s="72" t="n"/>
      <c r="L2340" s="72" t="n"/>
      <c r="M2340" s="72" t="n"/>
      <c r="N2340" s="72" t="n"/>
      <c r="O2340" s="72" t="n"/>
      <c r="P2340" s="72" t="n"/>
      <c r="Q2340" s="72" t="n"/>
      <c r="R2340" s="72" t="n"/>
      <c r="S2340" s="72" t="n"/>
    </row>
    <row r="2341">
      <c r="B2341" s="72" t="n"/>
      <c r="C2341" s="72" t="n"/>
      <c r="D2341" s="72" t="n"/>
      <c r="E2341" s="72" t="n"/>
      <c r="F2341" s="72" t="n"/>
      <c r="G2341" s="72" t="n"/>
      <c r="H2341" s="72" t="n"/>
      <c r="I2341" s="72" t="n"/>
      <c r="J2341" s="72" t="n"/>
      <c r="K2341" s="72" t="n"/>
      <c r="L2341" s="72" t="n"/>
      <c r="M2341" s="72" t="n"/>
      <c r="N2341" s="72" t="n"/>
      <c r="O2341" s="72" t="n"/>
      <c r="P2341" s="72" t="n"/>
      <c r="Q2341" s="72" t="n"/>
      <c r="R2341" s="72" t="n"/>
      <c r="S2341" s="72" t="n"/>
    </row>
    <row r="2342">
      <c r="B2342" s="72" t="n"/>
      <c r="C2342" s="72" t="n"/>
      <c r="D2342" s="72" t="n"/>
      <c r="E2342" s="72" t="n"/>
      <c r="F2342" s="72" t="n"/>
      <c r="G2342" s="72" t="n"/>
      <c r="H2342" s="72" t="n"/>
      <c r="I2342" s="72" t="n"/>
      <c r="J2342" s="72" t="n"/>
      <c r="K2342" s="72" t="n"/>
      <c r="L2342" s="72" t="n"/>
      <c r="M2342" s="72" t="n"/>
      <c r="N2342" s="72" t="n"/>
      <c r="O2342" s="72" t="n"/>
      <c r="P2342" s="72" t="n"/>
      <c r="Q2342" s="72" t="n"/>
      <c r="R2342" s="72" t="n"/>
      <c r="S2342" s="72" t="n"/>
    </row>
    <row r="2343">
      <c r="B2343" s="72" t="n"/>
      <c r="C2343" s="72" t="n"/>
      <c r="D2343" s="72" t="n"/>
      <c r="E2343" s="72" t="n"/>
      <c r="F2343" s="72" t="n"/>
      <c r="G2343" s="72" t="n"/>
      <c r="H2343" s="72" t="n"/>
      <c r="I2343" s="72" t="n"/>
      <c r="J2343" s="72" t="n"/>
      <c r="K2343" s="72" t="n"/>
      <c r="L2343" s="72" t="n"/>
      <c r="M2343" s="72" t="n"/>
      <c r="N2343" s="72" t="n"/>
      <c r="O2343" s="72" t="n"/>
      <c r="P2343" s="72" t="n"/>
      <c r="Q2343" s="72" t="n"/>
      <c r="R2343" s="72" t="n"/>
      <c r="S2343" s="72" t="n"/>
    </row>
    <row r="2344">
      <c r="B2344" s="72" t="n"/>
      <c r="C2344" s="72" t="n"/>
      <c r="D2344" s="72" t="n"/>
      <c r="E2344" s="72" t="n"/>
      <c r="F2344" s="72" t="n"/>
      <c r="G2344" s="72" t="n"/>
      <c r="H2344" s="72" t="n"/>
      <c r="I2344" s="72" t="n"/>
      <c r="J2344" s="72" t="n"/>
      <c r="K2344" s="72" t="n"/>
      <c r="L2344" s="72" t="n"/>
      <c r="M2344" s="72" t="n"/>
      <c r="N2344" s="72" t="n"/>
      <c r="O2344" s="72" t="n"/>
      <c r="P2344" s="72" t="n"/>
      <c r="Q2344" s="72" t="n"/>
      <c r="R2344" s="72" t="n"/>
      <c r="S2344" s="72" t="n"/>
    </row>
    <row r="2345">
      <c r="B2345" s="72" t="n"/>
      <c r="C2345" s="72" t="n"/>
      <c r="D2345" s="72" t="n"/>
      <c r="E2345" s="72" t="n"/>
      <c r="F2345" s="72" t="n"/>
      <c r="G2345" s="72" t="n"/>
      <c r="H2345" s="72" t="n"/>
      <c r="I2345" s="72" t="n"/>
      <c r="J2345" s="72" t="n"/>
      <c r="K2345" s="72" t="n"/>
      <c r="L2345" s="72" t="n"/>
      <c r="M2345" s="72" t="n"/>
      <c r="N2345" s="72" t="n"/>
      <c r="O2345" s="72" t="n"/>
      <c r="P2345" s="72" t="n"/>
      <c r="Q2345" s="72" t="n"/>
      <c r="R2345" s="72" t="n"/>
      <c r="S2345" s="72" t="n"/>
    </row>
    <row r="2346">
      <c r="B2346" s="72" t="n"/>
      <c r="C2346" s="72" t="n"/>
      <c r="D2346" s="72" t="n"/>
      <c r="E2346" s="72" t="n"/>
      <c r="F2346" s="72" t="n"/>
      <c r="G2346" s="72" t="n"/>
      <c r="H2346" s="72" t="n"/>
      <c r="I2346" s="72" t="n"/>
      <c r="J2346" s="72" t="n"/>
      <c r="K2346" s="72" t="n"/>
      <c r="L2346" s="72" t="n"/>
      <c r="M2346" s="72" t="n"/>
      <c r="N2346" s="72" t="n"/>
      <c r="O2346" s="72" t="n"/>
      <c r="P2346" s="72" t="n"/>
      <c r="Q2346" s="72" t="n"/>
      <c r="R2346" s="72" t="n"/>
      <c r="S2346" s="72" t="n"/>
    </row>
    <row r="2347">
      <c r="B2347" s="72" t="n"/>
      <c r="C2347" s="72" t="n"/>
      <c r="D2347" s="72" t="n"/>
      <c r="E2347" s="72" t="n"/>
      <c r="F2347" s="72" t="n"/>
      <c r="G2347" s="72" t="n"/>
      <c r="H2347" s="72" t="n"/>
      <c r="I2347" s="72" t="n"/>
      <c r="J2347" s="72" t="n"/>
      <c r="K2347" s="72" t="n"/>
      <c r="L2347" s="72" t="n"/>
      <c r="M2347" s="72" t="n"/>
      <c r="N2347" s="72" t="n"/>
      <c r="O2347" s="72" t="n"/>
      <c r="P2347" s="72" t="n"/>
      <c r="Q2347" s="72" t="n"/>
      <c r="R2347" s="72" t="n"/>
      <c r="S2347" s="72" t="n"/>
    </row>
    <row r="2348">
      <c r="B2348" s="72" t="n"/>
      <c r="C2348" s="72" t="n"/>
      <c r="D2348" s="72" t="n"/>
      <c r="E2348" s="72" t="n"/>
      <c r="F2348" s="72" t="n"/>
      <c r="G2348" s="72" t="n"/>
      <c r="H2348" s="72" t="n"/>
      <c r="I2348" s="72" t="n"/>
      <c r="J2348" s="72" t="n"/>
      <c r="K2348" s="72" t="n"/>
      <c r="L2348" s="72" t="n"/>
      <c r="M2348" s="72" t="n"/>
      <c r="N2348" s="72" t="n"/>
      <c r="O2348" s="72" t="n"/>
      <c r="P2348" s="72" t="n"/>
      <c r="Q2348" s="72" t="n"/>
      <c r="R2348" s="72" t="n"/>
      <c r="S2348" s="72" t="n"/>
    </row>
    <row r="2349">
      <c r="B2349" s="72" t="n"/>
      <c r="C2349" s="72" t="n"/>
      <c r="D2349" s="72" t="n"/>
      <c r="E2349" s="72" t="n"/>
      <c r="F2349" s="72" t="n"/>
      <c r="G2349" s="72" t="n"/>
      <c r="H2349" s="72" t="n"/>
      <c r="I2349" s="72" t="n"/>
      <c r="J2349" s="72" t="n"/>
      <c r="K2349" s="72" t="n"/>
      <c r="L2349" s="72" t="n"/>
      <c r="M2349" s="72" t="n"/>
      <c r="N2349" s="72" t="n"/>
      <c r="O2349" s="72" t="n"/>
      <c r="P2349" s="72" t="n"/>
      <c r="Q2349" s="72" t="n"/>
      <c r="R2349" s="72" t="n"/>
      <c r="S2349" s="72" t="n"/>
    </row>
    <row r="2350">
      <c r="B2350" s="72" t="n"/>
      <c r="C2350" s="72" t="n"/>
      <c r="D2350" s="72" t="n"/>
      <c r="E2350" s="72" t="n"/>
      <c r="F2350" s="72" t="n"/>
      <c r="G2350" s="72" t="n"/>
      <c r="H2350" s="72" t="n"/>
      <c r="I2350" s="72" t="n"/>
      <c r="J2350" s="72" t="n"/>
      <c r="K2350" s="72" t="n"/>
      <c r="L2350" s="72" t="n"/>
      <c r="M2350" s="72" t="n"/>
      <c r="N2350" s="72" t="n"/>
      <c r="O2350" s="72" t="n"/>
      <c r="P2350" s="72" t="n"/>
      <c r="Q2350" s="72" t="n"/>
      <c r="R2350" s="72" t="n"/>
      <c r="S2350" s="72" t="n"/>
    </row>
    <row r="2351">
      <c r="B2351" s="72" t="n"/>
      <c r="C2351" s="72" t="n"/>
      <c r="D2351" s="72" t="n"/>
      <c r="E2351" s="72" t="n"/>
      <c r="F2351" s="72" t="n"/>
      <c r="G2351" s="72" t="n"/>
      <c r="H2351" s="72" t="n"/>
      <c r="I2351" s="72" t="n"/>
      <c r="J2351" s="72" t="n"/>
      <c r="K2351" s="72" t="n"/>
      <c r="L2351" s="72" t="n"/>
      <c r="M2351" s="72" t="n"/>
      <c r="N2351" s="72" t="n"/>
      <c r="O2351" s="72" t="n"/>
      <c r="P2351" s="72" t="n"/>
      <c r="Q2351" s="72" t="n"/>
      <c r="R2351" s="72" t="n"/>
      <c r="S2351" s="72" t="n"/>
    </row>
    <row r="2352">
      <c r="B2352" s="72" t="n"/>
      <c r="C2352" s="72" t="n"/>
      <c r="D2352" s="72" t="n"/>
      <c r="E2352" s="72" t="n"/>
      <c r="F2352" s="72" t="n"/>
      <c r="G2352" s="72" t="n"/>
      <c r="H2352" s="72" t="n"/>
      <c r="I2352" s="72" t="n"/>
      <c r="J2352" s="72" t="n"/>
      <c r="K2352" s="72" t="n"/>
      <c r="L2352" s="72" t="n"/>
      <c r="M2352" s="72" t="n"/>
      <c r="N2352" s="72" t="n"/>
      <c r="O2352" s="72" t="n"/>
      <c r="P2352" s="72" t="n"/>
      <c r="Q2352" s="72" t="n"/>
      <c r="R2352" s="72" t="n"/>
      <c r="S2352" s="72" t="n"/>
    </row>
    <row r="2353">
      <c r="B2353" s="72" t="n"/>
      <c r="C2353" s="72" t="n"/>
      <c r="D2353" s="72" t="n"/>
      <c r="E2353" s="72" t="n"/>
      <c r="F2353" s="72" t="n"/>
      <c r="G2353" s="72" t="n"/>
      <c r="H2353" s="72" t="n"/>
      <c r="I2353" s="72" t="n"/>
      <c r="J2353" s="72" t="n"/>
      <c r="K2353" s="72" t="n"/>
      <c r="L2353" s="72" t="n"/>
      <c r="M2353" s="72" t="n"/>
      <c r="N2353" s="72" t="n"/>
      <c r="O2353" s="72" t="n"/>
      <c r="P2353" s="72" t="n"/>
      <c r="Q2353" s="72" t="n"/>
      <c r="R2353" s="72" t="n"/>
      <c r="S2353" s="72" t="n"/>
    </row>
    <row r="2354">
      <c r="B2354" s="72" t="n"/>
      <c r="C2354" s="72" t="n"/>
      <c r="D2354" s="72" t="n"/>
      <c r="E2354" s="72" t="n"/>
      <c r="F2354" s="72" t="n"/>
      <c r="G2354" s="72" t="n"/>
      <c r="H2354" s="72" t="n"/>
      <c r="I2354" s="72" t="n"/>
      <c r="J2354" s="72" t="n"/>
      <c r="K2354" s="72" t="n"/>
      <c r="L2354" s="72" t="n"/>
      <c r="M2354" s="72" t="n"/>
      <c r="N2354" s="72" t="n"/>
      <c r="O2354" s="72" t="n"/>
      <c r="P2354" s="72" t="n"/>
      <c r="Q2354" s="72" t="n"/>
      <c r="R2354" s="72" t="n"/>
      <c r="S2354" s="72" t="n"/>
    </row>
    <row r="2355">
      <c r="B2355" s="72" t="n"/>
      <c r="C2355" s="72" t="n"/>
      <c r="D2355" s="72" t="n"/>
      <c r="E2355" s="72" t="n"/>
      <c r="F2355" s="72" t="n"/>
      <c r="G2355" s="72" t="n"/>
      <c r="H2355" s="72" t="n"/>
      <c r="I2355" s="72" t="n"/>
      <c r="J2355" s="72" t="n"/>
      <c r="K2355" s="72" t="n"/>
      <c r="L2355" s="72" t="n"/>
      <c r="M2355" s="72" t="n"/>
      <c r="N2355" s="72" t="n"/>
      <c r="O2355" s="72" t="n"/>
      <c r="P2355" s="72" t="n"/>
      <c r="Q2355" s="72" t="n"/>
      <c r="R2355" s="72" t="n"/>
      <c r="S2355" s="72" t="n"/>
    </row>
    <row r="2356">
      <c r="B2356" s="72" t="n"/>
      <c r="C2356" s="72" t="n"/>
      <c r="D2356" s="72" t="n"/>
      <c r="E2356" s="72" t="n"/>
      <c r="F2356" s="72" t="n"/>
      <c r="G2356" s="72" t="n"/>
      <c r="H2356" s="72" t="n"/>
      <c r="I2356" s="72" t="n"/>
      <c r="J2356" s="72" t="n"/>
      <c r="K2356" s="72" t="n"/>
      <c r="L2356" s="72" t="n"/>
      <c r="M2356" s="72" t="n"/>
      <c r="N2356" s="72" t="n"/>
      <c r="O2356" s="72" t="n"/>
      <c r="P2356" s="72" t="n"/>
      <c r="Q2356" s="72" t="n"/>
      <c r="R2356" s="72" t="n"/>
      <c r="S2356" s="72" t="n"/>
    </row>
    <row r="2357">
      <c r="B2357" s="72" t="n"/>
      <c r="C2357" s="72" t="n"/>
      <c r="D2357" s="72" t="n"/>
      <c r="E2357" s="72" t="n"/>
      <c r="F2357" s="72" t="n"/>
      <c r="G2357" s="72" t="n"/>
      <c r="H2357" s="72" t="n"/>
      <c r="I2357" s="72" t="n"/>
      <c r="J2357" s="72" t="n"/>
      <c r="K2357" s="72" t="n"/>
      <c r="L2357" s="72" t="n"/>
      <c r="M2357" s="72" t="n"/>
      <c r="N2357" s="72" t="n"/>
      <c r="O2357" s="72" t="n"/>
      <c r="P2357" s="72" t="n"/>
      <c r="Q2357" s="72" t="n"/>
      <c r="R2357" s="72" t="n"/>
      <c r="S2357" s="72" t="n"/>
    </row>
    <row r="2358">
      <c r="B2358" s="72" t="n"/>
      <c r="C2358" s="72" t="n"/>
      <c r="D2358" s="72" t="n"/>
      <c r="E2358" s="72" t="n"/>
      <c r="F2358" s="72" t="n"/>
      <c r="G2358" s="72" t="n"/>
      <c r="H2358" s="72" t="n"/>
      <c r="I2358" s="72" t="n"/>
      <c r="J2358" s="72" t="n"/>
      <c r="K2358" s="72" t="n"/>
      <c r="L2358" s="72" t="n"/>
      <c r="M2358" s="72" t="n"/>
      <c r="N2358" s="72" t="n"/>
      <c r="O2358" s="72" t="n"/>
      <c r="P2358" s="72" t="n"/>
      <c r="Q2358" s="72" t="n"/>
      <c r="R2358" s="72" t="n"/>
      <c r="S2358" s="72" t="n"/>
    </row>
    <row r="2359">
      <c r="B2359" s="72" t="n"/>
      <c r="C2359" s="72" t="n"/>
      <c r="D2359" s="72" t="n"/>
      <c r="E2359" s="72" t="n"/>
      <c r="F2359" s="72" t="n"/>
      <c r="G2359" s="72" t="n"/>
      <c r="H2359" s="72" t="n"/>
      <c r="I2359" s="72" t="n"/>
      <c r="J2359" s="72" t="n"/>
      <c r="K2359" s="72" t="n"/>
      <c r="L2359" s="72" t="n"/>
      <c r="M2359" s="72" t="n"/>
      <c r="N2359" s="72" t="n"/>
      <c r="O2359" s="72" t="n"/>
      <c r="P2359" s="72" t="n"/>
      <c r="Q2359" s="72" t="n"/>
      <c r="R2359" s="72" t="n"/>
      <c r="S2359" s="72" t="n"/>
    </row>
    <row r="2360">
      <c r="B2360" s="72" t="n"/>
      <c r="C2360" s="72" t="n"/>
      <c r="D2360" s="72" t="n"/>
      <c r="E2360" s="72" t="n"/>
      <c r="F2360" s="72" t="n"/>
      <c r="G2360" s="72" t="n"/>
      <c r="H2360" s="72" t="n"/>
      <c r="I2360" s="72" t="n"/>
      <c r="J2360" s="72" t="n"/>
      <c r="K2360" s="72" t="n"/>
      <c r="L2360" s="72" t="n"/>
      <c r="M2360" s="72" t="n"/>
      <c r="N2360" s="72" t="n"/>
      <c r="O2360" s="72" t="n"/>
      <c r="P2360" s="72" t="n"/>
      <c r="Q2360" s="72" t="n"/>
      <c r="R2360" s="72" t="n"/>
      <c r="S2360" s="72" t="n"/>
    </row>
    <row r="2361">
      <c r="B2361" s="72" t="n"/>
      <c r="C2361" s="72" t="n"/>
      <c r="D2361" s="72" t="n"/>
      <c r="E2361" s="72" t="n"/>
      <c r="F2361" s="72" t="n"/>
      <c r="G2361" s="72" t="n"/>
      <c r="H2361" s="72" t="n"/>
      <c r="I2361" s="72" t="n"/>
      <c r="J2361" s="72" t="n"/>
      <c r="K2361" s="72" t="n"/>
      <c r="L2361" s="72" t="n"/>
      <c r="M2361" s="72" t="n"/>
      <c r="N2361" s="72" t="n"/>
      <c r="O2361" s="72" t="n"/>
      <c r="P2361" s="72" t="n"/>
      <c r="Q2361" s="72" t="n"/>
      <c r="R2361" s="72" t="n"/>
      <c r="S2361" s="72" t="n"/>
    </row>
    <row r="2362">
      <c r="B2362" s="72" t="n"/>
      <c r="C2362" s="72" t="n"/>
      <c r="D2362" s="72" t="n"/>
      <c r="E2362" s="72" t="n"/>
      <c r="F2362" s="72" t="n"/>
      <c r="G2362" s="72" t="n"/>
      <c r="H2362" s="72" t="n"/>
      <c r="I2362" s="72" t="n"/>
      <c r="J2362" s="72" t="n"/>
      <c r="K2362" s="72" t="n"/>
      <c r="L2362" s="72" t="n"/>
      <c r="M2362" s="72" t="n"/>
      <c r="N2362" s="72" t="n"/>
      <c r="O2362" s="72" t="n"/>
      <c r="P2362" s="72" t="n"/>
      <c r="Q2362" s="72" t="n"/>
      <c r="R2362" s="72" t="n"/>
      <c r="S2362" s="72" t="n"/>
    </row>
    <row r="2363">
      <c r="B2363" s="72" t="n"/>
      <c r="C2363" s="72" t="n"/>
      <c r="D2363" s="72" t="n"/>
      <c r="E2363" s="72" t="n"/>
      <c r="F2363" s="72" t="n"/>
      <c r="G2363" s="72" t="n"/>
      <c r="H2363" s="72" t="n"/>
      <c r="I2363" s="72" t="n"/>
      <c r="J2363" s="72" t="n"/>
      <c r="K2363" s="72" t="n"/>
      <c r="L2363" s="72" t="n"/>
      <c r="M2363" s="72" t="n"/>
      <c r="N2363" s="72" t="n"/>
      <c r="O2363" s="72" t="n"/>
      <c r="P2363" s="72" t="n"/>
      <c r="Q2363" s="72" t="n"/>
      <c r="R2363" s="72" t="n"/>
      <c r="S2363" s="72" t="n"/>
    </row>
    <row r="2364">
      <c r="B2364" s="72" t="n"/>
      <c r="C2364" s="72" t="n"/>
      <c r="D2364" s="72" t="n"/>
      <c r="E2364" s="72" t="n"/>
      <c r="F2364" s="72" t="n"/>
      <c r="G2364" s="72" t="n"/>
      <c r="H2364" s="72" t="n"/>
      <c r="I2364" s="72" t="n"/>
      <c r="J2364" s="72" t="n"/>
      <c r="K2364" s="72" t="n"/>
      <c r="L2364" s="72" t="n"/>
      <c r="M2364" s="72" t="n"/>
      <c r="N2364" s="72" t="n"/>
      <c r="O2364" s="72" t="n"/>
      <c r="P2364" s="72" t="n"/>
      <c r="Q2364" s="72" t="n"/>
      <c r="R2364" s="72" t="n"/>
      <c r="S2364" s="72" t="n"/>
    </row>
    <row r="2365">
      <c r="B2365" s="72" t="n"/>
      <c r="C2365" s="72" t="n"/>
      <c r="D2365" s="72" t="n"/>
      <c r="E2365" s="72" t="n"/>
      <c r="F2365" s="72" t="n"/>
      <c r="G2365" s="72" t="n"/>
      <c r="H2365" s="72" t="n"/>
      <c r="I2365" s="72" t="n"/>
      <c r="J2365" s="72" t="n"/>
      <c r="K2365" s="72" t="n"/>
      <c r="L2365" s="72" t="n"/>
      <c r="M2365" s="72" t="n"/>
      <c r="N2365" s="72" t="n"/>
      <c r="O2365" s="72" t="n"/>
      <c r="P2365" s="72" t="n"/>
      <c r="Q2365" s="72" t="n"/>
      <c r="R2365" s="72" t="n"/>
      <c r="S2365" s="72" t="n"/>
    </row>
    <row r="2366">
      <c r="B2366" s="72" t="n"/>
      <c r="C2366" s="72" t="n"/>
      <c r="D2366" s="72" t="n"/>
      <c r="E2366" s="72" t="n"/>
      <c r="F2366" s="72" t="n"/>
      <c r="G2366" s="72" t="n"/>
      <c r="H2366" s="72" t="n"/>
      <c r="I2366" s="72" t="n"/>
      <c r="J2366" s="72" t="n"/>
      <c r="K2366" s="72" t="n"/>
      <c r="L2366" s="72" t="n"/>
      <c r="M2366" s="72" t="n"/>
      <c r="N2366" s="72" t="n"/>
      <c r="O2366" s="72" t="n"/>
      <c r="P2366" s="72" t="n"/>
      <c r="Q2366" s="72" t="n"/>
      <c r="R2366" s="72" t="n"/>
      <c r="S2366" s="72" t="n"/>
    </row>
    <row r="2367">
      <c r="B2367" s="72" t="n"/>
      <c r="C2367" s="72" t="n"/>
      <c r="D2367" s="72" t="n"/>
      <c r="E2367" s="72" t="n"/>
      <c r="F2367" s="72" t="n"/>
      <c r="G2367" s="72" t="n"/>
      <c r="H2367" s="72" t="n"/>
      <c r="I2367" s="72" t="n"/>
      <c r="J2367" s="72" t="n"/>
      <c r="K2367" s="72" t="n"/>
      <c r="L2367" s="72" t="n"/>
      <c r="M2367" s="72" t="n"/>
      <c r="N2367" s="72" t="n"/>
      <c r="O2367" s="72" t="n"/>
      <c r="P2367" s="72" t="n"/>
      <c r="Q2367" s="72" t="n"/>
      <c r="R2367" s="72" t="n"/>
      <c r="S2367" s="72" t="n"/>
    </row>
    <row r="2368">
      <c r="B2368" s="72" t="n"/>
      <c r="C2368" s="72" t="n"/>
      <c r="D2368" s="72" t="n"/>
      <c r="E2368" s="72" t="n"/>
      <c r="F2368" s="72" t="n"/>
      <c r="G2368" s="72" t="n"/>
      <c r="H2368" s="72" t="n"/>
      <c r="I2368" s="72" t="n"/>
      <c r="J2368" s="72" t="n"/>
      <c r="K2368" s="72" t="n"/>
      <c r="L2368" s="72" t="n"/>
      <c r="M2368" s="72" t="n"/>
      <c r="N2368" s="72" t="n"/>
      <c r="O2368" s="72" t="n"/>
      <c r="P2368" s="72" t="n"/>
      <c r="Q2368" s="72" t="n"/>
      <c r="R2368" s="72" t="n"/>
      <c r="S2368" s="72" t="n"/>
    </row>
    <row r="2369">
      <c r="B2369" s="72" t="n"/>
      <c r="C2369" s="72" t="n"/>
      <c r="D2369" s="72" t="n"/>
      <c r="E2369" s="72" t="n"/>
      <c r="F2369" s="72" t="n"/>
      <c r="G2369" s="72" t="n"/>
      <c r="H2369" s="72" t="n"/>
      <c r="I2369" s="72" t="n"/>
      <c r="J2369" s="72" t="n"/>
      <c r="K2369" s="72" t="n"/>
      <c r="L2369" s="72" t="n"/>
      <c r="M2369" s="72" t="n"/>
      <c r="N2369" s="72" t="n"/>
      <c r="O2369" s="72" t="n"/>
      <c r="P2369" s="72" t="n"/>
      <c r="Q2369" s="72" t="n"/>
      <c r="R2369" s="72" t="n"/>
      <c r="S2369" s="72" t="n"/>
    </row>
    <row r="2370">
      <c r="B2370" s="72" t="n"/>
      <c r="C2370" s="72" t="n"/>
      <c r="D2370" s="72" t="n"/>
      <c r="E2370" s="72" t="n"/>
      <c r="F2370" s="72" t="n"/>
      <c r="G2370" s="72" t="n"/>
      <c r="H2370" s="72" t="n"/>
      <c r="I2370" s="72" t="n"/>
      <c r="J2370" s="72" t="n"/>
      <c r="K2370" s="72" t="n"/>
      <c r="L2370" s="72" t="n"/>
      <c r="M2370" s="72" t="n"/>
      <c r="N2370" s="72" t="n"/>
      <c r="O2370" s="72" t="n"/>
      <c r="P2370" s="72" t="n"/>
      <c r="Q2370" s="72" t="n"/>
      <c r="R2370" s="72" t="n"/>
      <c r="S2370" s="72" t="n"/>
    </row>
    <row r="2371">
      <c r="B2371" s="72" t="n"/>
      <c r="C2371" s="72" t="n"/>
      <c r="D2371" s="72" t="n"/>
      <c r="E2371" s="72" t="n"/>
      <c r="F2371" s="72" t="n"/>
      <c r="G2371" s="72" t="n"/>
      <c r="H2371" s="72" t="n"/>
      <c r="I2371" s="72" t="n"/>
      <c r="J2371" s="72" t="n"/>
      <c r="K2371" s="72" t="n"/>
      <c r="L2371" s="72" t="n"/>
      <c r="M2371" s="72" t="n"/>
      <c r="N2371" s="72" t="n"/>
      <c r="O2371" s="72" t="n"/>
      <c r="P2371" s="72" t="n"/>
      <c r="Q2371" s="72" t="n"/>
      <c r="R2371" s="72" t="n"/>
      <c r="S2371" s="72" t="n"/>
    </row>
    <row r="2372">
      <c r="B2372" s="72" t="n"/>
      <c r="C2372" s="72" t="n"/>
      <c r="D2372" s="72" t="n"/>
      <c r="E2372" s="72" t="n"/>
      <c r="F2372" s="72" t="n"/>
      <c r="G2372" s="72" t="n"/>
      <c r="H2372" s="72" t="n"/>
      <c r="I2372" s="72" t="n"/>
      <c r="J2372" s="72" t="n"/>
      <c r="K2372" s="72" t="n"/>
      <c r="L2372" s="72" t="n"/>
      <c r="M2372" s="72" t="n"/>
      <c r="N2372" s="72" t="n"/>
      <c r="O2372" s="72" t="n"/>
      <c r="P2372" s="72" t="n"/>
      <c r="Q2372" s="72" t="n"/>
      <c r="R2372" s="72" t="n"/>
      <c r="S2372" s="72" t="n"/>
    </row>
    <row r="2373">
      <c r="B2373" s="72" t="n"/>
      <c r="C2373" s="72" t="n"/>
      <c r="D2373" s="72" t="n"/>
      <c r="E2373" s="72" t="n"/>
      <c r="F2373" s="72" t="n"/>
      <c r="G2373" s="72" t="n"/>
      <c r="H2373" s="72" t="n"/>
      <c r="I2373" s="72" t="n"/>
      <c r="J2373" s="72" t="n"/>
      <c r="K2373" s="72" t="n"/>
      <c r="L2373" s="72" t="n"/>
      <c r="M2373" s="72" t="n"/>
      <c r="N2373" s="72" t="n"/>
      <c r="O2373" s="72" t="n"/>
      <c r="P2373" s="72" t="n"/>
      <c r="Q2373" s="72" t="n"/>
      <c r="R2373" s="72" t="n"/>
      <c r="S2373" s="72" t="n"/>
    </row>
    <row r="2374">
      <c r="B2374" s="72" t="n"/>
      <c r="C2374" s="72" t="n"/>
      <c r="D2374" s="72" t="n"/>
      <c r="E2374" s="72" t="n"/>
      <c r="F2374" s="72" t="n"/>
      <c r="G2374" s="72" t="n"/>
      <c r="H2374" s="72" t="n"/>
      <c r="I2374" s="72" t="n"/>
      <c r="J2374" s="72" t="n"/>
      <c r="K2374" s="72" t="n"/>
      <c r="L2374" s="72" t="n"/>
      <c r="M2374" s="72" t="n"/>
      <c r="N2374" s="72" t="n"/>
      <c r="O2374" s="72" t="n"/>
      <c r="P2374" s="72" t="n"/>
      <c r="Q2374" s="72" t="n"/>
      <c r="R2374" s="72" t="n"/>
      <c r="S2374" s="72" t="n"/>
    </row>
    <row r="2375">
      <c r="B2375" s="72" t="n"/>
      <c r="C2375" s="72" t="n"/>
      <c r="D2375" s="72" t="n"/>
      <c r="E2375" s="72" t="n"/>
      <c r="F2375" s="72" t="n"/>
      <c r="G2375" s="72" t="n"/>
      <c r="H2375" s="72" t="n"/>
      <c r="I2375" s="72" t="n"/>
      <c r="J2375" s="72" t="n"/>
      <c r="K2375" s="72" t="n"/>
      <c r="L2375" s="72" t="n"/>
      <c r="M2375" s="72" t="n"/>
      <c r="N2375" s="72" t="n"/>
      <c r="O2375" s="72" t="n"/>
      <c r="P2375" s="72" t="n"/>
      <c r="Q2375" s="72" t="n"/>
      <c r="R2375" s="72" t="n"/>
      <c r="S2375" s="72" t="n"/>
    </row>
    <row r="2376">
      <c r="B2376" s="72" t="n"/>
      <c r="C2376" s="72" t="n"/>
      <c r="D2376" s="72" t="n"/>
      <c r="E2376" s="72" t="n"/>
      <c r="F2376" s="72" t="n"/>
      <c r="G2376" s="72" t="n"/>
      <c r="H2376" s="72" t="n"/>
      <c r="I2376" s="72" t="n"/>
      <c r="J2376" s="72" t="n"/>
      <c r="K2376" s="72" t="n"/>
      <c r="L2376" s="72" t="n"/>
      <c r="M2376" s="72" t="n"/>
      <c r="N2376" s="72" t="n"/>
      <c r="O2376" s="72" t="n"/>
      <c r="P2376" s="72" t="n"/>
      <c r="Q2376" s="72" t="n"/>
      <c r="R2376" s="72" t="n"/>
      <c r="S2376" s="72" t="n"/>
    </row>
    <row r="2377">
      <c r="B2377" s="72" t="n"/>
      <c r="C2377" s="72" t="n"/>
      <c r="D2377" s="72" t="n"/>
      <c r="E2377" s="72" t="n"/>
      <c r="F2377" s="72" t="n"/>
      <c r="G2377" s="72" t="n"/>
      <c r="H2377" s="72" t="n"/>
      <c r="I2377" s="72" t="n"/>
      <c r="J2377" s="72" t="n"/>
      <c r="K2377" s="72" t="n"/>
      <c r="L2377" s="72" t="n"/>
      <c r="M2377" s="72" t="n"/>
      <c r="N2377" s="72" t="n"/>
      <c r="O2377" s="72" t="n"/>
      <c r="P2377" s="72" t="n"/>
      <c r="Q2377" s="72" t="n"/>
      <c r="R2377" s="72" t="n"/>
      <c r="S2377" s="72" t="n"/>
    </row>
    <row r="2378">
      <c r="B2378" s="72" t="n"/>
      <c r="C2378" s="72" t="n"/>
      <c r="D2378" s="72" t="n"/>
      <c r="E2378" s="72" t="n"/>
      <c r="F2378" s="72" t="n"/>
      <c r="G2378" s="72" t="n"/>
      <c r="H2378" s="72" t="n"/>
      <c r="I2378" s="72" t="n"/>
      <c r="J2378" s="72" t="n"/>
      <c r="K2378" s="72" t="n"/>
      <c r="L2378" s="72" t="n"/>
      <c r="M2378" s="72" t="n"/>
      <c r="N2378" s="72" t="n"/>
      <c r="O2378" s="72" t="n"/>
      <c r="P2378" s="72" t="n"/>
      <c r="Q2378" s="72" t="n"/>
      <c r="R2378" s="72" t="n"/>
      <c r="S2378" s="72" t="n"/>
    </row>
    <row r="2379">
      <c r="B2379" s="72" t="n"/>
      <c r="C2379" s="72" t="n"/>
      <c r="D2379" s="72" t="n"/>
      <c r="E2379" s="72" t="n"/>
      <c r="F2379" s="72" t="n"/>
      <c r="G2379" s="72" t="n"/>
      <c r="H2379" s="72" t="n"/>
      <c r="I2379" s="72" t="n"/>
      <c r="J2379" s="72" t="n"/>
      <c r="K2379" s="72" t="n"/>
      <c r="L2379" s="72" t="n"/>
      <c r="M2379" s="72" t="n"/>
      <c r="N2379" s="72" t="n"/>
      <c r="O2379" s="72" t="n"/>
      <c r="P2379" s="72" t="n"/>
      <c r="Q2379" s="72" t="n"/>
      <c r="R2379" s="72" t="n"/>
      <c r="S2379" s="72" t="n"/>
    </row>
    <row r="2380">
      <c r="B2380" s="72" t="n"/>
      <c r="C2380" s="72" t="n"/>
      <c r="D2380" s="72" t="n"/>
      <c r="E2380" s="72" t="n"/>
      <c r="F2380" s="72" t="n"/>
      <c r="G2380" s="72" t="n"/>
      <c r="H2380" s="72" t="n"/>
      <c r="I2380" s="72" t="n"/>
      <c r="J2380" s="72" t="n"/>
      <c r="K2380" s="72" t="n"/>
      <c r="L2380" s="72" t="n"/>
      <c r="M2380" s="72" t="n"/>
      <c r="N2380" s="72" t="n"/>
      <c r="O2380" s="72" t="n"/>
      <c r="P2380" s="72" t="n"/>
      <c r="Q2380" s="72" t="n"/>
      <c r="R2380" s="72" t="n"/>
      <c r="S2380" s="72" t="n"/>
    </row>
    <row r="2381">
      <c r="B2381" s="72" t="n"/>
      <c r="C2381" s="72" t="n"/>
      <c r="D2381" s="72" t="n"/>
      <c r="E2381" s="72" t="n"/>
      <c r="F2381" s="72" t="n"/>
      <c r="G2381" s="72" t="n"/>
      <c r="H2381" s="72" t="n"/>
      <c r="I2381" s="72" t="n"/>
      <c r="J2381" s="72" t="n"/>
      <c r="K2381" s="72" t="n"/>
      <c r="L2381" s="72" t="n"/>
      <c r="M2381" s="72" t="n"/>
      <c r="N2381" s="72" t="n"/>
      <c r="O2381" s="72" t="n"/>
      <c r="P2381" s="72" t="n"/>
      <c r="Q2381" s="72" t="n"/>
      <c r="R2381" s="72" t="n"/>
      <c r="S2381" s="72" t="n"/>
    </row>
    <row r="2382">
      <c r="B2382" s="72" t="n"/>
      <c r="C2382" s="72" t="n"/>
      <c r="D2382" s="72" t="n"/>
      <c r="E2382" s="72" t="n"/>
      <c r="F2382" s="72" t="n"/>
      <c r="G2382" s="72" t="n"/>
      <c r="H2382" s="72" t="n"/>
      <c r="I2382" s="72" t="n"/>
      <c r="J2382" s="72" t="n"/>
      <c r="K2382" s="72" t="n"/>
      <c r="L2382" s="72" t="n"/>
      <c r="M2382" s="72" t="n"/>
      <c r="N2382" s="72" t="n"/>
      <c r="O2382" s="72" t="n"/>
      <c r="P2382" s="72" t="n"/>
      <c r="Q2382" s="72" t="n"/>
      <c r="R2382" s="72" t="n"/>
      <c r="S2382" s="72" t="n"/>
    </row>
    <row r="2383">
      <c r="B2383" s="72" t="n"/>
      <c r="C2383" s="72" t="n"/>
      <c r="D2383" s="72" t="n"/>
      <c r="E2383" s="72" t="n"/>
      <c r="F2383" s="72" t="n"/>
      <c r="G2383" s="72" t="n"/>
      <c r="H2383" s="72" t="n"/>
      <c r="I2383" s="72" t="n"/>
      <c r="J2383" s="72" t="n"/>
      <c r="K2383" s="72" t="n"/>
      <c r="L2383" s="72" t="n"/>
      <c r="M2383" s="72" t="n"/>
      <c r="N2383" s="72" t="n"/>
      <c r="O2383" s="72" t="n"/>
      <c r="P2383" s="72" t="n"/>
      <c r="Q2383" s="72" t="n"/>
      <c r="R2383" s="72" t="n"/>
      <c r="S2383" s="72" t="n"/>
    </row>
    <row r="2384">
      <c r="B2384" s="72" t="n"/>
      <c r="C2384" s="72" t="n"/>
      <c r="D2384" s="72" t="n"/>
      <c r="E2384" s="72" t="n"/>
      <c r="F2384" s="72" t="n"/>
      <c r="G2384" s="72" t="n"/>
      <c r="H2384" s="72" t="n"/>
      <c r="I2384" s="72" t="n"/>
      <c r="J2384" s="72" t="n"/>
      <c r="K2384" s="72" t="n"/>
      <c r="L2384" s="72" t="n"/>
      <c r="M2384" s="72" t="n"/>
      <c r="N2384" s="72" t="n"/>
      <c r="O2384" s="72" t="n"/>
      <c r="P2384" s="72" t="n"/>
      <c r="Q2384" s="72" t="n"/>
      <c r="R2384" s="72" t="n"/>
      <c r="S2384" s="72" t="n"/>
    </row>
    <row r="2385">
      <c r="B2385" s="72" t="n"/>
      <c r="C2385" s="72" t="n"/>
      <c r="D2385" s="72" t="n"/>
      <c r="E2385" s="72" t="n"/>
      <c r="F2385" s="72" t="n"/>
      <c r="G2385" s="72" t="n"/>
      <c r="H2385" s="72" t="n"/>
      <c r="I2385" s="72" t="n"/>
      <c r="J2385" s="72" t="n"/>
      <c r="K2385" s="72" t="n"/>
      <c r="L2385" s="72" t="n"/>
      <c r="M2385" s="72" t="n"/>
      <c r="N2385" s="72" t="n"/>
      <c r="O2385" s="72" t="n"/>
      <c r="P2385" s="72" t="n"/>
      <c r="Q2385" s="72" t="n"/>
      <c r="R2385" s="72" t="n"/>
      <c r="S2385" s="72" t="n"/>
    </row>
    <row r="2386">
      <c r="B2386" s="72" t="n"/>
      <c r="C2386" s="72" t="n"/>
      <c r="D2386" s="72" t="n"/>
      <c r="E2386" s="72" t="n"/>
      <c r="F2386" s="72" t="n"/>
      <c r="G2386" s="72" t="n"/>
      <c r="H2386" s="72" t="n"/>
      <c r="I2386" s="72" t="n"/>
      <c r="J2386" s="72" t="n"/>
      <c r="K2386" s="72" t="n"/>
      <c r="L2386" s="72" t="n"/>
      <c r="M2386" s="72" t="n"/>
      <c r="N2386" s="72" t="n"/>
      <c r="O2386" s="72" t="n"/>
      <c r="P2386" s="72" t="n"/>
      <c r="Q2386" s="72" t="n"/>
      <c r="R2386" s="72" t="n"/>
      <c r="S2386" s="72" t="n"/>
    </row>
    <row r="2387">
      <c r="B2387" s="72" t="n"/>
      <c r="C2387" s="72" t="n"/>
      <c r="D2387" s="72" t="n"/>
      <c r="E2387" s="72" t="n"/>
      <c r="F2387" s="72" t="n"/>
      <c r="G2387" s="72" t="n"/>
      <c r="H2387" s="72" t="n"/>
      <c r="I2387" s="72" t="n"/>
      <c r="J2387" s="72" t="n"/>
      <c r="K2387" s="72" t="n"/>
      <c r="L2387" s="72" t="n"/>
      <c r="M2387" s="72" t="n"/>
      <c r="N2387" s="72" t="n"/>
      <c r="O2387" s="72" t="n"/>
      <c r="P2387" s="72" t="n"/>
      <c r="Q2387" s="72" t="n"/>
      <c r="R2387" s="72" t="n"/>
      <c r="S2387" s="72" t="n"/>
    </row>
    <row r="2388">
      <c r="B2388" s="72" t="n"/>
      <c r="C2388" s="72" t="n"/>
      <c r="D2388" s="72" t="n"/>
      <c r="E2388" s="72" t="n"/>
      <c r="F2388" s="72" t="n"/>
      <c r="G2388" s="72" t="n"/>
      <c r="H2388" s="72" t="n"/>
      <c r="I2388" s="72" t="n"/>
      <c r="J2388" s="72" t="n"/>
      <c r="K2388" s="72" t="n"/>
      <c r="L2388" s="72" t="n"/>
      <c r="M2388" s="72" t="n"/>
      <c r="N2388" s="72" t="n"/>
      <c r="O2388" s="72" t="n"/>
      <c r="P2388" s="72" t="n"/>
      <c r="Q2388" s="72" t="n"/>
      <c r="R2388" s="72" t="n"/>
      <c r="S2388" s="72" t="n"/>
    </row>
    <row r="2389">
      <c r="B2389" s="72" t="n"/>
      <c r="C2389" s="72" t="n"/>
      <c r="D2389" s="72" t="n"/>
      <c r="E2389" s="72" t="n"/>
      <c r="F2389" s="72" t="n"/>
      <c r="G2389" s="72" t="n"/>
      <c r="H2389" s="72" t="n"/>
      <c r="I2389" s="72" t="n"/>
      <c r="J2389" s="72" t="n"/>
      <c r="K2389" s="72" t="n"/>
      <c r="L2389" s="72" t="n"/>
      <c r="M2389" s="72" t="n"/>
      <c r="N2389" s="72" t="n"/>
      <c r="O2389" s="72" t="n"/>
      <c r="P2389" s="72" t="n"/>
      <c r="Q2389" s="72" t="n"/>
      <c r="R2389" s="72" t="n"/>
      <c r="S2389" s="72" t="n"/>
    </row>
    <row r="2390">
      <c r="B2390" s="72" t="n"/>
      <c r="C2390" s="72" t="n"/>
      <c r="D2390" s="72" t="n"/>
      <c r="E2390" s="72" t="n"/>
      <c r="F2390" s="72" t="n"/>
      <c r="G2390" s="72" t="n"/>
      <c r="H2390" s="72" t="n"/>
      <c r="I2390" s="72" t="n"/>
      <c r="J2390" s="72" t="n"/>
      <c r="K2390" s="72" t="n"/>
      <c r="L2390" s="72" t="n"/>
      <c r="M2390" s="72" t="n"/>
      <c r="N2390" s="72" t="n"/>
      <c r="O2390" s="72" t="n"/>
      <c r="P2390" s="72" t="n"/>
      <c r="Q2390" s="72" t="n"/>
      <c r="R2390" s="72" t="n"/>
      <c r="S2390" s="72" t="n"/>
    </row>
    <row r="2391">
      <c r="B2391" s="72" t="n"/>
      <c r="C2391" s="72" t="n"/>
      <c r="D2391" s="72" t="n"/>
      <c r="E2391" s="72" t="n"/>
      <c r="F2391" s="72" t="n"/>
      <c r="G2391" s="72" t="n"/>
      <c r="H2391" s="72" t="n"/>
      <c r="I2391" s="72" t="n"/>
      <c r="J2391" s="72" t="n"/>
      <c r="K2391" s="72" t="n"/>
      <c r="L2391" s="72" t="n"/>
      <c r="M2391" s="72" t="n"/>
      <c r="N2391" s="72" t="n"/>
      <c r="O2391" s="72" t="n"/>
      <c r="P2391" s="72" t="n"/>
      <c r="Q2391" s="72" t="n"/>
      <c r="R2391" s="72" t="n"/>
      <c r="S2391" s="72" t="n"/>
    </row>
    <row r="2392">
      <c r="B2392" s="72" t="n"/>
      <c r="C2392" s="72" t="n"/>
      <c r="D2392" s="72" t="n"/>
      <c r="E2392" s="72" t="n"/>
      <c r="F2392" s="72" t="n"/>
      <c r="G2392" s="72" t="n"/>
      <c r="H2392" s="72" t="n"/>
      <c r="I2392" s="72" t="n"/>
      <c r="J2392" s="72" t="n"/>
      <c r="K2392" s="72" t="n"/>
      <c r="L2392" s="72" t="n"/>
      <c r="M2392" s="72" t="n"/>
      <c r="N2392" s="72" t="n"/>
      <c r="O2392" s="72" t="n"/>
      <c r="P2392" s="72" t="n"/>
      <c r="Q2392" s="72" t="n"/>
      <c r="R2392" s="72" t="n"/>
      <c r="S2392" s="72" t="n"/>
    </row>
    <row r="2393">
      <c r="B2393" s="72" t="n"/>
      <c r="C2393" s="72" t="n"/>
      <c r="D2393" s="72" t="n"/>
      <c r="E2393" s="72" t="n"/>
      <c r="F2393" s="72" t="n"/>
      <c r="G2393" s="72" t="n"/>
      <c r="H2393" s="72" t="n"/>
      <c r="I2393" s="72" t="n"/>
      <c r="J2393" s="72" t="n"/>
      <c r="K2393" s="72" t="n"/>
      <c r="L2393" s="72" t="n"/>
      <c r="M2393" s="72" t="n"/>
      <c r="N2393" s="72" t="n"/>
      <c r="O2393" s="72" t="n"/>
      <c r="P2393" s="72" t="n"/>
      <c r="Q2393" s="72" t="n"/>
      <c r="R2393" s="72" t="n"/>
      <c r="S2393" s="72" t="n"/>
    </row>
    <row r="2394">
      <c r="B2394" s="72" t="n"/>
      <c r="C2394" s="72" t="n"/>
      <c r="D2394" s="72" t="n"/>
      <c r="E2394" s="72" t="n"/>
      <c r="F2394" s="72" t="n"/>
      <c r="G2394" s="72" t="n"/>
      <c r="H2394" s="72" t="n"/>
      <c r="I2394" s="72" t="n"/>
      <c r="J2394" s="72" t="n"/>
      <c r="K2394" s="72" t="n"/>
      <c r="L2394" s="72" t="n"/>
      <c r="M2394" s="72" t="n"/>
      <c r="N2394" s="72" t="n"/>
      <c r="O2394" s="72" t="n"/>
      <c r="P2394" s="72" t="n"/>
      <c r="Q2394" s="72" t="n"/>
      <c r="R2394" s="72" t="n"/>
      <c r="S2394" s="72" t="n"/>
    </row>
    <row r="2395">
      <c r="B2395" s="72" t="n"/>
      <c r="C2395" s="72" t="n"/>
      <c r="D2395" s="72" t="n"/>
      <c r="E2395" s="72" t="n"/>
      <c r="F2395" s="72" t="n"/>
      <c r="G2395" s="72" t="n"/>
      <c r="H2395" s="72" t="n"/>
      <c r="I2395" s="72" t="n"/>
      <c r="J2395" s="72" t="n"/>
      <c r="K2395" s="72" t="n"/>
      <c r="L2395" s="72" t="n"/>
      <c r="M2395" s="72" t="n"/>
      <c r="N2395" s="72" t="n"/>
      <c r="O2395" s="72" t="n"/>
      <c r="P2395" s="72" t="n"/>
      <c r="Q2395" s="72" t="n"/>
      <c r="R2395" s="72" t="n"/>
      <c r="S2395" s="72" t="n"/>
    </row>
    <row r="2396">
      <c r="B2396" s="72" t="n"/>
      <c r="C2396" s="72" t="n"/>
      <c r="D2396" s="72" t="n"/>
      <c r="E2396" s="72" t="n"/>
      <c r="F2396" s="72" t="n"/>
      <c r="G2396" s="72" t="n"/>
      <c r="H2396" s="72" t="n"/>
      <c r="I2396" s="72" t="n"/>
      <c r="J2396" s="72" t="n"/>
      <c r="K2396" s="72" t="n"/>
      <c r="L2396" s="72" t="n"/>
      <c r="M2396" s="72" t="n"/>
      <c r="N2396" s="72" t="n"/>
      <c r="O2396" s="72" t="n"/>
      <c r="P2396" s="72" t="n"/>
      <c r="Q2396" s="72" t="n"/>
      <c r="R2396" s="72" t="n"/>
      <c r="S2396" s="72" t="n"/>
    </row>
    <row r="2397">
      <c r="B2397" s="72" t="n"/>
      <c r="C2397" s="72" t="n"/>
      <c r="D2397" s="72" t="n"/>
      <c r="E2397" s="72" t="n"/>
      <c r="F2397" s="72" t="n"/>
      <c r="G2397" s="72" t="n"/>
      <c r="H2397" s="72" t="n"/>
      <c r="I2397" s="72" t="n"/>
      <c r="J2397" s="72" t="n"/>
      <c r="K2397" s="72" t="n"/>
      <c r="L2397" s="72" t="n"/>
      <c r="M2397" s="72" t="n"/>
      <c r="N2397" s="72" t="n"/>
      <c r="O2397" s="72" t="n"/>
      <c r="P2397" s="72" t="n"/>
      <c r="Q2397" s="72" t="n"/>
      <c r="R2397" s="72" t="n"/>
      <c r="S2397" s="72" t="n"/>
    </row>
    <row r="2398">
      <c r="B2398" s="72" t="n"/>
      <c r="C2398" s="72" t="n"/>
      <c r="D2398" s="72" t="n"/>
      <c r="E2398" s="72" t="n"/>
      <c r="F2398" s="72" t="n"/>
      <c r="G2398" s="72" t="n"/>
      <c r="H2398" s="72" t="n"/>
      <c r="I2398" s="72" t="n"/>
      <c r="J2398" s="72" t="n"/>
      <c r="K2398" s="72" t="n"/>
      <c r="L2398" s="72" t="n"/>
      <c r="M2398" s="72" t="n"/>
      <c r="N2398" s="72" t="n"/>
      <c r="O2398" s="72" t="n"/>
      <c r="P2398" s="72" t="n"/>
      <c r="Q2398" s="72" t="n"/>
      <c r="R2398" s="72" t="n"/>
      <c r="S2398" s="72" t="n"/>
    </row>
    <row r="2399">
      <c r="B2399" s="72" t="n"/>
      <c r="C2399" s="72" t="n"/>
      <c r="D2399" s="72" t="n"/>
      <c r="E2399" s="72" t="n"/>
      <c r="F2399" s="72" t="n"/>
      <c r="G2399" s="72" t="n"/>
      <c r="H2399" s="72" t="n"/>
      <c r="I2399" s="72" t="n"/>
      <c r="J2399" s="72" t="n"/>
      <c r="K2399" s="72" t="n"/>
      <c r="L2399" s="72" t="n"/>
      <c r="M2399" s="72" t="n"/>
      <c r="N2399" s="72" t="n"/>
      <c r="O2399" s="72" t="n"/>
      <c r="P2399" s="72" t="n"/>
      <c r="Q2399" s="72" t="n"/>
      <c r="R2399" s="72" t="n"/>
      <c r="S2399" s="72" t="n"/>
    </row>
    <row r="2400">
      <c r="B2400" s="72" t="n"/>
      <c r="C2400" s="72" t="n"/>
      <c r="D2400" s="72" t="n"/>
      <c r="E2400" s="72" t="n"/>
      <c r="F2400" s="72" t="n"/>
      <c r="G2400" s="72" t="n"/>
      <c r="H2400" s="72" t="n"/>
      <c r="I2400" s="72" t="n"/>
      <c r="J2400" s="72" t="n"/>
      <c r="K2400" s="72" t="n"/>
      <c r="L2400" s="72" t="n"/>
      <c r="M2400" s="72" t="n"/>
      <c r="N2400" s="72" t="n"/>
      <c r="O2400" s="72" t="n"/>
      <c r="P2400" s="72" t="n"/>
      <c r="Q2400" s="72" t="n"/>
      <c r="R2400" s="72" t="n"/>
      <c r="S2400" s="72" t="n"/>
    </row>
    <row r="2401">
      <c r="B2401" s="72" t="n"/>
      <c r="C2401" s="72" t="n"/>
      <c r="D2401" s="72" t="n"/>
      <c r="E2401" s="72" t="n"/>
      <c r="F2401" s="72" t="n"/>
      <c r="G2401" s="72" t="n"/>
      <c r="H2401" s="72" t="n"/>
      <c r="I2401" s="72" t="n"/>
      <c r="J2401" s="72" t="n"/>
      <c r="K2401" s="72" t="n"/>
      <c r="L2401" s="72" t="n"/>
      <c r="M2401" s="72" t="n"/>
      <c r="N2401" s="72" t="n"/>
      <c r="O2401" s="72" t="n"/>
      <c r="P2401" s="72" t="n"/>
      <c r="Q2401" s="72" t="n"/>
      <c r="R2401" s="72" t="n"/>
      <c r="S2401" s="72" t="n"/>
    </row>
    <row r="2402">
      <c r="B2402" s="72" t="n"/>
      <c r="C2402" s="72" t="n"/>
      <c r="D2402" s="72" t="n"/>
      <c r="E2402" s="72" t="n"/>
      <c r="F2402" s="72" t="n"/>
      <c r="G2402" s="72" t="n"/>
      <c r="H2402" s="72" t="n"/>
      <c r="I2402" s="72" t="n"/>
      <c r="J2402" s="72" t="n"/>
      <c r="K2402" s="72" t="n"/>
      <c r="L2402" s="72" t="n"/>
      <c r="M2402" s="72" t="n"/>
      <c r="N2402" s="72" t="n"/>
      <c r="O2402" s="72" t="n"/>
      <c r="P2402" s="72" t="n"/>
      <c r="Q2402" s="72" t="n"/>
      <c r="R2402" s="72" t="n"/>
      <c r="S2402" s="72" t="n"/>
    </row>
    <row r="2403">
      <c r="B2403" s="72" t="n"/>
      <c r="C2403" s="72" t="n"/>
      <c r="D2403" s="72" t="n"/>
      <c r="E2403" s="72" t="n"/>
      <c r="F2403" s="72" t="n"/>
      <c r="G2403" s="72" t="n"/>
      <c r="H2403" s="72" t="n"/>
      <c r="I2403" s="72" t="n"/>
      <c r="J2403" s="72" t="n"/>
      <c r="K2403" s="72" t="n"/>
      <c r="L2403" s="72" t="n"/>
      <c r="M2403" s="72" t="n"/>
      <c r="N2403" s="72" t="n"/>
      <c r="O2403" s="72" t="n"/>
      <c r="P2403" s="72" t="n"/>
      <c r="Q2403" s="72" t="n"/>
      <c r="R2403" s="72" t="n"/>
      <c r="S2403" s="72" t="n"/>
    </row>
    <row r="2404">
      <c r="B2404" s="72" t="n"/>
      <c r="C2404" s="72" t="n"/>
      <c r="D2404" s="72" t="n"/>
      <c r="E2404" s="72" t="n"/>
      <c r="F2404" s="72" t="n"/>
      <c r="G2404" s="72" t="n"/>
      <c r="H2404" s="72" t="n"/>
      <c r="I2404" s="72" t="n"/>
      <c r="J2404" s="72" t="n"/>
      <c r="K2404" s="72" t="n"/>
      <c r="L2404" s="72" t="n"/>
      <c r="M2404" s="72" t="n"/>
      <c r="N2404" s="72" t="n"/>
      <c r="O2404" s="72" t="n"/>
      <c r="P2404" s="72" t="n"/>
      <c r="Q2404" s="72" t="n"/>
      <c r="R2404" s="72" t="n"/>
      <c r="S2404" s="72" t="n"/>
    </row>
    <row r="2405">
      <c r="B2405" s="72" t="n"/>
      <c r="C2405" s="72" t="n"/>
      <c r="D2405" s="72" t="n"/>
      <c r="E2405" s="72" t="n"/>
      <c r="F2405" s="72" t="n"/>
      <c r="G2405" s="72" t="n"/>
      <c r="H2405" s="72" t="n"/>
      <c r="I2405" s="72" t="n"/>
      <c r="J2405" s="72" t="n"/>
      <c r="K2405" s="72" t="n"/>
      <c r="L2405" s="72" t="n"/>
      <c r="M2405" s="72" t="n"/>
      <c r="N2405" s="72" t="n"/>
      <c r="O2405" s="72" t="n"/>
      <c r="P2405" s="72" t="n"/>
      <c r="Q2405" s="72" t="n"/>
      <c r="R2405" s="72" t="n"/>
      <c r="S2405" s="72" t="n"/>
    </row>
    <row r="2406">
      <c r="B2406" s="72" t="n"/>
      <c r="C2406" s="72" t="n"/>
      <c r="D2406" s="72" t="n"/>
      <c r="E2406" s="72" t="n"/>
      <c r="F2406" s="72" t="n"/>
      <c r="G2406" s="72" t="n"/>
      <c r="H2406" s="72" t="n"/>
      <c r="I2406" s="72" t="n"/>
      <c r="J2406" s="72" t="n"/>
      <c r="K2406" s="72" t="n"/>
      <c r="L2406" s="72" t="n"/>
      <c r="M2406" s="72" t="n"/>
      <c r="N2406" s="72" t="n"/>
      <c r="O2406" s="72" t="n"/>
      <c r="P2406" s="72" t="n"/>
      <c r="Q2406" s="72" t="n"/>
      <c r="R2406" s="72" t="n"/>
      <c r="S2406" s="72" t="n"/>
    </row>
    <row r="2407">
      <c r="B2407" s="72" t="n"/>
      <c r="C2407" s="72" t="n"/>
      <c r="D2407" s="72" t="n"/>
      <c r="E2407" s="72" t="n"/>
      <c r="F2407" s="72" t="n"/>
      <c r="G2407" s="72" t="n"/>
      <c r="H2407" s="72" t="n"/>
      <c r="I2407" s="72" t="n"/>
      <c r="J2407" s="72" t="n"/>
      <c r="K2407" s="72" t="n"/>
      <c r="L2407" s="72" t="n"/>
      <c r="M2407" s="72" t="n"/>
      <c r="N2407" s="72" t="n"/>
      <c r="O2407" s="72" t="n"/>
      <c r="P2407" s="72" t="n"/>
      <c r="Q2407" s="72" t="n"/>
      <c r="R2407" s="72" t="n"/>
      <c r="S2407" s="72" t="n"/>
    </row>
    <row r="2408">
      <c r="B2408" s="72" t="n"/>
      <c r="C2408" s="72" t="n"/>
      <c r="D2408" s="72" t="n"/>
      <c r="E2408" s="72" t="n"/>
      <c r="F2408" s="72" t="n"/>
      <c r="G2408" s="72" t="n"/>
      <c r="H2408" s="72" t="n"/>
      <c r="I2408" s="72" t="n"/>
      <c r="J2408" s="72" t="n"/>
      <c r="K2408" s="72" t="n"/>
      <c r="L2408" s="72" t="n"/>
      <c r="M2408" s="72" t="n"/>
      <c r="N2408" s="72" t="n"/>
      <c r="O2408" s="72" t="n"/>
      <c r="P2408" s="72" t="n"/>
      <c r="Q2408" s="72" t="n"/>
      <c r="R2408" s="72" t="n"/>
      <c r="S2408" s="72" t="n"/>
    </row>
    <row r="2409">
      <c r="B2409" s="72" t="n"/>
      <c r="C2409" s="72" t="n"/>
      <c r="D2409" s="72" t="n"/>
      <c r="E2409" s="72" t="n"/>
      <c r="F2409" s="72" t="n"/>
      <c r="G2409" s="72" t="n"/>
      <c r="H2409" s="72" t="n"/>
      <c r="I2409" s="72" t="n"/>
      <c r="J2409" s="72" t="n"/>
      <c r="K2409" s="72" t="n"/>
      <c r="L2409" s="72" t="n"/>
      <c r="M2409" s="72" t="n"/>
      <c r="N2409" s="72" t="n"/>
      <c r="O2409" s="72" t="n"/>
      <c r="P2409" s="72" t="n"/>
      <c r="Q2409" s="72" t="n"/>
      <c r="R2409" s="72" t="n"/>
      <c r="S2409" s="72" t="n"/>
    </row>
    <row r="2410">
      <c r="B2410" s="72" t="n"/>
      <c r="C2410" s="72" t="n"/>
      <c r="D2410" s="72" t="n"/>
      <c r="E2410" s="72" t="n"/>
      <c r="F2410" s="72" t="n"/>
      <c r="G2410" s="72" t="n"/>
      <c r="H2410" s="72" t="n"/>
      <c r="I2410" s="72" t="n"/>
      <c r="J2410" s="72" t="n"/>
      <c r="K2410" s="72" t="n"/>
      <c r="L2410" s="72" t="n"/>
      <c r="M2410" s="72" t="n"/>
      <c r="N2410" s="72" t="n"/>
      <c r="O2410" s="72" t="n"/>
      <c r="P2410" s="72" t="n"/>
      <c r="Q2410" s="72" t="n"/>
      <c r="R2410" s="72" t="n"/>
      <c r="S2410" s="72" t="n"/>
    </row>
    <row r="2411">
      <c r="B2411" s="72" t="n"/>
      <c r="C2411" s="72" t="n"/>
      <c r="D2411" s="72" t="n"/>
      <c r="E2411" s="72" t="n"/>
      <c r="F2411" s="72" t="n"/>
      <c r="G2411" s="72" t="n"/>
      <c r="H2411" s="72" t="n"/>
      <c r="I2411" s="72" t="n"/>
      <c r="J2411" s="72" t="n"/>
      <c r="K2411" s="72" t="n"/>
      <c r="L2411" s="72" t="n"/>
      <c r="M2411" s="72" t="n"/>
      <c r="N2411" s="72" t="n"/>
      <c r="O2411" s="72" t="n"/>
      <c r="P2411" s="72" t="n"/>
      <c r="Q2411" s="72" t="n"/>
      <c r="R2411" s="72" t="n"/>
      <c r="S2411" s="72" t="n"/>
    </row>
    <row r="2412">
      <c r="B2412" s="72" t="n"/>
      <c r="C2412" s="72" t="n"/>
      <c r="D2412" s="72" t="n"/>
      <c r="E2412" s="72" t="n"/>
      <c r="F2412" s="72" t="n"/>
      <c r="G2412" s="72" t="n"/>
      <c r="H2412" s="72" t="n"/>
      <c r="I2412" s="72" t="n"/>
      <c r="J2412" s="72" t="n"/>
      <c r="K2412" s="72" t="n"/>
      <c r="L2412" s="72" t="n"/>
      <c r="M2412" s="72" t="n"/>
      <c r="N2412" s="72" t="n"/>
      <c r="O2412" s="72" t="n"/>
      <c r="P2412" s="72" t="n"/>
      <c r="Q2412" s="72" t="n"/>
      <c r="R2412" s="72" t="n"/>
      <c r="S2412" s="72" t="n"/>
    </row>
    <row r="2413">
      <c r="B2413" s="72" t="n"/>
      <c r="C2413" s="72" t="n"/>
      <c r="D2413" s="72" t="n"/>
      <c r="E2413" s="72" t="n"/>
      <c r="F2413" s="72" t="n"/>
      <c r="G2413" s="72" t="n"/>
      <c r="H2413" s="72" t="n"/>
      <c r="I2413" s="72" t="n"/>
      <c r="J2413" s="72" t="n"/>
      <c r="K2413" s="72" t="n"/>
      <c r="L2413" s="72" t="n"/>
      <c r="M2413" s="72" t="n"/>
      <c r="N2413" s="72" t="n"/>
      <c r="O2413" s="72" t="n"/>
      <c r="P2413" s="72" t="n"/>
      <c r="Q2413" s="72" t="n"/>
      <c r="R2413" s="72" t="n"/>
      <c r="S2413" s="72" t="n"/>
    </row>
    <row r="2414">
      <c r="B2414" s="72" t="n"/>
      <c r="C2414" s="72" t="n"/>
      <c r="D2414" s="72" t="n"/>
      <c r="E2414" s="72" t="n"/>
      <c r="F2414" s="72" t="n"/>
      <c r="G2414" s="72" t="n"/>
      <c r="H2414" s="72" t="n"/>
      <c r="I2414" s="72" t="n"/>
      <c r="J2414" s="72" t="n"/>
      <c r="K2414" s="72" t="n"/>
      <c r="L2414" s="72" t="n"/>
      <c r="M2414" s="72" t="n"/>
      <c r="N2414" s="72" t="n"/>
      <c r="O2414" s="72" t="n"/>
      <c r="P2414" s="72" t="n"/>
      <c r="Q2414" s="72" t="n"/>
      <c r="R2414" s="72" t="n"/>
      <c r="S2414" s="72" t="n"/>
    </row>
    <row r="2415">
      <c r="B2415" s="72" t="n"/>
      <c r="C2415" s="72" t="n"/>
      <c r="D2415" s="72" t="n"/>
      <c r="E2415" s="72" t="n"/>
      <c r="F2415" s="72" t="n"/>
      <c r="G2415" s="72" t="n"/>
      <c r="H2415" s="72" t="n"/>
      <c r="I2415" s="72" t="n"/>
      <c r="J2415" s="72" t="n"/>
      <c r="K2415" s="72" t="n"/>
      <c r="L2415" s="72" t="n"/>
      <c r="M2415" s="72" t="n"/>
      <c r="N2415" s="72" t="n"/>
      <c r="O2415" s="72" t="n"/>
      <c r="P2415" s="72" t="n"/>
      <c r="Q2415" s="72" t="n"/>
      <c r="R2415" s="72" t="n"/>
      <c r="S2415" s="72" t="n"/>
    </row>
    <row r="2416">
      <c r="B2416" s="72" t="n"/>
      <c r="C2416" s="72" t="n"/>
      <c r="D2416" s="72" t="n"/>
      <c r="E2416" s="72" t="n"/>
      <c r="F2416" s="72" t="n"/>
      <c r="G2416" s="72" t="n"/>
      <c r="H2416" s="72" t="n"/>
      <c r="I2416" s="72" t="n"/>
      <c r="J2416" s="72" t="n"/>
      <c r="K2416" s="72" t="n"/>
      <c r="L2416" s="72" t="n"/>
      <c r="M2416" s="72" t="n"/>
      <c r="N2416" s="72" t="n"/>
      <c r="O2416" s="72" t="n"/>
      <c r="P2416" s="72" t="n"/>
      <c r="Q2416" s="72" t="n"/>
      <c r="R2416" s="72" t="n"/>
      <c r="S2416" s="72" t="n"/>
    </row>
    <row r="2417">
      <c r="B2417" s="72" t="n"/>
      <c r="C2417" s="72" t="n"/>
      <c r="D2417" s="72" t="n"/>
      <c r="E2417" s="72" t="n"/>
      <c r="F2417" s="72" t="n"/>
      <c r="G2417" s="72" t="n"/>
      <c r="H2417" s="72" t="n"/>
      <c r="I2417" s="72" t="n"/>
      <c r="J2417" s="72" t="n"/>
      <c r="K2417" s="72" t="n"/>
      <c r="L2417" s="72" t="n"/>
      <c r="M2417" s="72" t="n"/>
      <c r="N2417" s="72" t="n"/>
      <c r="O2417" s="72" t="n"/>
      <c r="P2417" s="72" t="n"/>
      <c r="Q2417" s="72" t="n"/>
      <c r="R2417" s="72" t="n"/>
      <c r="S2417" s="72" t="n"/>
    </row>
    <row r="2418">
      <c r="B2418" s="72" t="n"/>
      <c r="C2418" s="72" t="n"/>
      <c r="D2418" s="72" t="n"/>
      <c r="E2418" s="72" t="n"/>
      <c r="F2418" s="72" t="n"/>
      <c r="G2418" s="72" t="n"/>
      <c r="H2418" s="72" t="n"/>
      <c r="I2418" s="72" t="n"/>
      <c r="J2418" s="72" t="n"/>
      <c r="K2418" s="72" t="n"/>
      <c r="L2418" s="72" t="n"/>
      <c r="M2418" s="72" t="n"/>
      <c r="N2418" s="72" t="n"/>
      <c r="O2418" s="72" t="n"/>
      <c r="P2418" s="72" t="n"/>
      <c r="Q2418" s="72" t="n"/>
      <c r="R2418" s="72" t="n"/>
      <c r="S2418" s="72" t="n"/>
    </row>
    <row r="2419">
      <c r="B2419" s="72" t="n"/>
      <c r="C2419" s="72" t="n"/>
      <c r="D2419" s="72" t="n"/>
      <c r="E2419" s="72" t="n"/>
      <c r="F2419" s="72" t="n"/>
      <c r="G2419" s="72" t="n"/>
      <c r="H2419" s="72" t="n"/>
      <c r="I2419" s="72" t="n"/>
      <c r="J2419" s="72" t="n"/>
      <c r="K2419" s="72" t="n"/>
      <c r="L2419" s="72" t="n"/>
      <c r="M2419" s="72" t="n"/>
      <c r="N2419" s="72" t="n"/>
      <c r="O2419" s="72" t="n"/>
      <c r="P2419" s="72" t="n"/>
      <c r="Q2419" s="72" t="n"/>
      <c r="R2419" s="72" t="n"/>
      <c r="S2419" s="72" t="n"/>
    </row>
    <row r="2420">
      <c r="B2420" s="72" t="n"/>
      <c r="C2420" s="72" t="n"/>
      <c r="D2420" s="72" t="n"/>
      <c r="E2420" s="72" t="n"/>
      <c r="F2420" s="72" t="n"/>
      <c r="G2420" s="72" t="n"/>
      <c r="H2420" s="72" t="n"/>
      <c r="I2420" s="72" t="n"/>
      <c r="J2420" s="72" t="n"/>
      <c r="K2420" s="72" t="n"/>
      <c r="L2420" s="72" t="n"/>
      <c r="M2420" s="72" t="n"/>
      <c r="N2420" s="72" t="n"/>
      <c r="O2420" s="72" t="n"/>
      <c r="P2420" s="72" t="n"/>
      <c r="Q2420" s="72" t="n"/>
      <c r="R2420" s="72" t="n"/>
      <c r="S2420" s="72" t="n"/>
    </row>
    <row r="2421">
      <c r="B2421" s="72" t="n"/>
      <c r="C2421" s="72" t="n"/>
      <c r="D2421" s="72" t="n"/>
      <c r="E2421" s="72" t="n"/>
      <c r="F2421" s="72" t="n"/>
      <c r="G2421" s="72" t="n"/>
      <c r="H2421" s="72" t="n"/>
      <c r="I2421" s="72" t="n"/>
      <c r="J2421" s="72" t="n"/>
      <c r="K2421" s="72" t="n"/>
      <c r="L2421" s="72" t="n"/>
      <c r="M2421" s="72" t="n"/>
      <c r="N2421" s="72" t="n"/>
      <c r="O2421" s="72" t="n"/>
      <c r="P2421" s="72" t="n"/>
      <c r="Q2421" s="72" t="n"/>
      <c r="R2421" s="72" t="n"/>
      <c r="S2421" s="72" t="n"/>
    </row>
    <row r="2422">
      <c r="B2422" s="72" t="n"/>
      <c r="C2422" s="72" t="n"/>
      <c r="D2422" s="72" t="n"/>
      <c r="E2422" s="72" t="n"/>
      <c r="F2422" s="72" t="n"/>
      <c r="G2422" s="72" t="n"/>
      <c r="H2422" s="72" t="n"/>
      <c r="I2422" s="72" t="n"/>
      <c r="J2422" s="72" t="n"/>
      <c r="K2422" s="72" t="n"/>
      <c r="L2422" s="72" t="n"/>
      <c r="M2422" s="72" t="n"/>
      <c r="N2422" s="72" t="n"/>
      <c r="O2422" s="72" t="n"/>
      <c r="P2422" s="72" t="n"/>
      <c r="Q2422" s="72" t="n"/>
      <c r="R2422" s="72" t="n"/>
      <c r="S2422" s="72" t="n"/>
    </row>
    <row r="2423">
      <c r="B2423" s="72" t="n"/>
      <c r="C2423" s="72" t="n"/>
      <c r="D2423" s="72" t="n"/>
      <c r="E2423" s="72" t="n"/>
      <c r="F2423" s="72" t="n"/>
      <c r="G2423" s="72" t="n"/>
      <c r="H2423" s="72" t="n"/>
      <c r="I2423" s="72" t="n"/>
      <c r="J2423" s="72" t="n"/>
      <c r="K2423" s="72" t="n"/>
      <c r="L2423" s="72" t="n"/>
      <c r="M2423" s="72" t="n"/>
      <c r="N2423" s="72" t="n"/>
      <c r="O2423" s="72" t="n"/>
      <c r="P2423" s="72" t="n"/>
      <c r="Q2423" s="72" t="n"/>
      <c r="R2423" s="72" t="n"/>
      <c r="S2423" s="72" t="n"/>
    </row>
    <row r="2424">
      <c r="B2424" s="72" t="n"/>
      <c r="C2424" s="72" t="n"/>
      <c r="D2424" s="72" t="n"/>
      <c r="E2424" s="72" t="n"/>
      <c r="F2424" s="72" t="n"/>
      <c r="G2424" s="72" t="n"/>
      <c r="H2424" s="72" t="n"/>
      <c r="I2424" s="72" t="n"/>
      <c r="J2424" s="72" t="n"/>
      <c r="K2424" s="72" t="n"/>
      <c r="L2424" s="72" t="n"/>
      <c r="M2424" s="72" t="n"/>
      <c r="N2424" s="72" t="n"/>
      <c r="O2424" s="72" t="n"/>
      <c r="P2424" s="72" t="n"/>
      <c r="Q2424" s="72" t="n"/>
      <c r="R2424" s="72" t="n"/>
      <c r="S2424" s="72" t="n"/>
    </row>
    <row r="2425">
      <c r="B2425" s="72" t="n"/>
      <c r="C2425" s="72" t="n"/>
      <c r="D2425" s="72" t="n"/>
      <c r="E2425" s="72" t="n"/>
      <c r="F2425" s="72" t="n"/>
      <c r="G2425" s="72" t="n"/>
      <c r="H2425" s="72" t="n"/>
      <c r="I2425" s="72" t="n"/>
      <c r="J2425" s="72" t="n"/>
      <c r="K2425" s="72" t="n"/>
      <c r="L2425" s="72" t="n"/>
      <c r="M2425" s="72" t="n"/>
      <c r="N2425" s="72" t="n"/>
      <c r="O2425" s="72" t="n"/>
      <c r="P2425" s="72" t="n"/>
      <c r="Q2425" s="72" t="n"/>
      <c r="R2425" s="72" t="n"/>
      <c r="S2425" s="72" t="n"/>
    </row>
    <row r="2426">
      <c r="B2426" s="72" t="n"/>
      <c r="C2426" s="72" t="n"/>
      <c r="D2426" s="72" t="n"/>
      <c r="E2426" s="72" t="n"/>
      <c r="F2426" s="72" t="n"/>
      <c r="G2426" s="72" t="n"/>
      <c r="H2426" s="72" t="n"/>
      <c r="I2426" s="72" t="n"/>
      <c r="J2426" s="72" t="n"/>
      <c r="K2426" s="72" t="n"/>
      <c r="L2426" s="72" t="n"/>
      <c r="M2426" s="72" t="n"/>
      <c r="N2426" s="72" t="n"/>
      <c r="O2426" s="72" t="n"/>
      <c r="P2426" s="72" t="n"/>
      <c r="Q2426" s="72" t="n"/>
      <c r="R2426" s="72" t="n"/>
      <c r="S2426" s="72" t="n"/>
    </row>
    <row r="2427">
      <c r="B2427" s="72" t="n"/>
      <c r="C2427" s="72" t="n"/>
      <c r="D2427" s="72" t="n"/>
      <c r="E2427" s="72" t="n"/>
      <c r="F2427" s="72" t="n"/>
      <c r="G2427" s="72" t="n"/>
      <c r="H2427" s="72" t="n"/>
      <c r="I2427" s="72" t="n"/>
      <c r="J2427" s="72" t="n"/>
      <c r="K2427" s="72" t="n"/>
      <c r="L2427" s="72" t="n"/>
      <c r="M2427" s="72" t="n"/>
      <c r="N2427" s="72" t="n"/>
      <c r="O2427" s="72" t="n"/>
      <c r="P2427" s="72" t="n"/>
      <c r="Q2427" s="72" t="n"/>
      <c r="R2427" s="72" t="n"/>
      <c r="S2427" s="72" t="n"/>
    </row>
    <row r="2428">
      <c r="B2428" s="72" t="n"/>
      <c r="C2428" s="72" t="n"/>
      <c r="D2428" s="72" t="n"/>
      <c r="E2428" s="72" t="n"/>
      <c r="F2428" s="72" t="n"/>
      <c r="G2428" s="72" t="n"/>
      <c r="H2428" s="72" t="n"/>
      <c r="I2428" s="72" t="n"/>
      <c r="J2428" s="72" t="n"/>
      <c r="K2428" s="72" t="n"/>
      <c r="L2428" s="72" t="n"/>
      <c r="M2428" s="72" t="n"/>
      <c r="N2428" s="72" t="n"/>
      <c r="O2428" s="72" t="n"/>
      <c r="P2428" s="72" t="n"/>
      <c r="Q2428" s="72" t="n"/>
      <c r="R2428" s="72" t="n"/>
      <c r="S2428" s="72" t="n"/>
    </row>
    <row r="2429">
      <c r="B2429" s="72" t="n"/>
      <c r="C2429" s="72" t="n"/>
      <c r="D2429" s="72" t="n"/>
      <c r="E2429" s="72" t="n"/>
      <c r="F2429" s="72" t="n"/>
      <c r="G2429" s="72" t="n"/>
      <c r="H2429" s="72" t="n"/>
      <c r="I2429" s="72" t="n"/>
      <c r="J2429" s="72" t="n"/>
      <c r="K2429" s="72" t="n"/>
      <c r="L2429" s="72" t="n"/>
      <c r="M2429" s="72" t="n"/>
      <c r="N2429" s="72" t="n"/>
      <c r="O2429" s="72" t="n"/>
      <c r="P2429" s="72" t="n"/>
      <c r="Q2429" s="72" t="n"/>
      <c r="R2429" s="72" t="n"/>
      <c r="S2429" s="72" t="n"/>
    </row>
    <row r="2430">
      <c r="B2430" s="72" t="n"/>
      <c r="C2430" s="72" t="n"/>
      <c r="D2430" s="72" t="n"/>
      <c r="E2430" s="72" t="n"/>
      <c r="F2430" s="72" t="n"/>
      <c r="G2430" s="72" t="n"/>
      <c r="H2430" s="72" t="n"/>
      <c r="I2430" s="72" t="n"/>
      <c r="J2430" s="72" t="n"/>
      <c r="K2430" s="72" t="n"/>
      <c r="L2430" s="72" t="n"/>
      <c r="M2430" s="72" t="n"/>
      <c r="N2430" s="72" t="n"/>
      <c r="O2430" s="72" t="n"/>
      <c r="P2430" s="72" t="n"/>
      <c r="Q2430" s="72" t="n"/>
      <c r="R2430" s="72" t="n"/>
      <c r="S2430" s="72" t="n"/>
    </row>
    <row r="2431">
      <c r="B2431" s="72" t="n"/>
      <c r="C2431" s="72" t="n"/>
      <c r="D2431" s="72" t="n"/>
      <c r="E2431" s="72" t="n"/>
      <c r="F2431" s="72" t="n"/>
      <c r="G2431" s="72" t="n"/>
      <c r="H2431" s="72" t="n"/>
      <c r="I2431" s="72" t="n"/>
      <c r="J2431" s="72" t="n"/>
      <c r="K2431" s="72" t="n"/>
      <c r="L2431" s="72" t="n"/>
      <c r="M2431" s="72" t="n"/>
      <c r="N2431" s="72" t="n"/>
      <c r="O2431" s="72" t="n"/>
      <c r="P2431" s="72" t="n"/>
      <c r="Q2431" s="72" t="n"/>
      <c r="R2431" s="72" t="n"/>
      <c r="S2431" s="72" t="n"/>
    </row>
    <row r="2432">
      <c r="B2432" s="72" t="n"/>
      <c r="C2432" s="72" t="n"/>
      <c r="D2432" s="72" t="n"/>
      <c r="E2432" s="72" t="n"/>
      <c r="F2432" s="72" t="n"/>
      <c r="G2432" s="72" t="n"/>
      <c r="H2432" s="72" t="n"/>
      <c r="I2432" s="72" t="n"/>
      <c r="J2432" s="72" t="n"/>
      <c r="K2432" s="72" t="n"/>
      <c r="L2432" s="72" t="n"/>
      <c r="M2432" s="72" t="n"/>
      <c r="N2432" s="72" t="n"/>
      <c r="O2432" s="72" t="n"/>
      <c r="P2432" s="72" t="n"/>
      <c r="Q2432" s="72" t="n"/>
      <c r="R2432" s="72" t="n"/>
      <c r="S2432" s="72" t="n"/>
    </row>
    <row r="2433">
      <c r="B2433" s="72" t="n"/>
      <c r="C2433" s="72" t="n"/>
      <c r="D2433" s="72" t="n"/>
      <c r="E2433" s="72" t="n"/>
      <c r="F2433" s="72" t="n"/>
      <c r="G2433" s="72" t="n"/>
      <c r="H2433" s="72" t="n"/>
      <c r="I2433" s="72" t="n"/>
      <c r="J2433" s="72" t="n"/>
      <c r="K2433" s="72" t="n"/>
      <c r="L2433" s="72" t="n"/>
      <c r="M2433" s="72" t="n"/>
      <c r="N2433" s="72" t="n"/>
      <c r="O2433" s="72" t="n"/>
      <c r="P2433" s="72" t="n"/>
      <c r="Q2433" s="72" t="n"/>
      <c r="R2433" s="72" t="n"/>
      <c r="S2433" s="72" t="n"/>
    </row>
    <row r="2434">
      <c r="B2434" s="72" t="n"/>
      <c r="C2434" s="72" t="n"/>
      <c r="D2434" s="72" t="n"/>
      <c r="E2434" s="72" t="n"/>
      <c r="F2434" s="72" t="n"/>
      <c r="G2434" s="72" t="n"/>
      <c r="H2434" s="72" t="n"/>
      <c r="I2434" s="72" t="n"/>
      <c r="J2434" s="72" t="n"/>
      <c r="K2434" s="72" t="n"/>
      <c r="L2434" s="72" t="n"/>
      <c r="M2434" s="72" t="n"/>
      <c r="N2434" s="72" t="n"/>
      <c r="O2434" s="72" t="n"/>
      <c r="P2434" s="72" t="n"/>
      <c r="Q2434" s="72" t="n"/>
      <c r="R2434" s="72" t="n"/>
      <c r="S2434" s="72" t="n"/>
    </row>
    <row r="2435">
      <c r="B2435" s="72" t="n"/>
      <c r="C2435" s="72" t="n"/>
      <c r="D2435" s="72" t="n"/>
      <c r="E2435" s="72" t="n"/>
      <c r="F2435" s="72" t="n"/>
      <c r="G2435" s="72" t="n"/>
      <c r="H2435" s="72" t="n"/>
      <c r="I2435" s="72" t="n"/>
      <c r="J2435" s="72" t="n"/>
      <c r="K2435" s="72" t="n"/>
      <c r="L2435" s="72" t="n"/>
      <c r="M2435" s="72" t="n"/>
      <c r="N2435" s="72" t="n"/>
      <c r="O2435" s="72" t="n"/>
      <c r="P2435" s="72" t="n"/>
      <c r="Q2435" s="72" t="n"/>
      <c r="R2435" s="72" t="n"/>
      <c r="S2435" s="72" t="n"/>
    </row>
    <row r="2436">
      <c r="B2436" s="72" t="n"/>
      <c r="C2436" s="72" t="n"/>
      <c r="D2436" s="72" t="n"/>
      <c r="E2436" s="72" t="n"/>
      <c r="F2436" s="72" t="n"/>
      <c r="G2436" s="72" t="n"/>
      <c r="H2436" s="72" t="n"/>
      <c r="I2436" s="72" t="n"/>
      <c r="J2436" s="72" t="n"/>
      <c r="K2436" s="72" t="n"/>
      <c r="L2436" s="72" t="n"/>
      <c r="M2436" s="72" t="n"/>
      <c r="N2436" s="72" t="n"/>
      <c r="O2436" s="72" t="n"/>
      <c r="P2436" s="72" t="n"/>
      <c r="Q2436" s="72" t="n"/>
      <c r="R2436" s="72" t="n"/>
      <c r="S2436" s="72" t="n"/>
    </row>
    <row r="2437">
      <c r="B2437" s="72" t="n"/>
      <c r="C2437" s="72" t="n"/>
      <c r="D2437" s="72" t="n"/>
      <c r="E2437" s="72" t="n"/>
      <c r="F2437" s="72" t="n"/>
      <c r="G2437" s="72" t="n"/>
      <c r="H2437" s="72" t="n"/>
      <c r="I2437" s="72" t="n"/>
      <c r="J2437" s="72" t="n"/>
      <c r="K2437" s="72" t="n"/>
      <c r="L2437" s="72" t="n"/>
      <c r="M2437" s="72" t="n"/>
      <c r="N2437" s="72" t="n"/>
      <c r="O2437" s="72" t="n"/>
      <c r="P2437" s="72" t="n"/>
      <c r="Q2437" s="72" t="n"/>
      <c r="R2437" s="72" t="n"/>
      <c r="S2437" s="72" t="n"/>
    </row>
    <row r="2438">
      <c r="B2438" s="72" t="n"/>
      <c r="C2438" s="72" t="n"/>
      <c r="D2438" s="72" t="n"/>
      <c r="E2438" s="72" t="n"/>
      <c r="F2438" s="72" t="n"/>
      <c r="G2438" s="72" t="n"/>
      <c r="H2438" s="72" t="n"/>
      <c r="I2438" s="72" t="n"/>
      <c r="J2438" s="72" t="n"/>
      <c r="K2438" s="72" t="n"/>
      <c r="L2438" s="72" t="n"/>
      <c r="M2438" s="72" t="n"/>
      <c r="N2438" s="72" t="n"/>
      <c r="O2438" s="72" t="n"/>
      <c r="P2438" s="72" t="n"/>
      <c r="Q2438" s="72" t="n"/>
      <c r="R2438" s="72" t="n"/>
      <c r="S2438" s="72" t="n"/>
    </row>
    <row r="2439">
      <c r="B2439" s="72" t="n"/>
      <c r="C2439" s="72" t="n"/>
      <c r="D2439" s="72" t="n"/>
      <c r="E2439" s="72" t="n"/>
      <c r="F2439" s="72" t="n"/>
      <c r="G2439" s="72" t="n"/>
      <c r="H2439" s="72" t="n"/>
      <c r="I2439" s="72" t="n"/>
      <c r="J2439" s="72" t="n"/>
      <c r="K2439" s="72" t="n"/>
      <c r="L2439" s="72" t="n"/>
      <c r="M2439" s="72" t="n"/>
      <c r="N2439" s="72" t="n"/>
      <c r="O2439" s="72" t="n"/>
      <c r="P2439" s="72" t="n"/>
      <c r="Q2439" s="72" t="n"/>
      <c r="R2439" s="72" t="n"/>
      <c r="S2439" s="72" t="n"/>
    </row>
    <row r="2440">
      <c r="B2440" s="72" t="n"/>
      <c r="C2440" s="72" t="n"/>
      <c r="D2440" s="72" t="n"/>
      <c r="E2440" s="72" t="n"/>
      <c r="F2440" s="72" t="n"/>
      <c r="G2440" s="72" t="n"/>
      <c r="H2440" s="72" t="n"/>
      <c r="I2440" s="72" t="n"/>
      <c r="J2440" s="72" t="n"/>
      <c r="K2440" s="72" t="n"/>
      <c r="L2440" s="72" t="n"/>
      <c r="M2440" s="72" t="n"/>
      <c r="N2440" s="72" t="n"/>
      <c r="O2440" s="72" t="n"/>
      <c r="P2440" s="72" t="n"/>
      <c r="Q2440" s="72" t="n"/>
      <c r="R2440" s="72" t="n"/>
      <c r="S2440" s="72" t="n"/>
    </row>
    <row r="2441">
      <c r="B2441" s="72" t="n"/>
      <c r="C2441" s="72" t="n"/>
      <c r="D2441" s="72" t="n"/>
      <c r="E2441" s="72" t="n"/>
      <c r="F2441" s="72" t="n"/>
      <c r="G2441" s="72" t="n"/>
      <c r="H2441" s="72" t="n"/>
      <c r="I2441" s="72" t="n"/>
      <c r="J2441" s="72" t="n"/>
      <c r="K2441" s="72" t="n"/>
      <c r="L2441" s="72" t="n"/>
      <c r="M2441" s="72" t="n"/>
      <c r="N2441" s="72" t="n"/>
      <c r="O2441" s="72" t="n"/>
      <c r="P2441" s="72" t="n"/>
      <c r="Q2441" s="72" t="n"/>
      <c r="R2441" s="72" t="n"/>
      <c r="S2441" s="72" t="n"/>
    </row>
    <row r="2442">
      <c r="B2442" s="72" t="n"/>
      <c r="C2442" s="72" t="n"/>
      <c r="D2442" s="72" t="n"/>
      <c r="E2442" s="72" t="n"/>
      <c r="F2442" s="72" t="n"/>
      <c r="G2442" s="72" t="n"/>
      <c r="H2442" s="72" t="n"/>
      <c r="I2442" s="72" t="n"/>
      <c r="J2442" s="72" t="n"/>
      <c r="K2442" s="72" t="n"/>
      <c r="L2442" s="72" t="n"/>
      <c r="M2442" s="72" t="n"/>
      <c r="N2442" s="72" t="n"/>
      <c r="O2442" s="72" t="n"/>
      <c r="P2442" s="72" t="n"/>
      <c r="Q2442" s="72" t="n"/>
      <c r="R2442" s="72" t="n"/>
      <c r="S2442" s="72" t="n"/>
    </row>
    <row r="2443">
      <c r="B2443" s="72" t="n"/>
      <c r="C2443" s="72" t="n"/>
      <c r="D2443" s="72" t="n"/>
      <c r="E2443" s="72" t="n"/>
      <c r="F2443" s="72" t="n"/>
      <c r="G2443" s="72" t="n"/>
      <c r="H2443" s="72" t="n"/>
      <c r="I2443" s="72" t="n"/>
      <c r="J2443" s="72" t="n"/>
      <c r="K2443" s="72" t="n"/>
      <c r="L2443" s="72" t="n"/>
      <c r="M2443" s="72" t="n"/>
      <c r="N2443" s="72" t="n"/>
      <c r="O2443" s="72" t="n"/>
      <c r="P2443" s="72" t="n"/>
      <c r="Q2443" s="72" t="n"/>
      <c r="R2443" s="72" t="n"/>
      <c r="S2443" s="72" t="n"/>
    </row>
    <row r="2444">
      <c r="B2444" s="72" t="n"/>
      <c r="C2444" s="72" t="n"/>
      <c r="D2444" s="72" t="n"/>
      <c r="E2444" s="72" t="n"/>
      <c r="F2444" s="72" t="n"/>
      <c r="G2444" s="72" t="n"/>
      <c r="H2444" s="72" t="n"/>
      <c r="I2444" s="72" t="n"/>
      <c r="J2444" s="72" t="n"/>
      <c r="K2444" s="72" t="n"/>
      <c r="L2444" s="72" t="n"/>
      <c r="M2444" s="72" t="n"/>
      <c r="N2444" s="72" t="n"/>
      <c r="O2444" s="72" t="n"/>
      <c r="P2444" s="72" t="n"/>
      <c r="Q2444" s="72" t="n"/>
      <c r="R2444" s="72" t="n"/>
      <c r="S2444" s="72" t="n"/>
    </row>
    <row r="2445">
      <c r="B2445" s="72" t="n"/>
      <c r="C2445" s="72" t="n"/>
      <c r="D2445" s="72" t="n"/>
      <c r="E2445" s="72" t="n"/>
      <c r="F2445" s="72" t="n"/>
      <c r="G2445" s="72" t="n"/>
      <c r="H2445" s="72" t="n"/>
      <c r="I2445" s="72" t="n"/>
      <c r="J2445" s="72" t="n"/>
      <c r="K2445" s="72" t="n"/>
      <c r="L2445" s="72" t="n"/>
      <c r="M2445" s="72" t="n"/>
      <c r="N2445" s="72" t="n"/>
      <c r="O2445" s="72" t="n"/>
      <c r="P2445" s="72" t="n"/>
      <c r="Q2445" s="72" t="n"/>
      <c r="R2445" s="72" t="n"/>
      <c r="S2445" s="72" t="n"/>
    </row>
    <row r="2446">
      <c r="B2446" s="72" t="n"/>
      <c r="C2446" s="72" t="n"/>
      <c r="D2446" s="72" t="n"/>
      <c r="E2446" s="72" t="n"/>
      <c r="F2446" s="72" t="n"/>
      <c r="G2446" s="72" t="n"/>
      <c r="H2446" s="72" t="n"/>
      <c r="I2446" s="72" t="n"/>
      <c r="J2446" s="72" t="n"/>
      <c r="K2446" s="72" t="n"/>
      <c r="L2446" s="72" t="n"/>
      <c r="M2446" s="72" t="n"/>
      <c r="N2446" s="72" t="n"/>
      <c r="O2446" s="72" t="n"/>
      <c r="P2446" s="72" t="n"/>
      <c r="Q2446" s="72" t="n"/>
      <c r="R2446" s="72" t="n"/>
      <c r="S2446" s="72" t="n"/>
    </row>
    <row r="2447">
      <c r="B2447" s="72" t="n"/>
      <c r="C2447" s="72" t="n"/>
      <c r="D2447" s="72" t="n"/>
      <c r="E2447" s="72" t="n"/>
      <c r="F2447" s="72" t="n"/>
      <c r="G2447" s="72" t="n"/>
      <c r="H2447" s="72" t="n"/>
      <c r="I2447" s="72" t="n"/>
      <c r="J2447" s="72" t="n"/>
      <c r="K2447" s="72" t="n"/>
      <c r="L2447" s="72" t="n"/>
      <c r="M2447" s="72" t="n"/>
      <c r="N2447" s="72" t="n"/>
      <c r="O2447" s="72" t="n"/>
      <c r="P2447" s="72" t="n"/>
      <c r="Q2447" s="72" t="n"/>
      <c r="R2447" s="72" t="n"/>
      <c r="S2447" s="72" t="n"/>
    </row>
    <row r="2448">
      <c r="B2448" s="72" t="n"/>
      <c r="C2448" s="72" t="n"/>
      <c r="D2448" s="72" t="n"/>
      <c r="E2448" s="72" t="n"/>
      <c r="F2448" s="72" t="n"/>
      <c r="G2448" s="72" t="n"/>
      <c r="H2448" s="72" t="n"/>
      <c r="I2448" s="72" t="n"/>
      <c r="J2448" s="72" t="n"/>
      <c r="K2448" s="72" t="n"/>
      <c r="L2448" s="72" t="n"/>
      <c r="M2448" s="72" t="n"/>
      <c r="N2448" s="72" t="n"/>
      <c r="O2448" s="72" t="n"/>
      <c r="P2448" s="72" t="n"/>
      <c r="Q2448" s="72" t="n"/>
      <c r="R2448" s="72" t="n"/>
      <c r="S2448" s="72" t="n"/>
    </row>
    <row r="2449">
      <c r="B2449" s="72" t="n"/>
      <c r="C2449" s="72" t="n"/>
      <c r="D2449" s="72" t="n"/>
      <c r="E2449" s="72" t="n"/>
      <c r="F2449" s="72" t="n"/>
      <c r="G2449" s="72" t="n"/>
      <c r="H2449" s="72" t="n"/>
      <c r="I2449" s="72" t="n"/>
      <c r="J2449" s="72" t="n"/>
      <c r="K2449" s="72" t="n"/>
      <c r="L2449" s="72" t="n"/>
      <c r="M2449" s="72" t="n"/>
      <c r="N2449" s="72" t="n"/>
      <c r="O2449" s="72" t="n"/>
      <c r="P2449" s="72" t="n"/>
      <c r="Q2449" s="72" t="n"/>
      <c r="R2449" s="72" t="n"/>
      <c r="S2449" s="72" t="n"/>
    </row>
    <row r="2450">
      <c r="B2450" s="72" t="n"/>
      <c r="C2450" s="72" t="n"/>
      <c r="D2450" s="72" t="n"/>
      <c r="E2450" s="72" t="n"/>
      <c r="F2450" s="72" t="n"/>
      <c r="G2450" s="72" t="n"/>
      <c r="H2450" s="72" t="n"/>
      <c r="I2450" s="72" t="n"/>
      <c r="J2450" s="72" t="n"/>
      <c r="K2450" s="72" t="n"/>
      <c r="L2450" s="72" t="n"/>
      <c r="M2450" s="72" t="n"/>
      <c r="N2450" s="72" t="n"/>
      <c r="O2450" s="72" t="n"/>
      <c r="P2450" s="72" t="n"/>
      <c r="Q2450" s="72" t="n"/>
      <c r="R2450" s="72" t="n"/>
      <c r="S2450" s="72" t="n"/>
    </row>
    <row r="2451">
      <c r="B2451" s="72" t="n"/>
      <c r="C2451" s="72" t="n"/>
      <c r="D2451" s="72" t="n"/>
      <c r="E2451" s="72" t="n"/>
      <c r="F2451" s="72" t="n"/>
      <c r="G2451" s="72" t="n"/>
      <c r="H2451" s="72" t="n"/>
      <c r="I2451" s="72" t="n"/>
      <c r="J2451" s="72" t="n"/>
      <c r="K2451" s="72" t="n"/>
      <c r="L2451" s="72" t="n"/>
      <c r="M2451" s="72" t="n"/>
      <c r="N2451" s="72" t="n"/>
      <c r="O2451" s="72" t="n"/>
      <c r="P2451" s="72" t="n"/>
      <c r="Q2451" s="72" t="n"/>
      <c r="R2451" s="72" t="n"/>
      <c r="S2451" s="72" t="n"/>
    </row>
    <row r="2452">
      <c r="B2452" s="72" t="n"/>
      <c r="C2452" s="72" t="n"/>
      <c r="D2452" s="72" t="n"/>
      <c r="E2452" s="72" t="n"/>
      <c r="F2452" s="72" t="n"/>
      <c r="G2452" s="72" t="n"/>
      <c r="H2452" s="72" t="n"/>
      <c r="I2452" s="72" t="n"/>
      <c r="J2452" s="72" t="n"/>
      <c r="K2452" s="72" t="n"/>
      <c r="L2452" s="72" t="n"/>
      <c r="M2452" s="72" t="n"/>
      <c r="N2452" s="72" t="n"/>
      <c r="O2452" s="72" t="n"/>
      <c r="P2452" s="72" t="n"/>
      <c r="Q2452" s="72" t="n"/>
      <c r="R2452" s="72" t="n"/>
      <c r="S2452" s="72" t="n"/>
    </row>
    <row r="2453">
      <c r="B2453" s="72" t="n"/>
      <c r="C2453" s="72" t="n"/>
      <c r="D2453" s="72" t="n"/>
      <c r="E2453" s="72" t="n"/>
      <c r="F2453" s="72" t="n"/>
      <c r="G2453" s="72" t="n"/>
      <c r="H2453" s="72" t="n"/>
      <c r="I2453" s="72" t="n"/>
      <c r="J2453" s="72" t="n"/>
      <c r="K2453" s="72" t="n"/>
      <c r="L2453" s="72" t="n"/>
      <c r="M2453" s="72" t="n"/>
      <c r="N2453" s="72" t="n"/>
      <c r="O2453" s="72" t="n"/>
      <c r="P2453" s="72" t="n"/>
      <c r="Q2453" s="72" t="n"/>
      <c r="R2453" s="72" t="n"/>
      <c r="S2453" s="72" t="n"/>
    </row>
    <row r="2454">
      <c r="B2454" s="72" t="n"/>
      <c r="C2454" s="72" t="n"/>
      <c r="D2454" s="72" t="n"/>
      <c r="E2454" s="72" t="n"/>
      <c r="F2454" s="72" t="n"/>
      <c r="G2454" s="72" t="n"/>
      <c r="H2454" s="72" t="n"/>
      <c r="I2454" s="72" t="n"/>
      <c r="J2454" s="72" t="n"/>
      <c r="K2454" s="72" t="n"/>
      <c r="L2454" s="72" t="n"/>
      <c r="M2454" s="72" t="n"/>
      <c r="N2454" s="72" t="n"/>
      <c r="O2454" s="72" t="n"/>
      <c r="P2454" s="72" t="n"/>
      <c r="Q2454" s="72" t="n"/>
      <c r="R2454" s="72" t="n"/>
      <c r="S2454" s="72" t="n"/>
    </row>
    <row r="2455">
      <c r="B2455" s="72" t="n"/>
      <c r="C2455" s="72" t="n"/>
      <c r="D2455" s="72" t="n"/>
      <c r="E2455" s="72" t="n"/>
      <c r="F2455" s="72" t="n"/>
      <c r="G2455" s="72" t="n"/>
      <c r="H2455" s="72" t="n"/>
      <c r="I2455" s="72" t="n"/>
      <c r="J2455" s="72" t="n"/>
      <c r="K2455" s="72" t="n"/>
      <c r="L2455" s="72" t="n"/>
      <c r="M2455" s="72" t="n"/>
      <c r="N2455" s="72" t="n"/>
      <c r="O2455" s="72" t="n"/>
      <c r="P2455" s="72" t="n"/>
      <c r="Q2455" s="72" t="n"/>
      <c r="R2455" s="72" t="n"/>
      <c r="S2455" s="72" t="n"/>
    </row>
    <row r="2456">
      <c r="B2456" s="72" t="n"/>
      <c r="C2456" s="72" t="n"/>
      <c r="D2456" s="72" t="n"/>
      <c r="E2456" s="72" t="n"/>
      <c r="F2456" s="72" t="n"/>
      <c r="G2456" s="72" t="n"/>
      <c r="H2456" s="72" t="n"/>
      <c r="I2456" s="72" t="n"/>
      <c r="J2456" s="72" t="n"/>
      <c r="K2456" s="72" t="n"/>
      <c r="L2456" s="72" t="n"/>
      <c r="M2456" s="72" t="n"/>
      <c r="N2456" s="72" t="n"/>
      <c r="O2456" s="72" t="n"/>
      <c r="P2456" s="72" t="n"/>
      <c r="Q2456" s="72" t="n"/>
      <c r="R2456" s="72" t="n"/>
      <c r="S2456" s="72" t="n"/>
    </row>
    <row r="2457">
      <c r="B2457" s="72" t="n"/>
      <c r="C2457" s="72" t="n"/>
      <c r="D2457" s="72" t="n"/>
      <c r="E2457" s="72" t="n"/>
      <c r="F2457" s="72" t="n"/>
      <c r="G2457" s="72" t="n"/>
      <c r="H2457" s="72" t="n"/>
      <c r="I2457" s="72" t="n"/>
      <c r="J2457" s="72" t="n"/>
      <c r="K2457" s="72" t="n"/>
      <c r="L2457" s="72" t="n"/>
      <c r="M2457" s="72" t="n"/>
      <c r="N2457" s="72" t="n"/>
      <c r="O2457" s="72" t="n"/>
      <c r="P2457" s="72" t="n"/>
      <c r="Q2457" s="72" t="n"/>
      <c r="R2457" s="72" t="n"/>
      <c r="S2457" s="72" t="n"/>
    </row>
    <row r="2458">
      <c r="B2458" s="72" t="n"/>
      <c r="C2458" s="72" t="n"/>
      <c r="D2458" s="72" t="n"/>
      <c r="E2458" s="72" t="n"/>
      <c r="F2458" s="72" t="n"/>
      <c r="G2458" s="72" t="n"/>
      <c r="H2458" s="72" t="n"/>
      <c r="I2458" s="72" t="n"/>
      <c r="J2458" s="72" t="n"/>
      <c r="K2458" s="72" t="n"/>
      <c r="L2458" s="72" t="n"/>
      <c r="M2458" s="72" t="n"/>
      <c r="N2458" s="72" t="n"/>
      <c r="O2458" s="72" t="n"/>
      <c r="P2458" s="72" t="n"/>
      <c r="Q2458" s="72" t="n"/>
      <c r="R2458" s="72" t="n"/>
      <c r="S2458" s="72" t="n"/>
    </row>
    <row r="2459">
      <c r="B2459" s="72" t="n"/>
      <c r="C2459" s="72" t="n"/>
      <c r="D2459" s="72" t="n"/>
      <c r="E2459" s="72" t="n"/>
      <c r="F2459" s="72" t="n"/>
      <c r="G2459" s="72" t="n"/>
      <c r="H2459" s="72" t="n"/>
      <c r="I2459" s="72" t="n"/>
      <c r="J2459" s="72" t="n"/>
      <c r="K2459" s="72" t="n"/>
      <c r="L2459" s="72" t="n"/>
      <c r="M2459" s="72" t="n"/>
      <c r="N2459" s="72" t="n"/>
      <c r="O2459" s="72" t="n"/>
      <c r="P2459" s="72" t="n"/>
      <c r="Q2459" s="72" t="n"/>
      <c r="R2459" s="72" t="n"/>
      <c r="S2459" s="72" t="n"/>
    </row>
    <row r="2460">
      <c r="B2460" s="72" t="n"/>
      <c r="C2460" s="72" t="n"/>
      <c r="D2460" s="72" t="n"/>
      <c r="E2460" s="72" t="n"/>
      <c r="F2460" s="72" t="n"/>
      <c r="G2460" s="72" t="n"/>
      <c r="H2460" s="72" t="n"/>
      <c r="I2460" s="72" t="n"/>
      <c r="J2460" s="72" t="n"/>
      <c r="K2460" s="72" t="n"/>
      <c r="L2460" s="72" t="n"/>
      <c r="M2460" s="72" t="n"/>
      <c r="N2460" s="72" t="n"/>
      <c r="O2460" s="72" t="n"/>
      <c r="P2460" s="72" t="n"/>
      <c r="Q2460" s="72" t="n"/>
      <c r="R2460" s="72" t="n"/>
      <c r="S2460" s="72" t="n"/>
    </row>
    <row r="2461">
      <c r="B2461" s="72" t="n"/>
      <c r="C2461" s="72" t="n"/>
      <c r="D2461" s="72" t="n"/>
      <c r="E2461" s="72" t="n"/>
      <c r="F2461" s="72" t="n"/>
      <c r="G2461" s="72" t="n"/>
      <c r="H2461" s="72" t="n"/>
      <c r="I2461" s="72" t="n"/>
      <c r="J2461" s="72" t="n"/>
      <c r="K2461" s="72" t="n"/>
      <c r="L2461" s="72" t="n"/>
      <c r="M2461" s="72" t="n"/>
      <c r="N2461" s="72" t="n"/>
      <c r="O2461" s="72" t="n"/>
      <c r="P2461" s="72" t="n"/>
      <c r="Q2461" s="72" t="n"/>
      <c r="R2461" s="72" t="n"/>
      <c r="S2461" s="72" t="n"/>
    </row>
    <row r="2462">
      <c r="B2462" s="72" t="n"/>
      <c r="C2462" s="72" t="n"/>
      <c r="D2462" s="72" t="n"/>
      <c r="E2462" s="72" t="n"/>
      <c r="F2462" s="72" t="n"/>
      <c r="G2462" s="72" t="n"/>
      <c r="H2462" s="72" t="n"/>
      <c r="I2462" s="72" t="n"/>
      <c r="J2462" s="72" t="n"/>
      <c r="K2462" s="72" t="n"/>
      <c r="L2462" s="72" t="n"/>
      <c r="M2462" s="72" t="n"/>
      <c r="N2462" s="72" t="n"/>
      <c r="O2462" s="72" t="n"/>
      <c r="P2462" s="72" t="n"/>
      <c r="Q2462" s="72" t="n"/>
      <c r="R2462" s="72" t="n"/>
      <c r="S2462" s="72" t="n"/>
    </row>
    <row r="2463">
      <c r="B2463" s="72" t="n"/>
      <c r="C2463" s="72" t="n"/>
      <c r="D2463" s="72" t="n"/>
      <c r="E2463" s="72" t="n"/>
      <c r="F2463" s="72" t="n"/>
      <c r="G2463" s="72" t="n"/>
      <c r="H2463" s="72" t="n"/>
      <c r="I2463" s="72" t="n"/>
      <c r="J2463" s="72" t="n"/>
      <c r="K2463" s="72" t="n"/>
      <c r="L2463" s="72" t="n"/>
      <c r="M2463" s="72" t="n"/>
      <c r="N2463" s="72" t="n"/>
      <c r="O2463" s="72" t="n"/>
      <c r="P2463" s="72" t="n"/>
      <c r="Q2463" s="72" t="n"/>
      <c r="R2463" s="72" t="n"/>
      <c r="S2463" s="72" t="n"/>
    </row>
    <row r="2464">
      <c r="B2464" s="72" t="n"/>
      <c r="C2464" s="72" t="n"/>
      <c r="D2464" s="72" t="n"/>
      <c r="E2464" s="72" t="n"/>
      <c r="F2464" s="72" t="n"/>
      <c r="G2464" s="72" t="n"/>
      <c r="H2464" s="72" t="n"/>
      <c r="I2464" s="72" t="n"/>
      <c r="J2464" s="72" t="n"/>
      <c r="K2464" s="72" t="n"/>
      <c r="L2464" s="72" t="n"/>
      <c r="M2464" s="72" t="n"/>
      <c r="N2464" s="72" t="n"/>
      <c r="O2464" s="72" t="n"/>
      <c r="P2464" s="72" t="n"/>
      <c r="Q2464" s="72" t="n"/>
      <c r="R2464" s="72" t="n"/>
      <c r="S2464" s="72" t="n"/>
    </row>
    <row r="2465">
      <c r="B2465" s="72" t="n"/>
      <c r="C2465" s="72" t="n"/>
      <c r="D2465" s="72" t="n"/>
      <c r="E2465" s="72" t="n"/>
      <c r="F2465" s="72" t="n"/>
      <c r="G2465" s="72" t="n"/>
      <c r="H2465" s="72" t="n"/>
      <c r="I2465" s="72" t="n"/>
      <c r="J2465" s="72" t="n"/>
      <c r="K2465" s="72" t="n"/>
      <c r="L2465" s="72" t="n"/>
      <c r="M2465" s="72" t="n"/>
      <c r="N2465" s="72" t="n"/>
      <c r="O2465" s="72" t="n"/>
      <c r="P2465" s="72" t="n"/>
      <c r="Q2465" s="72" t="n"/>
      <c r="R2465" s="72" t="n"/>
      <c r="S2465" s="72" t="n"/>
    </row>
    <row r="2466">
      <c r="B2466" s="72" t="n"/>
      <c r="C2466" s="72" t="n"/>
      <c r="D2466" s="72" t="n"/>
      <c r="E2466" s="72" t="n"/>
      <c r="F2466" s="72" t="n"/>
      <c r="G2466" s="72" t="n"/>
      <c r="H2466" s="72" t="n"/>
      <c r="I2466" s="72" t="n"/>
      <c r="J2466" s="72" t="n"/>
      <c r="K2466" s="72" t="n"/>
      <c r="L2466" s="72" t="n"/>
      <c r="M2466" s="72" t="n"/>
      <c r="N2466" s="72" t="n"/>
      <c r="O2466" s="72" t="n"/>
      <c r="P2466" s="72" t="n"/>
      <c r="Q2466" s="72" t="n"/>
      <c r="R2466" s="72" t="n"/>
      <c r="S2466" s="72" t="n"/>
    </row>
    <row r="2467">
      <c r="B2467" s="72" t="n"/>
      <c r="C2467" s="72" t="n"/>
      <c r="D2467" s="72" t="n"/>
      <c r="E2467" s="72" t="n"/>
      <c r="F2467" s="72" t="n"/>
      <c r="G2467" s="72" t="n"/>
      <c r="H2467" s="72" t="n"/>
      <c r="I2467" s="72" t="n"/>
      <c r="J2467" s="72" t="n"/>
      <c r="K2467" s="72" t="n"/>
      <c r="L2467" s="72" t="n"/>
      <c r="M2467" s="72" t="n"/>
      <c r="N2467" s="72" t="n"/>
      <c r="O2467" s="72" t="n"/>
      <c r="P2467" s="72" t="n"/>
      <c r="Q2467" s="72" t="n"/>
      <c r="R2467" s="72" t="n"/>
      <c r="S2467" s="72" t="n"/>
    </row>
    <row r="2468">
      <c r="B2468" s="72" t="n"/>
      <c r="C2468" s="72" t="n"/>
      <c r="D2468" s="72" t="n"/>
      <c r="E2468" s="72" t="n"/>
      <c r="F2468" s="72" t="n"/>
      <c r="G2468" s="72" t="n"/>
      <c r="H2468" s="72" t="n"/>
      <c r="I2468" s="72" t="n"/>
      <c r="J2468" s="72" t="n"/>
      <c r="K2468" s="72" t="n"/>
      <c r="L2468" s="72" t="n"/>
      <c r="M2468" s="72" t="n"/>
      <c r="N2468" s="72" t="n"/>
      <c r="O2468" s="72" t="n"/>
      <c r="P2468" s="72" t="n"/>
      <c r="Q2468" s="72" t="n"/>
      <c r="R2468" s="72" t="n"/>
      <c r="S2468" s="72" t="n"/>
    </row>
    <row r="2469">
      <c r="B2469" s="72" t="n"/>
      <c r="C2469" s="72" t="n"/>
      <c r="D2469" s="72" t="n"/>
      <c r="E2469" s="72" t="n"/>
      <c r="F2469" s="72" t="n"/>
      <c r="G2469" s="72" t="n"/>
      <c r="H2469" s="72" t="n"/>
      <c r="I2469" s="72" t="n"/>
      <c r="J2469" s="72" t="n"/>
      <c r="K2469" s="72" t="n"/>
      <c r="L2469" s="72" t="n"/>
      <c r="M2469" s="72" t="n"/>
      <c r="N2469" s="72" t="n"/>
      <c r="O2469" s="72" t="n"/>
      <c r="P2469" s="72" t="n"/>
      <c r="Q2469" s="72" t="n"/>
      <c r="R2469" s="72" t="n"/>
      <c r="S2469" s="72" t="n"/>
    </row>
    <row r="2470">
      <c r="B2470" s="72" t="n"/>
      <c r="C2470" s="72" t="n"/>
      <c r="D2470" s="72" t="n"/>
      <c r="E2470" s="72" t="n"/>
      <c r="F2470" s="72" t="n"/>
      <c r="G2470" s="72" t="n"/>
      <c r="H2470" s="72" t="n"/>
      <c r="I2470" s="72" t="n"/>
      <c r="J2470" s="72" t="n"/>
      <c r="K2470" s="72" t="n"/>
      <c r="L2470" s="72" t="n"/>
      <c r="M2470" s="72" t="n"/>
      <c r="N2470" s="72" t="n"/>
      <c r="O2470" s="72" t="n"/>
      <c r="P2470" s="72" t="n"/>
      <c r="Q2470" s="72" t="n"/>
      <c r="R2470" s="72" t="n"/>
      <c r="S2470" s="72" t="n"/>
    </row>
    <row r="2471">
      <c r="B2471" s="72" t="n"/>
      <c r="C2471" s="72" t="n"/>
      <c r="D2471" s="72" t="n"/>
      <c r="E2471" s="72" t="n"/>
      <c r="F2471" s="72" t="n"/>
      <c r="G2471" s="72" t="n"/>
      <c r="H2471" s="72" t="n"/>
      <c r="I2471" s="72" t="n"/>
      <c r="J2471" s="72" t="n"/>
      <c r="K2471" s="72" t="n"/>
      <c r="L2471" s="72" t="n"/>
      <c r="M2471" s="72" t="n"/>
      <c r="N2471" s="72" t="n"/>
      <c r="O2471" s="72" t="n"/>
      <c r="P2471" s="72" t="n"/>
      <c r="Q2471" s="72" t="n"/>
      <c r="R2471" s="72" t="n"/>
      <c r="S2471" s="72" t="n"/>
    </row>
    <row r="2472">
      <c r="B2472" s="72" t="n"/>
      <c r="C2472" s="72" t="n"/>
      <c r="D2472" s="72" t="n"/>
      <c r="E2472" s="72" t="n"/>
      <c r="F2472" s="72" t="n"/>
      <c r="G2472" s="72" t="n"/>
      <c r="H2472" s="72" t="n"/>
      <c r="I2472" s="72" t="n"/>
      <c r="J2472" s="72" t="n"/>
      <c r="K2472" s="72" t="n"/>
      <c r="L2472" s="72" t="n"/>
      <c r="M2472" s="72" t="n"/>
      <c r="N2472" s="72" t="n"/>
      <c r="O2472" s="72" t="n"/>
      <c r="P2472" s="72" t="n"/>
      <c r="Q2472" s="72" t="n"/>
      <c r="R2472" s="72" t="n"/>
      <c r="S2472" s="72" t="n"/>
    </row>
    <row r="2473">
      <c r="B2473" s="72" t="n"/>
      <c r="C2473" s="72" t="n"/>
      <c r="D2473" s="72" t="n"/>
      <c r="E2473" s="72" t="n"/>
      <c r="F2473" s="72" t="n"/>
      <c r="G2473" s="72" t="n"/>
      <c r="H2473" s="72" t="n"/>
      <c r="I2473" s="72" t="n"/>
      <c r="J2473" s="72" t="n"/>
      <c r="K2473" s="72" t="n"/>
      <c r="L2473" s="72" t="n"/>
      <c r="M2473" s="72" t="n"/>
      <c r="N2473" s="72" t="n"/>
      <c r="O2473" s="72" t="n"/>
      <c r="P2473" s="72" t="n"/>
      <c r="Q2473" s="72" t="n"/>
      <c r="R2473" s="72" t="n"/>
      <c r="S2473" s="72" t="n"/>
    </row>
    <row r="2474">
      <c r="B2474" s="72" t="n"/>
      <c r="C2474" s="72" t="n"/>
      <c r="D2474" s="72" t="n"/>
      <c r="E2474" s="72" t="n"/>
      <c r="F2474" s="72" t="n"/>
      <c r="G2474" s="72" t="n"/>
      <c r="H2474" s="72" t="n"/>
      <c r="I2474" s="72" t="n"/>
      <c r="J2474" s="72" t="n"/>
      <c r="K2474" s="72" t="n"/>
      <c r="L2474" s="72" t="n"/>
      <c r="M2474" s="72" t="n"/>
      <c r="N2474" s="72" t="n"/>
      <c r="O2474" s="72" t="n"/>
      <c r="P2474" s="72" t="n"/>
      <c r="Q2474" s="72" t="n"/>
      <c r="R2474" s="72" t="n"/>
      <c r="S2474" s="72" t="n"/>
    </row>
    <row r="2475">
      <c r="B2475" s="72" t="n"/>
      <c r="C2475" s="72" t="n"/>
      <c r="D2475" s="72" t="n"/>
      <c r="E2475" s="72" t="n"/>
      <c r="F2475" s="72" t="n"/>
      <c r="G2475" s="72" t="n"/>
      <c r="H2475" s="72" t="n"/>
      <c r="I2475" s="72" t="n"/>
      <c r="J2475" s="72" t="n"/>
      <c r="K2475" s="72" t="n"/>
      <c r="L2475" s="72" t="n"/>
      <c r="M2475" s="72" t="n"/>
      <c r="N2475" s="72" t="n"/>
      <c r="O2475" s="72" t="n"/>
      <c r="P2475" s="72" t="n"/>
      <c r="Q2475" s="72" t="n"/>
      <c r="R2475" s="72" t="n"/>
      <c r="S2475" s="72" t="n"/>
    </row>
    <row r="2476">
      <c r="B2476" s="72" t="n"/>
      <c r="C2476" s="72" t="n"/>
      <c r="D2476" s="72" t="n"/>
      <c r="E2476" s="72" t="n"/>
      <c r="F2476" s="72" t="n"/>
      <c r="G2476" s="72" t="n"/>
      <c r="H2476" s="72" t="n"/>
      <c r="I2476" s="72" t="n"/>
      <c r="J2476" s="72" t="n"/>
      <c r="K2476" s="72" t="n"/>
      <c r="L2476" s="72" t="n"/>
      <c r="M2476" s="72" t="n"/>
      <c r="N2476" s="72" t="n"/>
      <c r="O2476" s="72" t="n"/>
      <c r="P2476" s="72" t="n"/>
      <c r="Q2476" s="72" t="n"/>
      <c r="R2476" s="72" t="n"/>
      <c r="S2476" s="72" t="n"/>
    </row>
    <row r="2477">
      <c r="B2477" s="72" t="n"/>
      <c r="C2477" s="72" t="n"/>
      <c r="D2477" s="72" t="n"/>
      <c r="E2477" s="72" t="n"/>
      <c r="F2477" s="72" t="n"/>
      <c r="G2477" s="72" t="n"/>
      <c r="H2477" s="72" t="n"/>
      <c r="I2477" s="72" t="n"/>
      <c r="J2477" s="72" t="n"/>
      <c r="K2477" s="72" t="n"/>
      <c r="L2477" s="72" t="n"/>
      <c r="M2477" s="72" t="n"/>
      <c r="N2477" s="72" t="n"/>
      <c r="O2477" s="72" t="n"/>
      <c r="P2477" s="72" t="n"/>
      <c r="Q2477" s="72" t="n"/>
      <c r="R2477" s="72" t="n"/>
      <c r="S2477" s="72" t="n"/>
    </row>
    <row r="2478">
      <c r="B2478" s="72" t="n"/>
      <c r="C2478" s="72" t="n"/>
      <c r="D2478" s="72" t="n"/>
      <c r="E2478" s="72" t="n"/>
      <c r="F2478" s="72" t="n"/>
      <c r="G2478" s="72" t="n"/>
      <c r="H2478" s="72" t="n"/>
      <c r="I2478" s="72" t="n"/>
      <c r="J2478" s="72" t="n"/>
      <c r="K2478" s="72" t="n"/>
      <c r="L2478" s="72" t="n"/>
      <c r="M2478" s="72" t="n"/>
      <c r="N2478" s="72" t="n"/>
      <c r="O2478" s="72" t="n"/>
      <c r="P2478" s="72" t="n"/>
      <c r="Q2478" s="72" t="n"/>
      <c r="R2478" s="72" t="n"/>
      <c r="S2478" s="72" t="n"/>
    </row>
    <row r="2479">
      <c r="B2479" s="72" t="n"/>
      <c r="C2479" s="72" t="n"/>
      <c r="D2479" s="72" t="n"/>
      <c r="E2479" s="72" t="n"/>
      <c r="F2479" s="72" t="n"/>
      <c r="G2479" s="72" t="n"/>
      <c r="H2479" s="72" t="n"/>
      <c r="I2479" s="72" t="n"/>
      <c r="J2479" s="72" t="n"/>
      <c r="K2479" s="72" t="n"/>
      <c r="L2479" s="72" t="n"/>
      <c r="M2479" s="72" t="n"/>
      <c r="N2479" s="72" t="n"/>
      <c r="O2479" s="72" t="n"/>
      <c r="P2479" s="72" t="n"/>
      <c r="Q2479" s="72" t="n"/>
      <c r="R2479" s="72" t="n"/>
      <c r="S2479" s="72" t="n"/>
    </row>
    <row r="2480">
      <c r="B2480" s="72" t="n"/>
      <c r="C2480" s="72" t="n"/>
      <c r="D2480" s="72" t="n"/>
      <c r="E2480" s="72" t="n"/>
      <c r="F2480" s="72" t="n"/>
      <c r="G2480" s="72" t="n"/>
      <c r="H2480" s="72" t="n"/>
      <c r="I2480" s="72" t="n"/>
      <c r="J2480" s="72" t="n"/>
      <c r="K2480" s="72" t="n"/>
      <c r="L2480" s="72" t="n"/>
      <c r="M2480" s="72" t="n"/>
      <c r="N2480" s="72" t="n"/>
      <c r="O2480" s="72" t="n"/>
      <c r="P2480" s="72" t="n"/>
      <c r="Q2480" s="72" t="n"/>
      <c r="R2480" s="72" t="n"/>
      <c r="S2480" s="72" t="n"/>
    </row>
    <row r="2481">
      <c r="B2481" s="72" t="n"/>
      <c r="C2481" s="72" t="n"/>
      <c r="D2481" s="72" t="n"/>
      <c r="E2481" s="72" t="n"/>
      <c r="F2481" s="72" t="n"/>
      <c r="G2481" s="72" t="n"/>
      <c r="H2481" s="72" t="n"/>
      <c r="I2481" s="72" t="n"/>
      <c r="J2481" s="72" t="n"/>
      <c r="K2481" s="72" t="n"/>
      <c r="L2481" s="72" t="n"/>
      <c r="M2481" s="72" t="n"/>
      <c r="N2481" s="72" t="n"/>
      <c r="O2481" s="72" t="n"/>
      <c r="P2481" s="72" t="n"/>
      <c r="Q2481" s="72" t="n"/>
      <c r="R2481" s="72" t="n"/>
      <c r="S2481" s="72" t="n"/>
    </row>
    <row r="2482">
      <c r="B2482" s="72" t="n"/>
      <c r="C2482" s="72" t="n"/>
      <c r="D2482" s="72" t="n"/>
      <c r="E2482" s="72" t="n"/>
      <c r="F2482" s="72" t="n"/>
      <c r="G2482" s="72" t="n"/>
      <c r="H2482" s="72" t="n"/>
      <c r="I2482" s="72" t="n"/>
      <c r="J2482" s="72" t="n"/>
      <c r="K2482" s="72" t="n"/>
      <c r="L2482" s="72" t="n"/>
      <c r="M2482" s="72" t="n"/>
      <c r="N2482" s="72" t="n"/>
      <c r="O2482" s="72" t="n"/>
      <c r="P2482" s="72" t="n"/>
      <c r="Q2482" s="72" t="n"/>
      <c r="R2482" s="72" t="n"/>
      <c r="S2482" s="72" t="n"/>
    </row>
    <row r="2483">
      <c r="B2483" s="72" t="n"/>
      <c r="C2483" s="72" t="n"/>
      <c r="D2483" s="72" t="n"/>
      <c r="E2483" s="72" t="n"/>
      <c r="F2483" s="72" t="n"/>
      <c r="G2483" s="72" t="n"/>
      <c r="H2483" s="72" t="n"/>
      <c r="I2483" s="72" t="n"/>
      <c r="J2483" s="72" t="n"/>
      <c r="K2483" s="72" t="n"/>
      <c r="L2483" s="72" t="n"/>
      <c r="M2483" s="72" t="n"/>
      <c r="N2483" s="72" t="n"/>
      <c r="O2483" s="72" t="n"/>
      <c r="P2483" s="72" t="n"/>
      <c r="Q2483" s="72" t="n"/>
      <c r="R2483" s="72" t="n"/>
      <c r="S2483" s="72" t="n"/>
    </row>
    <row r="2484">
      <c r="B2484" s="72" t="n"/>
      <c r="C2484" s="72" t="n"/>
      <c r="D2484" s="72" t="n"/>
      <c r="E2484" s="72" t="n"/>
      <c r="F2484" s="72" t="n"/>
      <c r="G2484" s="72" t="n"/>
      <c r="H2484" s="72" t="n"/>
      <c r="I2484" s="72" t="n"/>
      <c r="J2484" s="72" t="n"/>
      <c r="K2484" s="72" t="n"/>
      <c r="L2484" s="72" t="n"/>
      <c r="M2484" s="72" t="n"/>
      <c r="N2484" s="72" t="n"/>
      <c r="O2484" s="72" t="n"/>
      <c r="P2484" s="72" t="n"/>
      <c r="Q2484" s="72" t="n"/>
      <c r="R2484" s="72" t="n"/>
      <c r="S2484" s="72" t="n"/>
    </row>
    <row r="2485">
      <c r="B2485" s="72" t="n"/>
      <c r="C2485" s="72" t="n"/>
      <c r="D2485" s="72" t="n"/>
      <c r="E2485" s="72" t="n"/>
      <c r="F2485" s="72" t="n"/>
      <c r="G2485" s="72" t="n"/>
      <c r="H2485" s="72" t="n"/>
      <c r="I2485" s="72" t="n"/>
      <c r="J2485" s="72" t="n"/>
      <c r="K2485" s="72" t="n"/>
      <c r="L2485" s="72" t="n"/>
      <c r="M2485" s="72" t="n"/>
      <c r="N2485" s="72" t="n"/>
      <c r="O2485" s="72" t="n"/>
      <c r="P2485" s="72" t="n"/>
      <c r="Q2485" s="72" t="n"/>
      <c r="R2485" s="72" t="n"/>
      <c r="S2485" s="72" t="n"/>
    </row>
    <row r="2486">
      <c r="B2486" s="72" t="n"/>
      <c r="C2486" s="72" t="n"/>
      <c r="D2486" s="72" t="n"/>
      <c r="E2486" s="72" t="n"/>
      <c r="F2486" s="72" t="n"/>
      <c r="G2486" s="72" t="n"/>
      <c r="H2486" s="72" t="n"/>
      <c r="I2486" s="72" t="n"/>
      <c r="J2486" s="72" t="n"/>
      <c r="K2486" s="72" t="n"/>
      <c r="L2486" s="72" t="n"/>
      <c r="M2486" s="72" t="n"/>
      <c r="N2486" s="72" t="n"/>
      <c r="O2486" s="72" t="n"/>
      <c r="P2486" s="72" t="n"/>
      <c r="Q2486" s="72" t="n"/>
      <c r="R2486" s="72" t="n"/>
      <c r="S2486" s="72" t="n"/>
    </row>
    <row r="2487">
      <c r="B2487" s="72" t="n"/>
      <c r="C2487" s="72" t="n"/>
      <c r="D2487" s="72" t="n"/>
      <c r="E2487" s="72" t="n"/>
      <c r="F2487" s="72" t="n"/>
      <c r="G2487" s="72" t="n"/>
      <c r="H2487" s="72" t="n"/>
      <c r="I2487" s="72" t="n"/>
      <c r="J2487" s="72" t="n"/>
      <c r="K2487" s="72" t="n"/>
      <c r="L2487" s="72" t="n"/>
      <c r="M2487" s="72" t="n"/>
      <c r="N2487" s="72" t="n"/>
      <c r="O2487" s="72" t="n"/>
      <c r="P2487" s="72" t="n"/>
      <c r="Q2487" s="72" t="n"/>
      <c r="R2487" s="72" t="n"/>
      <c r="S2487" s="72" t="n"/>
    </row>
    <row r="2488">
      <c r="B2488" s="72" t="n"/>
      <c r="C2488" s="72" t="n"/>
      <c r="D2488" s="72" t="n"/>
      <c r="E2488" s="72" t="n"/>
      <c r="F2488" s="72" t="n"/>
      <c r="G2488" s="72" t="n"/>
      <c r="H2488" s="72" t="n"/>
      <c r="I2488" s="72" t="n"/>
      <c r="J2488" s="72" t="n"/>
      <c r="K2488" s="72" t="n"/>
      <c r="L2488" s="72" t="n"/>
      <c r="M2488" s="72" t="n"/>
      <c r="N2488" s="72" t="n"/>
      <c r="O2488" s="72" t="n"/>
      <c r="P2488" s="72" t="n"/>
      <c r="Q2488" s="72" t="n"/>
      <c r="R2488" s="72" t="n"/>
      <c r="S2488" s="72" t="n"/>
    </row>
    <row r="2489">
      <c r="B2489" s="72" t="n"/>
      <c r="C2489" s="72" t="n"/>
      <c r="D2489" s="72" t="n"/>
      <c r="E2489" s="72" t="n"/>
      <c r="F2489" s="72" t="n"/>
      <c r="G2489" s="72" t="n"/>
      <c r="H2489" s="72" t="n"/>
      <c r="I2489" s="72" t="n"/>
      <c r="J2489" s="72" t="n"/>
      <c r="K2489" s="72" t="n"/>
      <c r="L2489" s="72" t="n"/>
      <c r="M2489" s="72" t="n"/>
      <c r="N2489" s="72" t="n"/>
      <c r="O2489" s="72" t="n"/>
      <c r="P2489" s="72" t="n"/>
      <c r="Q2489" s="72" t="n"/>
      <c r="R2489" s="72" t="n"/>
      <c r="S2489" s="72" t="n"/>
    </row>
    <row r="2490">
      <c r="B2490" s="72" t="n"/>
      <c r="C2490" s="72" t="n"/>
      <c r="D2490" s="72" t="n"/>
      <c r="E2490" s="72" t="n"/>
      <c r="F2490" s="72" t="n"/>
      <c r="G2490" s="72" t="n"/>
      <c r="H2490" s="72" t="n"/>
      <c r="I2490" s="72" t="n"/>
      <c r="J2490" s="72" t="n"/>
      <c r="K2490" s="72" t="n"/>
      <c r="L2490" s="72" t="n"/>
      <c r="M2490" s="72" t="n"/>
      <c r="N2490" s="72" t="n"/>
      <c r="O2490" s="72" t="n"/>
      <c r="P2490" s="72" t="n"/>
      <c r="Q2490" s="72" t="n"/>
      <c r="R2490" s="72" t="n"/>
      <c r="S2490" s="72" t="n"/>
    </row>
    <row r="2491">
      <c r="B2491" s="72" t="n"/>
      <c r="C2491" s="72" t="n"/>
      <c r="D2491" s="72" t="n"/>
      <c r="E2491" s="72" t="n"/>
      <c r="F2491" s="72" t="n"/>
      <c r="G2491" s="72" t="n"/>
      <c r="H2491" s="72" t="n"/>
      <c r="I2491" s="72" t="n"/>
      <c r="J2491" s="72" t="n"/>
      <c r="K2491" s="72" t="n"/>
      <c r="L2491" s="72" t="n"/>
      <c r="M2491" s="72" t="n"/>
      <c r="N2491" s="72" t="n"/>
      <c r="O2491" s="72" t="n"/>
      <c r="P2491" s="72" t="n"/>
      <c r="Q2491" s="72" t="n"/>
      <c r="R2491" s="72" t="n"/>
      <c r="S2491" s="72" t="n"/>
    </row>
    <row r="2492">
      <c r="B2492" s="72" t="n"/>
      <c r="C2492" s="72" t="n"/>
      <c r="D2492" s="72" t="n"/>
      <c r="E2492" s="72" t="n"/>
      <c r="F2492" s="72" t="n"/>
      <c r="G2492" s="72" t="n"/>
      <c r="H2492" s="72" t="n"/>
      <c r="I2492" s="72" t="n"/>
      <c r="J2492" s="72" t="n"/>
      <c r="K2492" s="72" t="n"/>
      <c r="L2492" s="72" t="n"/>
      <c r="M2492" s="72" t="n"/>
      <c r="N2492" s="72" t="n"/>
      <c r="O2492" s="72" t="n"/>
      <c r="P2492" s="72" t="n"/>
      <c r="Q2492" s="72" t="n"/>
      <c r="R2492" s="72" t="n"/>
      <c r="S2492" s="72" t="n"/>
    </row>
    <row r="2493">
      <c r="B2493" s="72" t="n"/>
      <c r="C2493" s="72" t="n"/>
      <c r="D2493" s="72" t="n"/>
      <c r="E2493" s="72" t="n"/>
      <c r="F2493" s="72" t="n"/>
      <c r="G2493" s="72" t="n"/>
      <c r="H2493" s="72" t="n"/>
      <c r="I2493" s="72" t="n"/>
      <c r="J2493" s="72" t="n"/>
      <c r="K2493" s="72" t="n"/>
      <c r="L2493" s="72" t="n"/>
      <c r="M2493" s="72" t="n"/>
      <c r="N2493" s="72" t="n"/>
      <c r="O2493" s="72" t="n"/>
      <c r="P2493" s="72" t="n"/>
      <c r="Q2493" s="72" t="n"/>
      <c r="R2493" s="72" t="n"/>
      <c r="S2493" s="72" t="n"/>
    </row>
    <row r="2494">
      <c r="B2494" s="72" t="n"/>
      <c r="C2494" s="72" t="n"/>
      <c r="D2494" s="72" t="n"/>
      <c r="E2494" s="72" t="n"/>
      <c r="F2494" s="72" t="n"/>
      <c r="G2494" s="72" t="n"/>
      <c r="H2494" s="72" t="n"/>
      <c r="I2494" s="72" t="n"/>
      <c r="J2494" s="72" t="n"/>
      <c r="K2494" s="72" t="n"/>
      <c r="L2494" s="72" t="n"/>
      <c r="M2494" s="72" t="n"/>
      <c r="N2494" s="72" t="n"/>
      <c r="O2494" s="72" t="n"/>
      <c r="P2494" s="72" t="n"/>
      <c r="Q2494" s="72" t="n"/>
      <c r="R2494" s="72" t="n"/>
      <c r="S2494" s="72" t="n"/>
    </row>
    <row r="2495">
      <c r="B2495" s="72" t="n"/>
      <c r="C2495" s="72" t="n"/>
      <c r="D2495" s="72" t="n"/>
      <c r="E2495" s="72" t="n"/>
      <c r="F2495" s="72" t="n"/>
      <c r="G2495" s="72" t="n"/>
      <c r="H2495" s="72" t="n"/>
      <c r="I2495" s="72" t="n"/>
      <c r="J2495" s="72" t="n"/>
      <c r="K2495" s="72" t="n"/>
      <c r="L2495" s="72" t="n"/>
      <c r="M2495" s="72" t="n"/>
      <c r="N2495" s="72" t="n"/>
      <c r="O2495" s="72" t="n"/>
      <c r="P2495" s="72" t="n"/>
      <c r="Q2495" s="72" t="n"/>
      <c r="R2495" s="72" t="n"/>
      <c r="S2495" s="72" t="n"/>
    </row>
    <row r="2496">
      <c r="B2496" s="72" t="n"/>
      <c r="C2496" s="72" t="n"/>
      <c r="D2496" s="72" t="n"/>
      <c r="E2496" s="72" t="n"/>
      <c r="F2496" s="72" t="n"/>
      <c r="G2496" s="72" t="n"/>
      <c r="H2496" s="72" t="n"/>
      <c r="I2496" s="72" t="n"/>
      <c r="J2496" s="72" t="n"/>
      <c r="K2496" s="72" t="n"/>
      <c r="L2496" s="72" t="n"/>
      <c r="M2496" s="72" t="n"/>
      <c r="N2496" s="72" t="n"/>
      <c r="O2496" s="72" t="n"/>
      <c r="P2496" s="72" t="n"/>
      <c r="Q2496" s="72" t="n"/>
      <c r="R2496" s="72" t="n"/>
      <c r="S2496" s="72" t="n"/>
    </row>
    <row r="2497">
      <c r="B2497" s="72" t="n"/>
      <c r="C2497" s="72" t="n"/>
      <c r="D2497" s="72" t="n"/>
      <c r="E2497" s="72" t="n"/>
      <c r="F2497" s="72" t="n"/>
      <c r="G2497" s="72" t="n"/>
      <c r="H2497" s="72" t="n"/>
      <c r="I2497" s="72" t="n"/>
      <c r="J2497" s="72" t="n"/>
      <c r="K2497" s="72" t="n"/>
      <c r="L2497" s="72" t="n"/>
      <c r="M2497" s="72" t="n"/>
      <c r="N2497" s="72" t="n"/>
      <c r="O2497" s="72" t="n"/>
      <c r="P2497" s="72" t="n"/>
      <c r="Q2497" s="72" t="n"/>
      <c r="R2497" s="72" t="n"/>
      <c r="S2497" s="72" t="n"/>
    </row>
    <row r="2498">
      <c r="B2498" s="72" t="n"/>
      <c r="C2498" s="72" t="n"/>
      <c r="D2498" s="72" t="n"/>
      <c r="E2498" s="72" t="n"/>
      <c r="F2498" s="72" t="n"/>
      <c r="G2498" s="72" t="n"/>
      <c r="H2498" s="72" t="n"/>
      <c r="I2498" s="72" t="n"/>
      <c r="J2498" s="72" t="n"/>
      <c r="K2498" s="72" t="n"/>
      <c r="L2498" s="72" t="n"/>
      <c r="M2498" s="72" t="n"/>
      <c r="N2498" s="72" t="n"/>
      <c r="O2498" s="72" t="n"/>
      <c r="P2498" s="72" t="n"/>
      <c r="Q2498" s="72" t="n"/>
      <c r="R2498" s="72" t="n"/>
      <c r="S2498" s="72" t="n"/>
    </row>
    <row r="2499">
      <c r="B2499" s="72" t="n"/>
      <c r="C2499" s="72" t="n"/>
      <c r="D2499" s="72" t="n"/>
      <c r="E2499" s="72" t="n"/>
      <c r="F2499" s="72" t="n"/>
      <c r="G2499" s="72" t="n"/>
      <c r="H2499" s="72" t="n"/>
      <c r="I2499" s="72" t="n"/>
      <c r="J2499" s="72" t="n"/>
      <c r="K2499" s="72" t="n"/>
      <c r="L2499" s="72" t="n"/>
      <c r="M2499" s="72" t="n"/>
      <c r="N2499" s="72" t="n"/>
      <c r="O2499" s="72" t="n"/>
      <c r="P2499" s="72" t="n"/>
      <c r="Q2499" s="72" t="n"/>
      <c r="R2499" s="72" t="n"/>
      <c r="S2499" s="72" t="n"/>
    </row>
    <row r="2500">
      <c r="B2500" s="72" t="n"/>
      <c r="C2500" s="72" t="n"/>
      <c r="D2500" s="72" t="n"/>
      <c r="E2500" s="72" t="n"/>
      <c r="F2500" s="72" t="n"/>
      <c r="G2500" s="72" t="n"/>
      <c r="H2500" s="72" t="n"/>
      <c r="I2500" s="72" t="n"/>
      <c r="J2500" s="72" t="n"/>
      <c r="K2500" s="72" t="n"/>
      <c r="L2500" s="72" t="n"/>
      <c r="M2500" s="72" t="n"/>
      <c r="N2500" s="72" t="n"/>
      <c r="O2500" s="72" t="n"/>
      <c r="P2500" s="72" t="n"/>
      <c r="Q2500" s="72" t="n"/>
      <c r="R2500" s="72" t="n"/>
      <c r="S2500" s="72" t="n"/>
    </row>
    <row r="2501">
      <c r="B2501" s="72" t="n"/>
      <c r="C2501" s="72" t="n"/>
      <c r="D2501" s="72" t="n"/>
      <c r="E2501" s="72" t="n"/>
      <c r="F2501" s="72" t="n"/>
      <c r="G2501" s="72" t="n"/>
      <c r="H2501" s="72" t="n"/>
      <c r="I2501" s="72" t="n"/>
      <c r="J2501" s="72" t="n"/>
      <c r="K2501" s="72" t="n"/>
      <c r="L2501" s="72" t="n"/>
      <c r="M2501" s="72" t="n"/>
      <c r="N2501" s="72" t="n"/>
      <c r="O2501" s="72" t="n"/>
      <c r="P2501" s="72" t="n"/>
      <c r="Q2501" s="72" t="n"/>
      <c r="R2501" s="72" t="n"/>
      <c r="S2501" s="72" t="n"/>
    </row>
    <row r="2502">
      <c r="B2502" s="72" t="n"/>
      <c r="C2502" s="72" t="n"/>
      <c r="D2502" s="72" t="n"/>
      <c r="E2502" s="72" t="n"/>
      <c r="F2502" s="72" t="n"/>
      <c r="G2502" s="72" t="n"/>
      <c r="H2502" s="72" t="n"/>
      <c r="I2502" s="72" t="n"/>
      <c r="J2502" s="72" t="n"/>
      <c r="K2502" s="72" t="n"/>
      <c r="L2502" s="72" t="n"/>
      <c r="M2502" s="72" t="n"/>
      <c r="N2502" s="72" t="n"/>
      <c r="O2502" s="72" t="n"/>
      <c r="P2502" s="72" t="n"/>
      <c r="Q2502" s="72" t="n"/>
      <c r="R2502" s="72" t="n"/>
      <c r="S2502" s="72" t="n"/>
    </row>
    <row r="2503">
      <c r="B2503" s="72" t="n"/>
      <c r="C2503" s="72" t="n"/>
      <c r="D2503" s="72" t="n"/>
      <c r="E2503" s="72" t="n"/>
      <c r="F2503" s="72" t="n"/>
      <c r="G2503" s="72" t="n"/>
      <c r="H2503" s="72" t="n"/>
      <c r="I2503" s="72" t="n"/>
      <c r="J2503" s="72" t="n"/>
      <c r="K2503" s="72" t="n"/>
      <c r="L2503" s="72" t="n"/>
      <c r="M2503" s="72" t="n"/>
      <c r="N2503" s="72" t="n"/>
      <c r="O2503" s="72" t="n"/>
      <c r="P2503" s="72" t="n"/>
      <c r="Q2503" s="72" t="n"/>
      <c r="R2503" s="72" t="n"/>
      <c r="S2503" s="72" t="n"/>
    </row>
    <row r="2504">
      <c r="B2504" s="72" t="n"/>
      <c r="C2504" s="72" t="n"/>
      <c r="D2504" s="72" t="n"/>
      <c r="E2504" s="72" t="n"/>
      <c r="F2504" s="72" t="n"/>
      <c r="G2504" s="72" t="n"/>
      <c r="H2504" s="72" t="n"/>
      <c r="I2504" s="72" t="n"/>
      <c r="J2504" s="72" t="n"/>
      <c r="K2504" s="72" t="n"/>
      <c r="L2504" s="72" t="n"/>
      <c r="M2504" s="72" t="n"/>
      <c r="N2504" s="72" t="n"/>
      <c r="O2504" s="72" t="n"/>
      <c r="P2504" s="72" t="n"/>
      <c r="Q2504" s="72" t="n"/>
      <c r="R2504" s="72" t="n"/>
      <c r="S2504" s="72" t="n"/>
    </row>
    <row r="2505">
      <c r="B2505" s="72" t="n"/>
      <c r="C2505" s="72" t="n"/>
      <c r="D2505" s="72" t="n"/>
      <c r="E2505" s="72" t="n"/>
      <c r="F2505" s="72" t="n"/>
      <c r="G2505" s="72" t="n"/>
      <c r="H2505" s="72" t="n"/>
      <c r="I2505" s="72" t="n"/>
      <c r="J2505" s="72" t="n"/>
      <c r="K2505" s="72" t="n"/>
      <c r="L2505" s="72" t="n"/>
      <c r="M2505" s="72" t="n"/>
      <c r="N2505" s="72" t="n"/>
      <c r="O2505" s="72" t="n"/>
      <c r="P2505" s="72" t="n"/>
      <c r="Q2505" s="72" t="n"/>
      <c r="R2505" s="72" t="n"/>
      <c r="S2505" s="72" t="n"/>
    </row>
    <row r="2506">
      <c r="B2506" s="72" t="n"/>
      <c r="C2506" s="72" t="n"/>
      <c r="D2506" s="72" t="n"/>
      <c r="E2506" s="72" t="n"/>
      <c r="F2506" s="72" t="n"/>
      <c r="G2506" s="72" t="n"/>
      <c r="H2506" s="72" t="n"/>
      <c r="I2506" s="72" t="n"/>
      <c r="J2506" s="72" t="n"/>
      <c r="K2506" s="72" t="n"/>
      <c r="L2506" s="72" t="n"/>
      <c r="M2506" s="72" t="n"/>
      <c r="N2506" s="72" t="n"/>
      <c r="O2506" s="72" t="n"/>
      <c r="P2506" s="72" t="n"/>
      <c r="Q2506" s="72" t="n"/>
      <c r="R2506" s="72" t="n"/>
      <c r="S2506" s="72" t="n"/>
    </row>
    <row r="2507">
      <c r="B2507" s="72" t="n"/>
      <c r="C2507" s="72" t="n"/>
      <c r="D2507" s="72" t="n"/>
      <c r="E2507" s="72" t="n"/>
      <c r="F2507" s="72" t="n"/>
      <c r="G2507" s="72" t="n"/>
      <c r="H2507" s="72" t="n"/>
      <c r="I2507" s="72" t="n"/>
      <c r="J2507" s="72" t="n"/>
      <c r="K2507" s="72" t="n"/>
      <c r="L2507" s="72" t="n"/>
      <c r="M2507" s="72" t="n"/>
      <c r="N2507" s="72" t="n"/>
      <c r="O2507" s="72" t="n"/>
      <c r="P2507" s="72" t="n"/>
      <c r="Q2507" s="72" t="n"/>
      <c r="R2507" s="72" t="n"/>
      <c r="S2507" s="72" t="n"/>
    </row>
    <row r="2508">
      <c r="B2508" s="72" t="n"/>
      <c r="C2508" s="72" t="n"/>
      <c r="D2508" s="72" t="n"/>
      <c r="E2508" s="72" t="n"/>
      <c r="F2508" s="72" t="n"/>
      <c r="G2508" s="72" t="n"/>
      <c r="H2508" s="72" t="n"/>
      <c r="I2508" s="72" t="n"/>
      <c r="J2508" s="72" t="n"/>
      <c r="K2508" s="72" t="n"/>
      <c r="L2508" s="72" t="n"/>
      <c r="M2508" s="72" t="n"/>
      <c r="N2508" s="72" t="n"/>
      <c r="O2508" s="72" t="n"/>
      <c r="P2508" s="72" t="n"/>
      <c r="Q2508" s="72" t="n"/>
      <c r="R2508" s="72" t="n"/>
      <c r="S2508" s="72" t="n"/>
    </row>
    <row r="2509">
      <c r="B2509" s="72" t="n"/>
      <c r="C2509" s="72" t="n"/>
      <c r="D2509" s="72" t="n"/>
      <c r="E2509" s="72" t="n"/>
      <c r="F2509" s="72" t="n"/>
      <c r="G2509" s="72" t="n"/>
      <c r="H2509" s="72" t="n"/>
      <c r="I2509" s="72" t="n"/>
      <c r="J2509" s="72" t="n"/>
      <c r="K2509" s="72" t="n"/>
      <c r="L2509" s="72" t="n"/>
      <c r="M2509" s="72" t="n"/>
      <c r="N2509" s="72" t="n"/>
      <c r="O2509" s="72" t="n"/>
      <c r="P2509" s="72" t="n"/>
      <c r="Q2509" s="72" t="n"/>
      <c r="R2509" s="72" t="n"/>
      <c r="S2509" s="72" t="n"/>
    </row>
    <row r="2510">
      <c r="B2510" s="72" t="n"/>
      <c r="C2510" s="72" t="n"/>
      <c r="D2510" s="72" t="n"/>
      <c r="E2510" s="72" t="n"/>
      <c r="F2510" s="72" t="n"/>
      <c r="G2510" s="72" t="n"/>
      <c r="H2510" s="72" t="n"/>
      <c r="I2510" s="72" t="n"/>
      <c r="J2510" s="72" t="n"/>
      <c r="K2510" s="72" t="n"/>
      <c r="L2510" s="72" t="n"/>
      <c r="M2510" s="72" t="n"/>
      <c r="N2510" s="72" t="n"/>
      <c r="O2510" s="72" t="n"/>
      <c r="P2510" s="72" t="n"/>
      <c r="Q2510" s="72" t="n"/>
      <c r="R2510" s="72" t="n"/>
      <c r="S2510" s="72" t="n"/>
    </row>
    <row r="2511">
      <c r="B2511" s="72" t="n"/>
      <c r="C2511" s="72" t="n"/>
      <c r="D2511" s="72" t="n"/>
      <c r="E2511" s="72" t="n"/>
      <c r="F2511" s="72" t="n"/>
      <c r="G2511" s="72" t="n"/>
      <c r="H2511" s="72" t="n"/>
      <c r="I2511" s="72" t="n"/>
      <c r="J2511" s="72" t="n"/>
      <c r="K2511" s="72" t="n"/>
      <c r="L2511" s="72" t="n"/>
      <c r="M2511" s="72" t="n"/>
      <c r="N2511" s="72" t="n"/>
      <c r="O2511" s="72" t="n"/>
      <c r="P2511" s="72" t="n"/>
      <c r="Q2511" s="72" t="n"/>
      <c r="R2511" s="72" t="n"/>
      <c r="S2511" s="72" t="n"/>
    </row>
    <row r="2512">
      <c r="B2512" s="72" t="n"/>
      <c r="C2512" s="72" t="n"/>
      <c r="D2512" s="72" t="n"/>
      <c r="E2512" s="72" t="n"/>
      <c r="F2512" s="72" t="n"/>
      <c r="G2512" s="72" t="n"/>
      <c r="H2512" s="72" t="n"/>
      <c r="I2512" s="72" t="n"/>
      <c r="J2512" s="72" t="n"/>
      <c r="K2512" s="72" t="n"/>
      <c r="L2512" s="72" t="n"/>
      <c r="M2512" s="72" t="n"/>
      <c r="N2512" s="72" t="n"/>
      <c r="O2512" s="72" t="n"/>
      <c r="P2512" s="72" t="n"/>
      <c r="Q2512" s="72" t="n"/>
      <c r="R2512" s="72" t="n"/>
      <c r="S2512" s="72" t="n"/>
    </row>
    <row r="2513">
      <c r="B2513" s="72" t="n"/>
      <c r="C2513" s="72" t="n"/>
      <c r="D2513" s="72" t="n"/>
      <c r="E2513" s="72" t="n"/>
      <c r="F2513" s="72" t="n"/>
      <c r="G2513" s="72" t="n"/>
      <c r="H2513" s="72" t="n"/>
      <c r="I2513" s="72" t="n"/>
      <c r="J2513" s="72" t="n"/>
      <c r="K2513" s="72" t="n"/>
      <c r="L2513" s="72" t="n"/>
      <c r="M2513" s="72" t="n"/>
      <c r="N2513" s="72" t="n"/>
      <c r="O2513" s="72" t="n"/>
      <c r="P2513" s="72" t="n"/>
      <c r="Q2513" s="72" t="n"/>
      <c r="R2513" s="72" t="n"/>
      <c r="S2513" s="72" t="n"/>
    </row>
    <row r="2514">
      <c r="B2514" s="72" t="n"/>
      <c r="C2514" s="72" t="n"/>
      <c r="D2514" s="72" t="n"/>
      <c r="E2514" s="72" t="n"/>
      <c r="F2514" s="72" t="n"/>
      <c r="G2514" s="72" t="n"/>
      <c r="H2514" s="72" t="n"/>
      <c r="I2514" s="72" t="n"/>
      <c r="J2514" s="72" t="n"/>
      <c r="K2514" s="72" t="n"/>
      <c r="L2514" s="72" t="n"/>
      <c r="M2514" s="72" t="n"/>
      <c r="N2514" s="72" t="n"/>
      <c r="O2514" s="72" t="n"/>
      <c r="P2514" s="72" t="n"/>
      <c r="Q2514" s="72" t="n"/>
      <c r="R2514" s="72" t="n"/>
      <c r="S2514" s="72" t="n"/>
    </row>
    <row r="2515">
      <c r="B2515" s="72" t="n"/>
      <c r="C2515" s="72" t="n"/>
      <c r="D2515" s="72" t="n"/>
      <c r="E2515" s="72" t="n"/>
      <c r="F2515" s="72" t="n"/>
      <c r="G2515" s="72" t="n"/>
      <c r="H2515" s="72" t="n"/>
      <c r="I2515" s="72" t="n"/>
      <c r="J2515" s="72" t="n"/>
      <c r="K2515" s="72" t="n"/>
      <c r="L2515" s="72" t="n"/>
      <c r="M2515" s="72" t="n"/>
      <c r="N2515" s="72" t="n"/>
      <c r="O2515" s="72" t="n"/>
      <c r="P2515" s="72" t="n"/>
      <c r="Q2515" s="72" t="n"/>
      <c r="R2515" s="72" t="n"/>
      <c r="S2515" s="72" t="n"/>
    </row>
    <row r="2516">
      <c r="B2516" s="72" t="n"/>
      <c r="C2516" s="72" t="n"/>
      <c r="D2516" s="72" t="n"/>
      <c r="E2516" s="72" t="n"/>
      <c r="F2516" s="72" t="n"/>
      <c r="G2516" s="72" t="n"/>
      <c r="H2516" s="72" t="n"/>
      <c r="I2516" s="72" t="n"/>
      <c r="J2516" s="72" t="n"/>
      <c r="K2516" s="72" t="n"/>
      <c r="L2516" s="72" t="n"/>
      <c r="M2516" s="72" t="n"/>
      <c r="N2516" s="72" t="n"/>
      <c r="O2516" s="72" t="n"/>
      <c r="P2516" s="72" t="n"/>
      <c r="Q2516" s="72" t="n"/>
      <c r="R2516" s="72" t="n"/>
      <c r="S2516" s="72" t="n"/>
    </row>
    <row r="2517">
      <c r="B2517" s="72" t="n"/>
      <c r="C2517" s="72" t="n"/>
      <c r="D2517" s="72" t="n"/>
      <c r="E2517" s="72" t="n"/>
      <c r="F2517" s="72" t="n"/>
      <c r="G2517" s="72" t="n"/>
      <c r="H2517" s="72" t="n"/>
      <c r="I2517" s="72" t="n"/>
      <c r="J2517" s="72" t="n"/>
      <c r="K2517" s="72" t="n"/>
      <c r="L2517" s="72" t="n"/>
      <c r="M2517" s="72" t="n"/>
      <c r="N2517" s="72" t="n"/>
      <c r="O2517" s="72" t="n"/>
      <c r="P2517" s="72" t="n"/>
      <c r="Q2517" s="72" t="n"/>
      <c r="R2517" s="72" t="n"/>
      <c r="S2517" s="72" t="n"/>
    </row>
    <row r="2518">
      <c r="B2518" s="72" t="n"/>
      <c r="C2518" s="72" t="n"/>
      <c r="D2518" s="72" t="n"/>
      <c r="E2518" s="72" t="n"/>
      <c r="F2518" s="72" t="n"/>
      <c r="G2518" s="72" t="n"/>
      <c r="H2518" s="72" t="n"/>
      <c r="I2518" s="72" t="n"/>
      <c r="J2518" s="72" t="n"/>
      <c r="K2518" s="72" t="n"/>
      <c r="L2518" s="72" t="n"/>
      <c r="M2518" s="72" t="n"/>
      <c r="N2518" s="72" t="n"/>
      <c r="O2518" s="72" t="n"/>
      <c r="P2518" s="72" t="n"/>
      <c r="Q2518" s="72" t="n"/>
      <c r="R2518" s="72" t="n"/>
      <c r="S2518" s="72" t="n"/>
    </row>
    <row r="2519">
      <c r="B2519" s="72" t="n"/>
      <c r="C2519" s="72" t="n"/>
      <c r="D2519" s="72" t="n"/>
      <c r="E2519" s="72" t="n"/>
      <c r="F2519" s="72" t="n"/>
      <c r="G2519" s="72" t="n"/>
      <c r="H2519" s="72" t="n"/>
      <c r="I2519" s="72" t="n"/>
      <c r="J2519" s="72" t="n"/>
      <c r="K2519" s="72" t="n"/>
      <c r="L2519" s="72" t="n"/>
      <c r="M2519" s="72" t="n"/>
      <c r="N2519" s="72" t="n"/>
      <c r="O2519" s="72" t="n"/>
      <c r="P2519" s="72" t="n"/>
      <c r="Q2519" s="72" t="n"/>
      <c r="R2519" s="72" t="n"/>
      <c r="S2519" s="72" t="n"/>
    </row>
    <row r="2520">
      <c r="B2520" s="72" t="n"/>
      <c r="C2520" s="72" t="n"/>
      <c r="D2520" s="72" t="n"/>
      <c r="E2520" s="72" t="n"/>
      <c r="F2520" s="72" t="n"/>
      <c r="G2520" s="72" t="n"/>
      <c r="H2520" s="72" t="n"/>
      <c r="I2520" s="72" t="n"/>
      <c r="J2520" s="72" t="n"/>
      <c r="K2520" s="72" t="n"/>
      <c r="L2520" s="72" t="n"/>
      <c r="M2520" s="72" t="n"/>
      <c r="N2520" s="72" t="n"/>
      <c r="O2520" s="72" t="n"/>
      <c r="P2520" s="72" t="n"/>
      <c r="Q2520" s="72" t="n"/>
      <c r="R2520" s="72" t="n"/>
      <c r="S2520" s="72" t="n"/>
    </row>
    <row r="2521">
      <c r="B2521" s="72" t="n"/>
      <c r="C2521" s="72" t="n"/>
      <c r="D2521" s="72" t="n"/>
      <c r="E2521" s="72" t="n"/>
      <c r="F2521" s="72" t="n"/>
      <c r="G2521" s="72" t="n"/>
      <c r="H2521" s="72" t="n"/>
      <c r="I2521" s="72" t="n"/>
      <c r="J2521" s="72" t="n"/>
      <c r="K2521" s="72" t="n"/>
      <c r="L2521" s="72" t="n"/>
      <c r="M2521" s="72" t="n"/>
      <c r="N2521" s="72" t="n"/>
      <c r="O2521" s="72" t="n"/>
      <c r="P2521" s="72" t="n"/>
      <c r="Q2521" s="72" t="n"/>
      <c r="R2521" s="72" t="n"/>
      <c r="S2521" s="72" t="n"/>
    </row>
    <row r="2522">
      <c r="B2522" s="72" t="n"/>
      <c r="C2522" s="72" t="n"/>
      <c r="D2522" s="72" t="n"/>
      <c r="E2522" s="72" t="n"/>
      <c r="F2522" s="72" t="n"/>
      <c r="G2522" s="72" t="n"/>
      <c r="H2522" s="72" t="n"/>
      <c r="I2522" s="72" t="n"/>
      <c r="J2522" s="72" t="n"/>
      <c r="K2522" s="72" t="n"/>
      <c r="L2522" s="72" t="n"/>
      <c r="M2522" s="72" t="n"/>
      <c r="N2522" s="72" t="n"/>
      <c r="O2522" s="72" t="n"/>
      <c r="P2522" s="72" t="n"/>
      <c r="Q2522" s="72" t="n"/>
      <c r="R2522" s="72" t="n"/>
      <c r="S2522" s="72" t="n"/>
    </row>
    <row r="2523">
      <c r="B2523" s="72" t="n"/>
      <c r="C2523" s="72" t="n"/>
      <c r="D2523" s="72" t="n"/>
      <c r="E2523" s="72" t="n"/>
      <c r="F2523" s="72" t="n"/>
      <c r="G2523" s="72" t="n"/>
      <c r="H2523" s="72" t="n"/>
      <c r="I2523" s="72" t="n"/>
      <c r="J2523" s="72" t="n"/>
      <c r="K2523" s="72" t="n"/>
      <c r="L2523" s="72" t="n"/>
      <c r="M2523" s="72" t="n"/>
      <c r="N2523" s="72" t="n"/>
      <c r="O2523" s="72" t="n"/>
      <c r="P2523" s="72" t="n"/>
      <c r="Q2523" s="72" t="n"/>
      <c r="R2523" s="72" t="n"/>
      <c r="S2523" s="72" t="n"/>
    </row>
    <row r="2524">
      <c r="B2524" s="72" t="n"/>
      <c r="C2524" s="72" t="n"/>
      <c r="D2524" s="72" t="n"/>
      <c r="E2524" s="72" t="n"/>
      <c r="F2524" s="72" t="n"/>
      <c r="G2524" s="72" t="n"/>
      <c r="H2524" s="72" t="n"/>
      <c r="I2524" s="72" t="n"/>
      <c r="J2524" s="72" t="n"/>
      <c r="K2524" s="72" t="n"/>
      <c r="L2524" s="72" t="n"/>
      <c r="M2524" s="72" t="n"/>
      <c r="N2524" s="72" t="n"/>
      <c r="O2524" s="72" t="n"/>
      <c r="P2524" s="72" t="n"/>
      <c r="Q2524" s="72" t="n"/>
      <c r="R2524" s="72" t="n"/>
      <c r="S2524" s="72" t="n"/>
    </row>
    <row r="2525">
      <c r="B2525" s="72" t="n"/>
      <c r="C2525" s="72" t="n"/>
      <c r="D2525" s="72" t="n"/>
      <c r="E2525" s="72" t="n"/>
      <c r="F2525" s="72" t="n"/>
      <c r="G2525" s="72" t="n"/>
      <c r="H2525" s="72" t="n"/>
      <c r="I2525" s="72" t="n"/>
      <c r="J2525" s="72" t="n"/>
      <c r="K2525" s="72" t="n"/>
      <c r="L2525" s="72" t="n"/>
      <c r="M2525" s="72" t="n"/>
      <c r="N2525" s="72" t="n"/>
      <c r="O2525" s="72" t="n"/>
      <c r="P2525" s="72" t="n"/>
      <c r="Q2525" s="72" t="n"/>
      <c r="R2525" s="72" t="n"/>
      <c r="S2525" s="72" t="n"/>
    </row>
    <row r="2526">
      <c r="B2526" s="72" t="n"/>
      <c r="C2526" s="72" t="n"/>
      <c r="D2526" s="72" t="n"/>
      <c r="E2526" s="72" t="n"/>
      <c r="F2526" s="72" t="n"/>
      <c r="G2526" s="72" t="n"/>
      <c r="H2526" s="72" t="n"/>
      <c r="I2526" s="72" t="n"/>
      <c r="J2526" s="72" t="n"/>
      <c r="K2526" s="72" t="n"/>
      <c r="L2526" s="72" t="n"/>
      <c r="M2526" s="72" t="n"/>
      <c r="N2526" s="72" t="n"/>
      <c r="O2526" s="72" t="n"/>
      <c r="P2526" s="72" t="n"/>
      <c r="Q2526" s="72" t="n"/>
      <c r="R2526" s="72" t="n"/>
      <c r="S2526" s="72" t="n"/>
    </row>
    <row r="2527">
      <c r="B2527" s="72" t="n"/>
      <c r="C2527" s="72" t="n"/>
      <c r="D2527" s="72" t="n"/>
      <c r="E2527" s="72" t="n"/>
      <c r="F2527" s="72" t="n"/>
      <c r="G2527" s="72" t="n"/>
      <c r="H2527" s="72" t="n"/>
      <c r="I2527" s="72" t="n"/>
      <c r="J2527" s="72" t="n"/>
      <c r="K2527" s="72" t="n"/>
      <c r="L2527" s="72" t="n"/>
      <c r="M2527" s="72" t="n"/>
      <c r="N2527" s="72" t="n"/>
      <c r="O2527" s="72" t="n"/>
      <c r="P2527" s="72" t="n"/>
      <c r="Q2527" s="72" t="n"/>
      <c r="R2527" s="72" t="n"/>
      <c r="S2527" s="72" t="n"/>
    </row>
    <row r="2528">
      <c r="B2528" s="72" t="n"/>
      <c r="C2528" s="72" t="n"/>
      <c r="D2528" s="72" t="n"/>
      <c r="E2528" s="72" t="n"/>
      <c r="F2528" s="72" t="n"/>
      <c r="G2528" s="72" t="n"/>
      <c r="H2528" s="72" t="n"/>
      <c r="I2528" s="72" t="n"/>
      <c r="J2528" s="72" t="n"/>
      <c r="K2528" s="72" t="n"/>
      <c r="L2528" s="72" t="n"/>
      <c r="M2528" s="72" t="n"/>
      <c r="N2528" s="72" t="n"/>
      <c r="O2528" s="72" t="n"/>
      <c r="P2528" s="72" t="n"/>
      <c r="Q2528" s="72" t="n"/>
      <c r="R2528" s="72" t="n"/>
      <c r="S2528" s="72" t="n"/>
    </row>
    <row r="2529">
      <c r="B2529" s="72" t="n"/>
      <c r="C2529" s="72" t="n"/>
      <c r="D2529" s="72" t="n"/>
      <c r="E2529" s="72" t="n"/>
      <c r="F2529" s="72" t="n"/>
      <c r="G2529" s="72" t="n"/>
      <c r="H2529" s="72" t="n"/>
      <c r="I2529" s="72" t="n"/>
      <c r="J2529" s="72" t="n"/>
      <c r="K2529" s="72" t="n"/>
      <c r="L2529" s="72" t="n"/>
      <c r="M2529" s="72" t="n"/>
      <c r="N2529" s="72" t="n"/>
      <c r="O2529" s="72" t="n"/>
      <c r="P2529" s="72" t="n"/>
      <c r="Q2529" s="72" t="n"/>
      <c r="R2529" s="72" t="n"/>
      <c r="S2529" s="72" t="n"/>
    </row>
    <row r="2530">
      <c r="B2530" s="72" t="n"/>
      <c r="C2530" s="72" t="n"/>
      <c r="D2530" s="72" t="n"/>
      <c r="E2530" s="72" t="n"/>
      <c r="F2530" s="72" t="n"/>
      <c r="G2530" s="72" t="n"/>
      <c r="H2530" s="72" t="n"/>
      <c r="I2530" s="72" t="n"/>
      <c r="J2530" s="72" t="n"/>
      <c r="K2530" s="72" t="n"/>
      <c r="L2530" s="72" t="n"/>
      <c r="M2530" s="72" t="n"/>
      <c r="N2530" s="72" t="n"/>
      <c r="O2530" s="72" t="n"/>
      <c r="P2530" s="72" t="n"/>
      <c r="Q2530" s="72" t="n"/>
      <c r="R2530" s="72" t="n"/>
      <c r="S2530" s="72" t="n"/>
    </row>
    <row r="2531">
      <c r="B2531" s="72" t="n"/>
      <c r="C2531" s="72" t="n"/>
      <c r="D2531" s="72" t="n"/>
      <c r="E2531" s="72" t="n"/>
      <c r="F2531" s="72" t="n"/>
      <c r="G2531" s="72" t="n"/>
      <c r="H2531" s="72" t="n"/>
      <c r="I2531" s="72" t="n"/>
      <c r="J2531" s="72" t="n"/>
      <c r="K2531" s="72" t="n"/>
      <c r="L2531" s="72" t="n"/>
      <c r="M2531" s="72" t="n"/>
      <c r="N2531" s="72" t="n"/>
      <c r="O2531" s="72" t="n"/>
      <c r="P2531" s="72" t="n"/>
      <c r="Q2531" s="72" t="n"/>
      <c r="R2531" s="72" t="n"/>
      <c r="S2531" s="72" t="n"/>
    </row>
    <row r="2532">
      <c r="B2532" s="72" t="n"/>
      <c r="C2532" s="72" t="n"/>
      <c r="D2532" s="72" t="n"/>
      <c r="E2532" s="72" t="n"/>
      <c r="F2532" s="72" t="n"/>
      <c r="G2532" s="72" t="n"/>
      <c r="H2532" s="72" t="n"/>
      <c r="I2532" s="72" t="n"/>
      <c r="J2532" s="72" t="n"/>
      <c r="K2532" s="72" t="n"/>
      <c r="L2532" s="72" t="n"/>
      <c r="M2532" s="72" t="n"/>
      <c r="N2532" s="72" t="n"/>
      <c r="O2532" s="72" t="n"/>
      <c r="P2532" s="72" t="n"/>
      <c r="Q2532" s="72" t="n"/>
      <c r="R2532" s="72" t="n"/>
      <c r="S2532" s="72" t="n"/>
    </row>
    <row r="2533">
      <c r="B2533" s="72" t="n"/>
      <c r="C2533" s="72" t="n"/>
      <c r="D2533" s="72" t="n"/>
      <c r="E2533" s="72" t="n"/>
      <c r="F2533" s="72" t="n"/>
      <c r="G2533" s="72" t="n"/>
      <c r="H2533" s="72" t="n"/>
      <c r="I2533" s="72" t="n"/>
      <c r="J2533" s="72" t="n"/>
      <c r="K2533" s="72" t="n"/>
      <c r="L2533" s="72" t="n"/>
      <c r="M2533" s="72" t="n"/>
      <c r="N2533" s="72" t="n"/>
      <c r="O2533" s="72" t="n"/>
      <c r="P2533" s="72" t="n"/>
      <c r="Q2533" s="72" t="n"/>
      <c r="R2533" s="72" t="n"/>
      <c r="S2533" s="72" t="n"/>
    </row>
    <row r="2534">
      <c r="B2534" s="72" t="n"/>
      <c r="C2534" s="72" t="n"/>
      <c r="D2534" s="72" t="n"/>
      <c r="E2534" s="72" t="n"/>
      <c r="F2534" s="72" t="n"/>
      <c r="G2534" s="72" t="n"/>
      <c r="H2534" s="72" t="n"/>
      <c r="I2534" s="72" t="n"/>
      <c r="J2534" s="72" t="n"/>
      <c r="K2534" s="72" t="n"/>
      <c r="L2534" s="72" t="n"/>
      <c r="M2534" s="72" t="n"/>
      <c r="N2534" s="72" t="n"/>
      <c r="O2534" s="72" t="n"/>
      <c r="P2534" s="72" t="n"/>
      <c r="Q2534" s="72" t="n"/>
      <c r="R2534" s="72" t="n"/>
      <c r="S2534" s="72" t="n"/>
    </row>
    <row r="2535">
      <c r="B2535" s="72" t="n"/>
      <c r="C2535" s="72" t="n"/>
      <c r="D2535" s="72" t="n"/>
      <c r="E2535" s="72" t="n"/>
      <c r="F2535" s="72" t="n"/>
      <c r="G2535" s="72" t="n"/>
      <c r="H2535" s="72" t="n"/>
      <c r="I2535" s="72" t="n"/>
      <c r="J2535" s="72" t="n"/>
      <c r="K2535" s="72" t="n"/>
      <c r="L2535" s="72" t="n"/>
      <c r="M2535" s="72" t="n"/>
      <c r="N2535" s="72" t="n"/>
      <c r="O2535" s="72" t="n"/>
      <c r="P2535" s="72" t="n"/>
      <c r="Q2535" s="72" t="n"/>
      <c r="R2535" s="72" t="n"/>
      <c r="S2535" s="72" t="n"/>
    </row>
    <row r="2536">
      <c r="B2536" s="72" t="n"/>
      <c r="C2536" s="72" t="n"/>
      <c r="D2536" s="72" t="n"/>
      <c r="E2536" s="72" t="n"/>
      <c r="F2536" s="72" t="n"/>
      <c r="G2536" s="72" t="n"/>
      <c r="H2536" s="72" t="n"/>
      <c r="I2536" s="72" t="n"/>
      <c r="J2536" s="72" t="n"/>
      <c r="K2536" s="72" t="n"/>
      <c r="L2536" s="72" t="n"/>
      <c r="M2536" s="72" t="n"/>
      <c r="N2536" s="72" t="n"/>
      <c r="O2536" s="72" t="n"/>
      <c r="P2536" s="72" t="n"/>
      <c r="Q2536" s="72" t="n"/>
      <c r="R2536" s="72" t="n"/>
      <c r="S2536" s="72" t="n"/>
    </row>
    <row r="2537">
      <c r="B2537" s="72" t="n"/>
      <c r="C2537" s="72" t="n"/>
      <c r="D2537" s="72" t="n"/>
      <c r="E2537" s="72" t="n"/>
      <c r="F2537" s="72" t="n"/>
      <c r="G2537" s="72" t="n"/>
      <c r="H2537" s="72" t="n"/>
      <c r="I2537" s="72" t="n"/>
      <c r="J2537" s="72" t="n"/>
      <c r="K2537" s="72" t="n"/>
      <c r="L2537" s="72" t="n"/>
      <c r="M2537" s="72" t="n"/>
      <c r="N2537" s="72" t="n"/>
      <c r="O2537" s="72" t="n"/>
      <c r="P2537" s="72" t="n"/>
      <c r="Q2537" s="72" t="n"/>
      <c r="R2537" s="72" t="n"/>
      <c r="S2537" s="72" t="n"/>
    </row>
    <row r="2538">
      <c r="B2538" s="72" t="n"/>
      <c r="C2538" s="72" t="n"/>
      <c r="D2538" s="72" t="n"/>
      <c r="E2538" s="72" t="n"/>
      <c r="F2538" s="72" t="n"/>
      <c r="G2538" s="72" t="n"/>
      <c r="H2538" s="72" t="n"/>
      <c r="I2538" s="72" t="n"/>
      <c r="J2538" s="72" t="n"/>
      <c r="K2538" s="72" t="n"/>
      <c r="L2538" s="72" t="n"/>
      <c r="M2538" s="72" t="n"/>
      <c r="N2538" s="72" t="n"/>
      <c r="O2538" s="72" t="n"/>
      <c r="P2538" s="72" t="n"/>
      <c r="Q2538" s="72" t="n"/>
      <c r="R2538" s="72" t="n"/>
      <c r="S2538" s="72" t="n"/>
    </row>
    <row r="2539">
      <c r="B2539" s="72" t="n"/>
      <c r="C2539" s="72" t="n"/>
      <c r="D2539" s="72" t="n"/>
      <c r="E2539" s="72" t="n"/>
      <c r="F2539" s="72" t="n"/>
      <c r="G2539" s="72" t="n"/>
      <c r="H2539" s="72" t="n"/>
      <c r="I2539" s="72" t="n"/>
      <c r="J2539" s="72" t="n"/>
      <c r="K2539" s="72" t="n"/>
      <c r="L2539" s="72" t="n"/>
      <c r="M2539" s="72" t="n"/>
      <c r="N2539" s="72" t="n"/>
      <c r="O2539" s="72" t="n"/>
      <c r="P2539" s="72" t="n"/>
      <c r="Q2539" s="72" t="n"/>
      <c r="R2539" s="72" t="n"/>
      <c r="S2539" s="72" t="n"/>
    </row>
    <row r="2540">
      <c r="B2540" s="72" t="n"/>
      <c r="C2540" s="72" t="n"/>
      <c r="D2540" s="72" t="n"/>
      <c r="E2540" s="72" t="n"/>
      <c r="F2540" s="72" t="n"/>
      <c r="G2540" s="72" t="n"/>
      <c r="H2540" s="72" t="n"/>
      <c r="I2540" s="72" t="n"/>
      <c r="J2540" s="72" t="n"/>
      <c r="K2540" s="72" t="n"/>
      <c r="L2540" s="72" t="n"/>
      <c r="M2540" s="72" t="n"/>
      <c r="N2540" s="72" t="n"/>
      <c r="O2540" s="72" t="n"/>
      <c r="P2540" s="72" t="n"/>
      <c r="Q2540" s="72" t="n"/>
      <c r="R2540" s="72" t="n"/>
      <c r="S2540" s="72" t="n"/>
    </row>
    <row r="2541">
      <c r="B2541" s="72" t="n"/>
      <c r="C2541" s="72" t="n"/>
      <c r="D2541" s="72" t="n"/>
      <c r="E2541" s="72" t="n"/>
      <c r="F2541" s="72" t="n"/>
      <c r="G2541" s="72" t="n"/>
      <c r="H2541" s="72" t="n"/>
      <c r="I2541" s="72" t="n"/>
      <c r="J2541" s="72" t="n"/>
      <c r="K2541" s="72" t="n"/>
      <c r="L2541" s="72" t="n"/>
      <c r="M2541" s="72" t="n"/>
      <c r="N2541" s="72" t="n"/>
      <c r="O2541" s="72" t="n"/>
      <c r="P2541" s="72" t="n"/>
      <c r="Q2541" s="72" t="n"/>
      <c r="R2541" s="72" t="n"/>
      <c r="S2541" s="72" t="n"/>
    </row>
    <row r="2542">
      <c r="B2542" s="72" t="n"/>
      <c r="C2542" s="72" t="n"/>
      <c r="D2542" s="72" t="n"/>
      <c r="E2542" s="72" t="n"/>
      <c r="F2542" s="72" t="n"/>
      <c r="G2542" s="72" t="n"/>
      <c r="H2542" s="72" t="n"/>
      <c r="I2542" s="72" t="n"/>
      <c r="J2542" s="72" t="n"/>
      <c r="K2542" s="72" t="n"/>
      <c r="L2542" s="72" t="n"/>
      <c r="M2542" s="72" t="n"/>
      <c r="N2542" s="72" t="n"/>
      <c r="O2542" s="72" t="n"/>
      <c r="P2542" s="72" t="n"/>
      <c r="Q2542" s="72" t="n"/>
      <c r="R2542" s="72" t="n"/>
      <c r="S2542" s="72" t="n"/>
    </row>
    <row r="2543">
      <c r="B2543" s="72" t="n"/>
      <c r="C2543" s="72" t="n"/>
      <c r="D2543" s="72" t="n"/>
      <c r="E2543" s="72" t="n"/>
      <c r="F2543" s="72" t="n"/>
      <c r="G2543" s="72" t="n"/>
      <c r="H2543" s="72" t="n"/>
      <c r="I2543" s="72" t="n"/>
      <c r="J2543" s="72" t="n"/>
      <c r="K2543" s="72" t="n"/>
      <c r="L2543" s="72" t="n"/>
      <c r="M2543" s="72" t="n"/>
      <c r="N2543" s="72" t="n"/>
      <c r="O2543" s="72" t="n"/>
      <c r="P2543" s="72" t="n"/>
      <c r="Q2543" s="72" t="n"/>
      <c r="R2543" s="72" t="n"/>
      <c r="S2543" s="72" t="n"/>
    </row>
    <row r="2544">
      <c r="B2544" s="72" t="n"/>
      <c r="C2544" s="72" t="n"/>
      <c r="D2544" s="72" t="n"/>
      <c r="E2544" s="72" t="n"/>
      <c r="F2544" s="72" t="n"/>
      <c r="G2544" s="72" t="n"/>
      <c r="H2544" s="72" t="n"/>
      <c r="I2544" s="72" t="n"/>
      <c r="J2544" s="72" t="n"/>
      <c r="K2544" s="72" t="n"/>
      <c r="L2544" s="72" t="n"/>
      <c r="M2544" s="72" t="n"/>
      <c r="N2544" s="72" t="n"/>
      <c r="O2544" s="72" t="n"/>
      <c r="P2544" s="72" t="n"/>
      <c r="Q2544" s="72" t="n"/>
      <c r="R2544" s="72" t="n"/>
      <c r="S2544" s="72" t="n"/>
    </row>
    <row r="2545">
      <c r="B2545" s="72" t="n"/>
      <c r="C2545" s="72" t="n"/>
      <c r="D2545" s="72" t="n"/>
      <c r="E2545" s="72" t="n"/>
      <c r="F2545" s="72" t="n"/>
      <c r="G2545" s="72" t="n"/>
      <c r="H2545" s="72" t="n"/>
      <c r="I2545" s="72" t="n"/>
      <c r="J2545" s="72" t="n"/>
      <c r="K2545" s="72" t="n"/>
      <c r="L2545" s="72" t="n"/>
      <c r="M2545" s="72" t="n"/>
      <c r="N2545" s="72" t="n"/>
      <c r="O2545" s="72" t="n"/>
      <c r="P2545" s="72" t="n"/>
      <c r="Q2545" s="72" t="n"/>
      <c r="R2545" s="72" t="n"/>
      <c r="S2545" s="72" t="n"/>
    </row>
    <row r="2546">
      <c r="B2546" s="72" t="n"/>
      <c r="C2546" s="72" t="n"/>
      <c r="D2546" s="72" t="n"/>
      <c r="E2546" s="72" t="n"/>
      <c r="F2546" s="72" t="n"/>
      <c r="G2546" s="72" t="n"/>
      <c r="H2546" s="72" t="n"/>
      <c r="I2546" s="72" t="n"/>
      <c r="J2546" s="72" t="n"/>
      <c r="K2546" s="72" t="n"/>
      <c r="L2546" s="72" t="n"/>
      <c r="M2546" s="72" t="n"/>
      <c r="N2546" s="72" t="n"/>
      <c r="O2546" s="72" t="n"/>
      <c r="P2546" s="72" t="n"/>
      <c r="Q2546" s="72" t="n"/>
      <c r="R2546" s="72" t="n"/>
      <c r="S2546" s="72" t="n"/>
    </row>
    <row r="2547">
      <c r="B2547" s="72" t="n"/>
      <c r="C2547" s="72" t="n"/>
      <c r="D2547" s="72" t="n"/>
      <c r="E2547" s="72" t="n"/>
      <c r="F2547" s="72" t="n"/>
      <c r="G2547" s="72" t="n"/>
      <c r="H2547" s="72" t="n"/>
      <c r="I2547" s="72" t="n"/>
      <c r="J2547" s="72" t="n"/>
      <c r="K2547" s="72" t="n"/>
      <c r="L2547" s="72" t="n"/>
      <c r="M2547" s="72" t="n"/>
      <c r="N2547" s="72" t="n"/>
      <c r="O2547" s="72" t="n"/>
      <c r="P2547" s="72" t="n"/>
      <c r="Q2547" s="72" t="n"/>
      <c r="R2547" s="72" t="n"/>
      <c r="S2547" s="72" t="n"/>
    </row>
    <row r="2548">
      <c r="B2548" s="72" t="n"/>
      <c r="C2548" s="72" t="n"/>
      <c r="D2548" s="72" t="n"/>
      <c r="E2548" s="72" t="n"/>
      <c r="F2548" s="72" t="n"/>
      <c r="G2548" s="72" t="n"/>
      <c r="H2548" s="72" t="n"/>
      <c r="I2548" s="72" t="n"/>
      <c r="J2548" s="72" t="n"/>
      <c r="K2548" s="72" t="n"/>
      <c r="L2548" s="72" t="n"/>
      <c r="M2548" s="72" t="n"/>
      <c r="N2548" s="72" t="n"/>
      <c r="O2548" s="72" t="n"/>
      <c r="P2548" s="72" t="n"/>
      <c r="Q2548" s="72" t="n"/>
      <c r="R2548" s="72" t="n"/>
      <c r="S2548" s="72" t="n"/>
    </row>
    <row r="2549">
      <c r="B2549" s="72" t="n"/>
      <c r="C2549" s="72" t="n"/>
      <c r="D2549" s="72" t="n"/>
      <c r="E2549" s="72" t="n"/>
      <c r="F2549" s="72" t="n"/>
      <c r="G2549" s="72" t="n"/>
      <c r="H2549" s="72" t="n"/>
      <c r="I2549" s="72" t="n"/>
      <c r="J2549" s="72" t="n"/>
      <c r="K2549" s="72" t="n"/>
      <c r="L2549" s="72" t="n"/>
      <c r="M2549" s="72" t="n"/>
      <c r="N2549" s="72" t="n"/>
      <c r="O2549" s="72" t="n"/>
      <c r="P2549" s="72" t="n"/>
      <c r="Q2549" s="72" t="n"/>
      <c r="R2549" s="72" t="n"/>
      <c r="S2549" s="72" t="n"/>
    </row>
    <row r="2550">
      <c r="B2550" s="72" t="n"/>
      <c r="C2550" s="72" t="n"/>
      <c r="D2550" s="72" t="n"/>
      <c r="E2550" s="72" t="n"/>
      <c r="F2550" s="72" t="n"/>
      <c r="G2550" s="72" t="n"/>
      <c r="H2550" s="72" t="n"/>
      <c r="I2550" s="72" t="n"/>
      <c r="J2550" s="72" t="n"/>
      <c r="K2550" s="72" t="n"/>
      <c r="L2550" s="72" t="n"/>
      <c r="M2550" s="72" t="n"/>
      <c r="N2550" s="72" t="n"/>
      <c r="O2550" s="72" t="n"/>
      <c r="P2550" s="72" t="n"/>
      <c r="Q2550" s="72" t="n"/>
      <c r="R2550" s="72" t="n"/>
      <c r="S2550" s="72" t="n"/>
    </row>
    <row r="2551">
      <c r="B2551" s="72" t="n"/>
      <c r="C2551" s="72" t="n"/>
      <c r="D2551" s="72" t="n"/>
      <c r="E2551" s="72" t="n"/>
      <c r="F2551" s="72" t="n"/>
      <c r="G2551" s="72" t="n"/>
      <c r="H2551" s="72" t="n"/>
      <c r="I2551" s="72" t="n"/>
      <c r="J2551" s="72" t="n"/>
      <c r="K2551" s="72" t="n"/>
      <c r="L2551" s="72" t="n"/>
      <c r="M2551" s="72" t="n"/>
      <c r="N2551" s="72" t="n"/>
      <c r="O2551" s="72" t="n"/>
      <c r="P2551" s="72" t="n"/>
      <c r="Q2551" s="72" t="n"/>
      <c r="R2551" s="72" t="n"/>
      <c r="S2551" s="72" t="n"/>
    </row>
    <row r="2552">
      <c r="B2552" s="72" t="n"/>
      <c r="C2552" s="72" t="n"/>
      <c r="D2552" s="72" t="n"/>
      <c r="E2552" s="72" t="n"/>
      <c r="F2552" s="72" t="n"/>
      <c r="G2552" s="72" t="n"/>
      <c r="H2552" s="72" t="n"/>
      <c r="I2552" s="72" t="n"/>
      <c r="J2552" s="72" t="n"/>
      <c r="K2552" s="72" t="n"/>
      <c r="L2552" s="72" t="n"/>
      <c r="M2552" s="72" t="n"/>
      <c r="N2552" s="72" t="n"/>
      <c r="O2552" s="72" t="n"/>
      <c r="P2552" s="72" t="n"/>
      <c r="Q2552" s="72" t="n"/>
      <c r="R2552" s="72" t="n"/>
      <c r="S2552" s="72" t="n"/>
    </row>
    <row r="2553">
      <c r="B2553" s="72" t="n"/>
      <c r="C2553" s="72" t="n"/>
      <c r="D2553" s="72" t="n"/>
      <c r="E2553" s="72" t="n"/>
      <c r="F2553" s="72" t="n"/>
      <c r="G2553" s="72" t="n"/>
      <c r="H2553" s="72" t="n"/>
      <c r="I2553" s="72" t="n"/>
      <c r="J2553" s="72" t="n"/>
      <c r="K2553" s="72" t="n"/>
      <c r="L2553" s="72" t="n"/>
      <c r="M2553" s="72" t="n"/>
      <c r="N2553" s="72" t="n"/>
      <c r="O2553" s="72" t="n"/>
      <c r="P2553" s="72" t="n"/>
      <c r="Q2553" s="72" t="n"/>
      <c r="R2553" s="72" t="n"/>
      <c r="S2553" s="72" t="n"/>
    </row>
    <row r="2554">
      <c r="B2554" s="72" t="n"/>
      <c r="C2554" s="72" t="n"/>
      <c r="D2554" s="72" t="n"/>
      <c r="E2554" s="72" t="n"/>
      <c r="F2554" s="72" t="n"/>
      <c r="G2554" s="72" t="n"/>
      <c r="H2554" s="72" t="n"/>
      <c r="I2554" s="72" t="n"/>
      <c r="J2554" s="72" t="n"/>
      <c r="K2554" s="72" t="n"/>
      <c r="L2554" s="72" t="n"/>
      <c r="M2554" s="72" t="n"/>
      <c r="N2554" s="72" t="n"/>
      <c r="O2554" s="72" t="n"/>
      <c r="P2554" s="72" t="n"/>
      <c r="Q2554" s="72" t="n"/>
      <c r="R2554" s="72" t="n"/>
      <c r="S2554" s="72" t="n"/>
    </row>
    <row r="2555">
      <c r="B2555" s="72" t="n"/>
      <c r="C2555" s="72" t="n"/>
      <c r="D2555" s="72" t="n"/>
      <c r="E2555" s="72" t="n"/>
      <c r="F2555" s="72" t="n"/>
      <c r="G2555" s="72" t="n"/>
      <c r="H2555" s="72" t="n"/>
      <c r="I2555" s="72" t="n"/>
      <c r="J2555" s="72" t="n"/>
      <c r="K2555" s="72" t="n"/>
      <c r="L2555" s="72" t="n"/>
      <c r="M2555" s="72" t="n"/>
      <c r="N2555" s="72" t="n"/>
      <c r="O2555" s="72" t="n"/>
      <c r="P2555" s="72" t="n"/>
      <c r="Q2555" s="72" t="n"/>
      <c r="R2555" s="72" t="n"/>
      <c r="S2555" s="72" t="n"/>
    </row>
    <row r="2556">
      <c r="B2556" s="72" t="n"/>
      <c r="C2556" s="72" t="n"/>
      <c r="D2556" s="72" t="n"/>
      <c r="E2556" s="72" t="n"/>
      <c r="F2556" s="72" t="n"/>
      <c r="G2556" s="72" t="n"/>
      <c r="H2556" s="72" t="n"/>
      <c r="I2556" s="72" t="n"/>
      <c r="J2556" s="72" t="n"/>
      <c r="K2556" s="72" t="n"/>
      <c r="L2556" s="72" t="n"/>
      <c r="M2556" s="72" t="n"/>
      <c r="N2556" s="72" t="n"/>
      <c r="O2556" s="72" t="n"/>
      <c r="P2556" s="72" t="n"/>
      <c r="Q2556" s="72" t="n"/>
      <c r="R2556" s="72" t="n"/>
      <c r="S2556" s="72" t="n"/>
    </row>
    <row r="2557">
      <c r="B2557" s="72" t="n"/>
      <c r="C2557" s="72" t="n"/>
      <c r="D2557" s="72" t="n"/>
      <c r="E2557" s="72" t="n"/>
      <c r="F2557" s="72" t="n"/>
      <c r="G2557" s="72" t="n"/>
      <c r="H2557" s="72" t="n"/>
      <c r="I2557" s="72" t="n"/>
      <c r="J2557" s="72" t="n"/>
      <c r="K2557" s="72" t="n"/>
      <c r="L2557" s="72" t="n"/>
      <c r="M2557" s="72" t="n"/>
      <c r="N2557" s="72" t="n"/>
      <c r="O2557" s="72" t="n"/>
      <c r="P2557" s="72" t="n"/>
      <c r="Q2557" s="72" t="n"/>
      <c r="R2557" s="72" t="n"/>
      <c r="S2557" s="72" t="n"/>
    </row>
    <row r="2558">
      <c r="B2558" s="72" t="n"/>
      <c r="C2558" s="72" t="n"/>
      <c r="D2558" s="72" t="n"/>
      <c r="E2558" s="72" t="n"/>
      <c r="F2558" s="72" t="n"/>
      <c r="G2558" s="72" t="n"/>
      <c r="H2558" s="72" t="n"/>
      <c r="I2558" s="72" t="n"/>
      <c r="J2558" s="72" t="n"/>
      <c r="K2558" s="72" t="n"/>
      <c r="L2558" s="72" t="n"/>
      <c r="M2558" s="72" t="n"/>
      <c r="N2558" s="72" t="n"/>
      <c r="O2558" s="72" t="n"/>
      <c r="P2558" s="72" t="n"/>
      <c r="Q2558" s="72" t="n"/>
      <c r="R2558" s="72" t="n"/>
      <c r="S2558" s="72" t="n"/>
    </row>
    <row r="2559">
      <c r="B2559" s="72" t="n"/>
      <c r="C2559" s="72" t="n"/>
      <c r="D2559" s="72" t="n"/>
      <c r="E2559" s="72" t="n"/>
      <c r="F2559" s="72" t="n"/>
      <c r="G2559" s="72" t="n"/>
      <c r="H2559" s="72" t="n"/>
      <c r="I2559" s="72" t="n"/>
      <c r="J2559" s="72" t="n"/>
      <c r="K2559" s="72" t="n"/>
      <c r="L2559" s="72" t="n"/>
      <c r="M2559" s="72" t="n"/>
      <c r="N2559" s="72" t="n"/>
      <c r="O2559" s="72" t="n"/>
      <c r="P2559" s="72" t="n"/>
      <c r="Q2559" s="72" t="n"/>
      <c r="R2559" s="72" t="n"/>
      <c r="S2559" s="72" t="n"/>
    </row>
    <row r="2560">
      <c r="B2560" s="72" t="n"/>
      <c r="C2560" s="72" t="n"/>
      <c r="D2560" s="72" t="n"/>
      <c r="E2560" s="72" t="n"/>
      <c r="F2560" s="72" t="n"/>
      <c r="G2560" s="72" t="n"/>
      <c r="H2560" s="72" t="n"/>
      <c r="I2560" s="72" t="n"/>
      <c r="J2560" s="72" t="n"/>
      <c r="K2560" s="72" t="n"/>
      <c r="L2560" s="72" t="n"/>
      <c r="M2560" s="72" t="n"/>
      <c r="N2560" s="72" t="n"/>
      <c r="O2560" s="72" t="n"/>
      <c r="P2560" s="72" t="n"/>
      <c r="Q2560" s="72" t="n"/>
      <c r="R2560" s="72" t="n"/>
      <c r="S2560" s="72" t="n"/>
    </row>
    <row r="2561">
      <c r="B2561" s="72" t="n"/>
      <c r="C2561" s="72" t="n"/>
      <c r="D2561" s="72" t="n"/>
      <c r="E2561" s="72" t="n"/>
      <c r="F2561" s="72" t="n"/>
      <c r="G2561" s="72" t="n"/>
      <c r="H2561" s="72" t="n"/>
      <c r="I2561" s="72" t="n"/>
      <c r="J2561" s="72" t="n"/>
      <c r="K2561" s="72" t="n"/>
      <c r="L2561" s="72" t="n"/>
      <c r="M2561" s="72" t="n"/>
      <c r="N2561" s="72" t="n"/>
      <c r="O2561" s="72" t="n"/>
      <c r="P2561" s="72" t="n"/>
      <c r="Q2561" s="72" t="n"/>
      <c r="R2561" s="72" t="n"/>
      <c r="S2561" s="72" t="n"/>
    </row>
    <row r="2562">
      <c r="B2562" s="72" t="n"/>
      <c r="C2562" s="72" t="n"/>
      <c r="D2562" s="72" t="n"/>
      <c r="E2562" s="72" t="n"/>
      <c r="F2562" s="72" t="n"/>
      <c r="G2562" s="72" t="n"/>
      <c r="H2562" s="72" t="n"/>
      <c r="I2562" s="72" t="n"/>
      <c r="J2562" s="72" t="n"/>
      <c r="K2562" s="72" t="n"/>
      <c r="L2562" s="72" t="n"/>
      <c r="M2562" s="72" t="n"/>
      <c r="N2562" s="72" t="n"/>
      <c r="O2562" s="72" t="n"/>
      <c r="P2562" s="72" t="n"/>
      <c r="Q2562" s="72" t="n"/>
      <c r="R2562" s="72" t="n"/>
      <c r="S2562" s="72" t="n"/>
    </row>
    <row r="2563">
      <c r="B2563" s="72" t="n"/>
      <c r="C2563" s="72" t="n"/>
      <c r="D2563" s="72" t="n"/>
      <c r="E2563" s="72" t="n"/>
      <c r="F2563" s="72" t="n"/>
      <c r="G2563" s="72" t="n"/>
      <c r="H2563" s="72" t="n"/>
      <c r="I2563" s="72" t="n"/>
      <c r="J2563" s="72" t="n"/>
      <c r="K2563" s="72" t="n"/>
      <c r="L2563" s="72" t="n"/>
      <c r="M2563" s="72" t="n"/>
      <c r="N2563" s="72" t="n"/>
      <c r="O2563" s="72" t="n"/>
      <c r="P2563" s="72" t="n"/>
      <c r="Q2563" s="72" t="n"/>
      <c r="R2563" s="72" t="n"/>
      <c r="S2563" s="72" t="n"/>
    </row>
    <row r="2564">
      <c r="B2564" s="72" t="n"/>
      <c r="C2564" s="72" t="n"/>
      <c r="D2564" s="72" t="n"/>
      <c r="E2564" s="72" t="n"/>
      <c r="F2564" s="72" t="n"/>
      <c r="G2564" s="72" t="n"/>
      <c r="H2564" s="72" t="n"/>
      <c r="I2564" s="72" t="n"/>
      <c r="J2564" s="72" t="n"/>
      <c r="K2564" s="72" t="n"/>
      <c r="L2564" s="72" t="n"/>
      <c r="M2564" s="72" t="n"/>
      <c r="N2564" s="72" t="n"/>
      <c r="O2564" s="72" t="n"/>
      <c r="P2564" s="72" t="n"/>
      <c r="Q2564" s="72" t="n"/>
      <c r="R2564" s="72" t="n"/>
      <c r="S2564" s="72" t="n"/>
    </row>
    <row r="2565">
      <c r="B2565" s="72" t="n"/>
      <c r="C2565" s="72" t="n"/>
      <c r="D2565" s="72" t="n"/>
      <c r="E2565" s="72" t="n"/>
      <c r="F2565" s="72" t="n"/>
      <c r="G2565" s="72" t="n"/>
      <c r="H2565" s="72" t="n"/>
      <c r="I2565" s="72" t="n"/>
      <c r="J2565" s="72" t="n"/>
      <c r="K2565" s="72" t="n"/>
      <c r="L2565" s="72" t="n"/>
      <c r="M2565" s="72" t="n"/>
      <c r="N2565" s="72" t="n"/>
      <c r="O2565" s="72" t="n"/>
      <c r="P2565" s="72" t="n"/>
      <c r="Q2565" s="72" t="n"/>
      <c r="R2565" s="72" t="n"/>
      <c r="S2565" s="72" t="n"/>
    </row>
    <row r="2566">
      <c r="B2566" s="72" t="n"/>
      <c r="C2566" s="72" t="n"/>
      <c r="D2566" s="72" t="n"/>
      <c r="E2566" s="72" t="n"/>
      <c r="F2566" s="72" t="n"/>
      <c r="G2566" s="72" t="n"/>
      <c r="H2566" s="72" t="n"/>
      <c r="I2566" s="72" t="n"/>
      <c r="J2566" s="72" t="n"/>
      <c r="K2566" s="72" t="n"/>
      <c r="L2566" s="72" t="n"/>
      <c r="M2566" s="72" t="n"/>
      <c r="N2566" s="72" t="n"/>
      <c r="O2566" s="72" t="n"/>
      <c r="P2566" s="72" t="n"/>
      <c r="Q2566" s="72" t="n"/>
      <c r="R2566" s="72" t="n"/>
      <c r="S2566" s="72" t="n"/>
    </row>
    <row r="2567">
      <c r="B2567" s="72" t="n"/>
      <c r="C2567" s="72" t="n"/>
      <c r="D2567" s="72" t="n"/>
      <c r="E2567" s="72" t="n"/>
      <c r="F2567" s="72" t="n"/>
      <c r="G2567" s="72" t="n"/>
      <c r="H2567" s="72" t="n"/>
      <c r="I2567" s="72" t="n"/>
      <c r="J2567" s="72" t="n"/>
      <c r="K2567" s="72" t="n"/>
      <c r="L2567" s="72" t="n"/>
      <c r="M2567" s="72" t="n"/>
      <c r="N2567" s="72" t="n"/>
      <c r="O2567" s="72" t="n"/>
      <c r="P2567" s="72" t="n"/>
      <c r="Q2567" s="72" t="n"/>
      <c r="R2567" s="72" t="n"/>
      <c r="S2567" s="72" t="n"/>
    </row>
    <row r="2568">
      <c r="B2568" s="72" t="n"/>
      <c r="C2568" s="72" t="n"/>
      <c r="D2568" s="72" t="n"/>
      <c r="E2568" s="72" t="n"/>
      <c r="F2568" s="72" t="n"/>
      <c r="G2568" s="72" t="n"/>
      <c r="H2568" s="72" t="n"/>
      <c r="I2568" s="72" t="n"/>
      <c r="J2568" s="72" t="n"/>
      <c r="K2568" s="72" t="n"/>
      <c r="L2568" s="72" t="n"/>
      <c r="M2568" s="72" t="n"/>
      <c r="N2568" s="72" t="n"/>
      <c r="O2568" s="72" t="n"/>
      <c r="P2568" s="72" t="n"/>
      <c r="Q2568" s="72" t="n"/>
      <c r="R2568" s="72" t="n"/>
      <c r="S2568" s="72" t="n"/>
    </row>
    <row r="2569">
      <c r="B2569" s="72" t="n"/>
      <c r="C2569" s="72" t="n"/>
      <c r="D2569" s="72" t="n"/>
      <c r="E2569" s="72" t="n"/>
      <c r="F2569" s="72" t="n"/>
      <c r="G2569" s="72" t="n"/>
      <c r="H2569" s="72" t="n"/>
      <c r="I2569" s="72" t="n"/>
      <c r="J2569" s="72" t="n"/>
      <c r="K2569" s="72" t="n"/>
      <c r="L2569" s="72" t="n"/>
      <c r="M2569" s="72" t="n"/>
      <c r="N2569" s="72" t="n"/>
      <c r="O2569" s="72" t="n"/>
      <c r="P2569" s="72" t="n"/>
      <c r="Q2569" s="72" t="n"/>
      <c r="R2569" s="72" t="n"/>
      <c r="S2569" s="72" t="n"/>
    </row>
    <row r="2570">
      <c r="B2570" s="72" t="n"/>
      <c r="C2570" s="72" t="n"/>
      <c r="D2570" s="72" t="n"/>
      <c r="E2570" s="72" t="n"/>
      <c r="F2570" s="72" t="n"/>
      <c r="G2570" s="72" t="n"/>
      <c r="H2570" s="72" t="n"/>
      <c r="I2570" s="72" t="n"/>
      <c r="J2570" s="72" t="n"/>
      <c r="K2570" s="72" t="n"/>
      <c r="L2570" s="72" t="n"/>
      <c r="M2570" s="72" t="n"/>
      <c r="N2570" s="72" t="n"/>
      <c r="O2570" s="72" t="n"/>
      <c r="P2570" s="72" t="n"/>
      <c r="Q2570" s="72" t="n"/>
      <c r="R2570" s="72" t="n"/>
      <c r="S2570" s="72" t="n"/>
    </row>
    <row r="2571">
      <c r="B2571" s="72" t="n"/>
      <c r="C2571" s="72" t="n"/>
      <c r="D2571" s="72" t="n"/>
      <c r="E2571" s="72" t="n"/>
      <c r="F2571" s="72" t="n"/>
      <c r="G2571" s="72" t="n"/>
      <c r="H2571" s="72" t="n"/>
      <c r="I2571" s="72" t="n"/>
      <c r="J2571" s="72" t="n"/>
      <c r="K2571" s="72" t="n"/>
      <c r="L2571" s="72" t="n"/>
      <c r="M2571" s="72" t="n"/>
      <c r="N2571" s="72" t="n"/>
      <c r="O2571" s="72" t="n"/>
      <c r="P2571" s="72" t="n"/>
      <c r="Q2571" s="72" t="n"/>
      <c r="R2571" s="72" t="n"/>
      <c r="S2571" s="72" t="n"/>
    </row>
    <row r="2572">
      <c r="B2572" s="72" t="n"/>
      <c r="C2572" s="72" t="n"/>
      <c r="D2572" s="72" t="n"/>
      <c r="E2572" s="72" t="n"/>
      <c r="F2572" s="72" t="n"/>
      <c r="G2572" s="72" t="n"/>
      <c r="H2572" s="72" t="n"/>
      <c r="I2572" s="72" t="n"/>
      <c r="J2572" s="72" t="n"/>
      <c r="K2572" s="72" t="n"/>
      <c r="L2572" s="72" t="n"/>
      <c r="M2572" s="72" t="n"/>
      <c r="N2572" s="72" t="n"/>
      <c r="O2572" s="72" t="n"/>
      <c r="P2572" s="72" t="n"/>
      <c r="Q2572" s="72" t="n"/>
      <c r="R2572" s="72" t="n"/>
      <c r="S2572" s="72" t="n"/>
    </row>
    <row r="2573">
      <c r="B2573" s="72" t="n"/>
      <c r="C2573" s="72" t="n"/>
      <c r="D2573" s="72" t="n"/>
      <c r="E2573" s="72" t="n"/>
      <c r="F2573" s="72" t="n"/>
      <c r="G2573" s="72" t="n"/>
      <c r="H2573" s="72" t="n"/>
      <c r="I2573" s="72" t="n"/>
      <c r="J2573" s="72" t="n"/>
      <c r="K2573" s="72" t="n"/>
      <c r="L2573" s="72" t="n"/>
      <c r="M2573" s="72" t="n"/>
      <c r="N2573" s="72" t="n"/>
      <c r="O2573" s="72" t="n"/>
      <c r="P2573" s="72" t="n"/>
      <c r="Q2573" s="72" t="n"/>
      <c r="R2573" s="72" t="n"/>
      <c r="S2573" s="72" t="n"/>
    </row>
    <row r="2574">
      <c r="B2574" s="72" t="n"/>
      <c r="C2574" s="72" t="n"/>
      <c r="D2574" s="72" t="n"/>
      <c r="E2574" s="72" t="n"/>
      <c r="F2574" s="72" t="n"/>
      <c r="G2574" s="72" t="n"/>
      <c r="H2574" s="72" t="n"/>
      <c r="I2574" s="72" t="n"/>
      <c r="J2574" s="72" t="n"/>
      <c r="K2574" s="72" t="n"/>
      <c r="L2574" s="72" t="n"/>
      <c r="M2574" s="72" t="n"/>
      <c r="N2574" s="72" t="n"/>
      <c r="O2574" s="72" t="n"/>
      <c r="P2574" s="72" t="n"/>
      <c r="Q2574" s="72" t="n"/>
      <c r="R2574" s="72" t="n"/>
      <c r="S2574" s="72" t="n"/>
    </row>
    <row r="2575">
      <c r="B2575" s="72" t="n"/>
      <c r="C2575" s="72" t="n"/>
      <c r="D2575" s="72" t="n"/>
      <c r="E2575" s="72" t="n"/>
      <c r="F2575" s="72" t="n"/>
      <c r="G2575" s="72" t="n"/>
      <c r="H2575" s="72" t="n"/>
      <c r="I2575" s="72" t="n"/>
      <c r="J2575" s="72" t="n"/>
      <c r="K2575" s="72" t="n"/>
      <c r="L2575" s="72" t="n"/>
      <c r="M2575" s="72" t="n"/>
      <c r="N2575" s="72" t="n"/>
      <c r="O2575" s="72" t="n"/>
      <c r="P2575" s="72" t="n"/>
      <c r="Q2575" s="72" t="n"/>
      <c r="R2575" s="72" t="n"/>
      <c r="S2575" s="72" t="n"/>
    </row>
    <row r="2576">
      <c r="B2576" s="72" t="n"/>
      <c r="C2576" s="72" t="n"/>
      <c r="D2576" s="72" t="n"/>
      <c r="E2576" s="72" t="n"/>
      <c r="F2576" s="72" t="n"/>
      <c r="G2576" s="72" t="n"/>
      <c r="H2576" s="72" t="n"/>
      <c r="I2576" s="72" t="n"/>
      <c r="J2576" s="72" t="n"/>
      <c r="K2576" s="72" t="n"/>
      <c r="L2576" s="72" t="n"/>
      <c r="M2576" s="72" t="n"/>
      <c r="N2576" s="72" t="n"/>
      <c r="O2576" s="72" t="n"/>
      <c r="P2576" s="72" t="n"/>
      <c r="Q2576" s="72" t="n"/>
      <c r="R2576" s="72" t="n"/>
      <c r="S2576" s="72" t="n"/>
    </row>
    <row r="2577">
      <c r="B2577" s="72" t="n"/>
      <c r="C2577" s="72" t="n"/>
      <c r="D2577" s="72" t="n"/>
      <c r="E2577" s="72" t="n"/>
      <c r="F2577" s="72" t="n"/>
      <c r="G2577" s="72" t="n"/>
      <c r="H2577" s="72" t="n"/>
      <c r="I2577" s="72" t="n"/>
      <c r="J2577" s="72" t="n"/>
      <c r="K2577" s="72" t="n"/>
      <c r="L2577" s="72" t="n"/>
      <c r="M2577" s="72" t="n"/>
      <c r="N2577" s="72" t="n"/>
      <c r="O2577" s="72" t="n"/>
      <c r="P2577" s="72" t="n"/>
      <c r="Q2577" s="72" t="n"/>
      <c r="R2577" s="72" t="n"/>
      <c r="S2577" s="72" t="n"/>
    </row>
    <row r="2578">
      <c r="B2578" s="72" t="n"/>
      <c r="C2578" s="72" t="n"/>
      <c r="D2578" s="72" t="n"/>
      <c r="E2578" s="72" t="n"/>
      <c r="F2578" s="72" t="n"/>
      <c r="G2578" s="72" t="n"/>
      <c r="H2578" s="72" t="n"/>
      <c r="I2578" s="72" t="n"/>
      <c r="J2578" s="72" t="n"/>
      <c r="K2578" s="72" t="n"/>
      <c r="L2578" s="72" t="n"/>
      <c r="M2578" s="72" t="n"/>
      <c r="N2578" s="72" t="n"/>
      <c r="O2578" s="72" t="n"/>
      <c r="P2578" s="72" t="n"/>
      <c r="Q2578" s="72" t="n"/>
      <c r="R2578" s="72" t="n"/>
      <c r="S2578" s="72" t="n"/>
    </row>
    <row r="2579">
      <c r="B2579" s="72" t="n"/>
      <c r="C2579" s="72" t="n"/>
      <c r="D2579" s="72" t="n"/>
      <c r="E2579" s="72" t="n"/>
      <c r="F2579" s="72" t="n"/>
      <c r="G2579" s="72" t="n"/>
      <c r="H2579" s="72" t="n"/>
      <c r="I2579" s="72" t="n"/>
      <c r="J2579" s="72" t="n"/>
      <c r="K2579" s="72" t="n"/>
      <c r="L2579" s="72" t="n"/>
      <c r="M2579" s="72" t="n"/>
      <c r="N2579" s="72" t="n"/>
      <c r="O2579" s="72" t="n"/>
      <c r="P2579" s="72" t="n"/>
      <c r="Q2579" s="72" t="n"/>
      <c r="R2579" s="72" t="n"/>
      <c r="S2579" s="72" t="n"/>
    </row>
    <row r="2580">
      <c r="B2580" s="72" t="n"/>
      <c r="C2580" s="72" t="n"/>
      <c r="D2580" s="72" t="n"/>
      <c r="E2580" s="72" t="n"/>
      <c r="F2580" s="72" t="n"/>
      <c r="G2580" s="72" t="n"/>
      <c r="H2580" s="72" t="n"/>
      <c r="I2580" s="72" t="n"/>
      <c r="J2580" s="72" t="n"/>
      <c r="K2580" s="72" t="n"/>
      <c r="L2580" s="72" t="n"/>
      <c r="M2580" s="72" t="n"/>
      <c r="N2580" s="72" t="n"/>
      <c r="O2580" s="72" t="n"/>
      <c r="P2580" s="72" t="n"/>
      <c r="Q2580" s="72" t="n"/>
      <c r="R2580" s="72" t="n"/>
      <c r="S2580" s="72" t="n"/>
    </row>
    <row r="2581">
      <c r="B2581" s="72" t="n"/>
      <c r="C2581" s="72" t="n"/>
      <c r="D2581" s="72" t="n"/>
      <c r="E2581" s="72" t="n"/>
      <c r="F2581" s="72" t="n"/>
      <c r="G2581" s="72" t="n"/>
      <c r="H2581" s="72" t="n"/>
      <c r="I2581" s="72" t="n"/>
      <c r="J2581" s="72" t="n"/>
      <c r="K2581" s="72" t="n"/>
      <c r="L2581" s="72" t="n"/>
      <c r="M2581" s="72" t="n"/>
      <c r="N2581" s="72" t="n"/>
      <c r="O2581" s="72" t="n"/>
      <c r="P2581" s="72" t="n"/>
      <c r="Q2581" s="72" t="n"/>
      <c r="R2581" s="72" t="n"/>
      <c r="S2581" s="72" t="n"/>
    </row>
    <row r="2582">
      <c r="B2582" s="72" t="n"/>
      <c r="C2582" s="72" t="n"/>
      <c r="D2582" s="72" t="n"/>
      <c r="E2582" s="72" t="n"/>
      <c r="F2582" s="72" t="n"/>
      <c r="G2582" s="72" t="n"/>
      <c r="H2582" s="72" t="n"/>
      <c r="I2582" s="72" t="n"/>
      <c r="J2582" s="72" t="n"/>
      <c r="K2582" s="72" t="n"/>
      <c r="L2582" s="72" t="n"/>
      <c r="M2582" s="72" t="n"/>
      <c r="N2582" s="72" t="n"/>
      <c r="O2582" s="72" t="n"/>
      <c r="P2582" s="72" t="n"/>
      <c r="Q2582" s="72" t="n"/>
      <c r="R2582" s="72" t="n"/>
      <c r="S2582" s="72" t="n"/>
    </row>
    <row r="2583">
      <c r="B2583" s="72" t="n"/>
      <c r="C2583" s="72" t="n"/>
      <c r="D2583" s="72" t="n"/>
      <c r="E2583" s="72" t="n"/>
      <c r="F2583" s="72" t="n"/>
      <c r="G2583" s="72" t="n"/>
      <c r="H2583" s="72" t="n"/>
      <c r="I2583" s="72" t="n"/>
      <c r="J2583" s="72" t="n"/>
      <c r="K2583" s="72" t="n"/>
      <c r="L2583" s="72" t="n"/>
      <c r="M2583" s="72" t="n"/>
      <c r="N2583" s="72" t="n"/>
      <c r="O2583" s="72" t="n"/>
      <c r="P2583" s="72" t="n"/>
      <c r="Q2583" s="72" t="n"/>
      <c r="R2583" s="72" t="n"/>
      <c r="S2583" s="72" t="n"/>
    </row>
    <row r="2584">
      <c r="B2584" s="72" t="n"/>
      <c r="C2584" s="72" t="n"/>
      <c r="D2584" s="72" t="n"/>
      <c r="E2584" s="72" t="n"/>
      <c r="F2584" s="72" t="n"/>
      <c r="G2584" s="72" t="n"/>
      <c r="H2584" s="72" t="n"/>
      <c r="I2584" s="72" t="n"/>
      <c r="J2584" s="72" t="n"/>
      <c r="K2584" s="72" t="n"/>
      <c r="L2584" s="72" t="n"/>
      <c r="M2584" s="72" t="n"/>
      <c r="N2584" s="72" t="n"/>
      <c r="O2584" s="72" t="n"/>
      <c r="P2584" s="72" t="n"/>
      <c r="Q2584" s="72" t="n"/>
      <c r="R2584" s="72" t="n"/>
      <c r="S2584" s="72" t="n"/>
    </row>
    <row r="2585">
      <c r="B2585" s="72" t="n"/>
      <c r="C2585" s="72" t="n"/>
      <c r="D2585" s="72" t="n"/>
      <c r="E2585" s="72" t="n"/>
      <c r="F2585" s="72" t="n"/>
      <c r="G2585" s="72" t="n"/>
      <c r="H2585" s="72" t="n"/>
      <c r="I2585" s="72" t="n"/>
      <c r="J2585" s="72" t="n"/>
      <c r="K2585" s="72" t="n"/>
      <c r="L2585" s="72" t="n"/>
      <c r="M2585" s="72" t="n"/>
      <c r="N2585" s="72" t="n"/>
      <c r="O2585" s="72" t="n"/>
      <c r="P2585" s="72" t="n"/>
      <c r="Q2585" s="72" t="n"/>
      <c r="R2585" s="72" t="n"/>
      <c r="S2585" s="72" t="n"/>
    </row>
    <row r="2586">
      <c r="B2586" s="72" t="n"/>
      <c r="C2586" s="72" t="n"/>
      <c r="D2586" s="72" t="n"/>
      <c r="E2586" s="72" t="n"/>
      <c r="F2586" s="72" t="n"/>
      <c r="G2586" s="72" t="n"/>
      <c r="H2586" s="72" t="n"/>
      <c r="I2586" s="72" t="n"/>
      <c r="J2586" s="72" t="n"/>
      <c r="K2586" s="72" t="n"/>
      <c r="L2586" s="72" t="n"/>
      <c r="M2586" s="72" t="n"/>
      <c r="N2586" s="72" t="n"/>
      <c r="O2586" s="72" t="n"/>
      <c r="P2586" s="72" t="n"/>
      <c r="Q2586" s="72" t="n"/>
      <c r="R2586" s="72" t="n"/>
      <c r="S2586" s="72" t="n"/>
    </row>
    <row r="2587">
      <c r="B2587" s="72" t="n"/>
      <c r="C2587" s="72" t="n"/>
      <c r="D2587" s="72" t="n"/>
      <c r="E2587" s="72" t="n"/>
      <c r="F2587" s="72" t="n"/>
      <c r="G2587" s="72" t="n"/>
      <c r="H2587" s="72" t="n"/>
      <c r="I2587" s="72" t="n"/>
      <c r="J2587" s="72" t="n"/>
      <c r="K2587" s="72" t="n"/>
      <c r="L2587" s="72" t="n"/>
      <c r="M2587" s="72" t="n"/>
      <c r="N2587" s="72" t="n"/>
      <c r="O2587" s="72" t="n"/>
      <c r="P2587" s="72" t="n"/>
      <c r="Q2587" s="72" t="n"/>
      <c r="R2587" s="72" t="n"/>
      <c r="S2587" s="72" t="n"/>
    </row>
    <row r="2588">
      <c r="B2588" s="72" t="n"/>
      <c r="C2588" s="72" t="n"/>
      <c r="D2588" s="72" t="n"/>
      <c r="E2588" s="72" t="n"/>
      <c r="F2588" s="72" t="n"/>
      <c r="G2588" s="72" t="n"/>
      <c r="H2588" s="72" t="n"/>
      <c r="I2588" s="72" t="n"/>
      <c r="J2588" s="72" t="n"/>
      <c r="K2588" s="72" t="n"/>
      <c r="L2588" s="72" t="n"/>
      <c r="M2588" s="72" t="n"/>
      <c r="N2588" s="72" t="n"/>
      <c r="O2588" s="72" t="n"/>
      <c r="P2588" s="72" t="n"/>
      <c r="Q2588" s="72" t="n"/>
      <c r="R2588" s="72" t="n"/>
      <c r="S2588" s="72" t="n"/>
    </row>
    <row r="2589">
      <c r="B2589" s="72" t="n"/>
      <c r="C2589" s="72" t="n"/>
      <c r="D2589" s="72" t="n"/>
      <c r="E2589" s="72" t="n"/>
      <c r="F2589" s="72" t="n"/>
      <c r="G2589" s="72" t="n"/>
      <c r="H2589" s="72" t="n"/>
      <c r="I2589" s="72" t="n"/>
      <c r="J2589" s="72" t="n"/>
      <c r="K2589" s="72" t="n"/>
      <c r="L2589" s="72" t="n"/>
      <c r="M2589" s="72" t="n"/>
      <c r="N2589" s="72" t="n"/>
      <c r="O2589" s="72" t="n"/>
      <c r="P2589" s="72" t="n"/>
      <c r="Q2589" s="72" t="n"/>
      <c r="R2589" s="72" t="n"/>
      <c r="S2589" s="72" t="n"/>
    </row>
    <row r="2590">
      <c r="B2590" s="72" t="n"/>
      <c r="C2590" s="72" t="n"/>
      <c r="D2590" s="72" t="n"/>
      <c r="E2590" s="72" t="n"/>
      <c r="F2590" s="72" t="n"/>
      <c r="G2590" s="72" t="n"/>
      <c r="H2590" s="72" t="n"/>
      <c r="I2590" s="72" t="n"/>
      <c r="J2590" s="72" t="n"/>
      <c r="K2590" s="72" t="n"/>
      <c r="L2590" s="72" t="n"/>
      <c r="M2590" s="72" t="n"/>
      <c r="N2590" s="72" t="n"/>
      <c r="O2590" s="72" t="n"/>
      <c r="P2590" s="72" t="n"/>
      <c r="Q2590" s="72" t="n"/>
      <c r="R2590" s="72" t="n"/>
      <c r="S2590" s="72" t="n"/>
    </row>
    <row r="2591">
      <c r="B2591" s="72" t="n"/>
      <c r="C2591" s="72" t="n"/>
      <c r="D2591" s="72" t="n"/>
      <c r="E2591" s="72" t="n"/>
      <c r="F2591" s="72" t="n"/>
      <c r="G2591" s="72" t="n"/>
      <c r="H2591" s="72" t="n"/>
      <c r="I2591" s="72" t="n"/>
      <c r="J2591" s="72" t="n"/>
      <c r="K2591" s="72" t="n"/>
      <c r="L2591" s="72" t="n"/>
      <c r="M2591" s="72" t="n"/>
      <c r="N2591" s="72" t="n"/>
      <c r="O2591" s="72" t="n"/>
      <c r="P2591" s="72" t="n"/>
      <c r="Q2591" s="72" t="n"/>
      <c r="R2591" s="72" t="n"/>
      <c r="S2591" s="72" t="n"/>
    </row>
    <row r="2592">
      <c r="B2592" s="72" t="n"/>
      <c r="C2592" s="72" t="n"/>
      <c r="D2592" s="72" t="n"/>
      <c r="E2592" s="72" t="n"/>
      <c r="F2592" s="72" t="n"/>
      <c r="G2592" s="72" t="n"/>
      <c r="H2592" s="72" t="n"/>
      <c r="I2592" s="72" t="n"/>
      <c r="J2592" s="72" t="n"/>
      <c r="K2592" s="72" t="n"/>
      <c r="L2592" s="72" t="n"/>
      <c r="M2592" s="72" t="n"/>
      <c r="N2592" s="72" t="n"/>
      <c r="O2592" s="72" t="n"/>
      <c r="P2592" s="72" t="n"/>
      <c r="Q2592" s="72" t="n"/>
      <c r="R2592" s="72" t="n"/>
      <c r="S2592" s="72" t="n"/>
    </row>
    <row r="2593">
      <c r="B2593" s="72" t="n"/>
      <c r="C2593" s="72" t="n"/>
      <c r="D2593" s="72" t="n"/>
      <c r="E2593" s="72" t="n"/>
      <c r="F2593" s="72" t="n"/>
      <c r="G2593" s="72" t="n"/>
      <c r="H2593" s="72" t="n"/>
      <c r="I2593" s="72" t="n"/>
      <c r="J2593" s="72" t="n"/>
      <c r="K2593" s="72" t="n"/>
      <c r="L2593" s="72" t="n"/>
      <c r="M2593" s="72" t="n"/>
      <c r="N2593" s="72" t="n"/>
      <c r="O2593" s="72" t="n"/>
      <c r="P2593" s="72" t="n"/>
      <c r="Q2593" s="72" t="n"/>
      <c r="R2593" s="72" t="n"/>
      <c r="S2593" s="72" t="n"/>
    </row>
    <row r="2594">
      <c r="B2594" s="72" t="n"/>
      <c r="C2594" s="72" t="n"/>
      <c r="D2594" s="72" t="n"/>
      <c r="E2594" s="72" t="n"/>
      <c r="F2594" s="72" t="n"/>
      <c r="G2594" s="72" t="n"/>
      <c r="H2594" s="72" t="n"/>
      <c r="I2594" s="72" t="n"/>
      <c r="J2594" s="72" t="n"/>
      <c r="K2594" s="72" t="n"/>
      <c r="L2594" s="72" t="n"/>
      <c r="M2594" s="72" t="n"/>
      <c r="N2594" s="72" t="n"/>
      <c r="O2594" s="72" t="n"/>
      <c r="P2594" s="72" t="n"/>
      <c r="Q2594" s="72" t="n"/>
      <c r="R2594" s="72" t="n"/>
      <c r="S2594" s="72" t="n"/>
    </row>
    <row r="2595">
      <c r="B2595" s="72" t="n"/>
      <c r="C2595" s="72" t="n"/>
      <c r="D2595" s="72" t="n"/>
      <c r="E2595" s="72" t="n"/>
      <c r="F2595" s="72" t="n"/>
      <c r="G2595" s="72" t="n"/>
      <c r="H2595" s="72" t="n"/>
      <c r="I2595" s="72" t="n"/>
      <c r="J2595" s="72" t="n"/>
      <c r="K2595" s="72" t="n"/>
      <c r="L2595" s="72" t="n"/>
      <c r="M2595" s="72" t="n"/>
      <c r="N2595" s="72" t="n"/>
      <c r="O2595" s="72" t="n"/>
      <c r="P2595" s="72" t="n"/>
      <c r="Q2595" s="72" t="n"/>
      <c r="R2595" s="72" t="n"/>
      <c r="S2595" s="72" t="n"/>
    </row>
    <row r="2596">
      <c r="B2596" s="72" t="n"/>
      <c r="C2596" s="72" t="n"/>
      <c r="D2596" s="72" t="n"/>
      <c r="E2596" s="72" t="n"/>
      <c r="F2596" s="72" t="n"/>
      <c r="G2596" s="72" t="n"/>
      <c r="H2596" s="72" t="n"/>
      <c r="I2596" s="72" t="n"/>
      <c r="J2596" s="72" t="n"/>
      <c r="K2596" s="72" t="n"/>
      <c r="L2596" s="72" t="n"/>
      <c r="M2596" s="72" t="n"/>
      <c r="N2596" s="72" t="n"/>
      <c r="O2596" s="72" t="n"/>
      <c r="P2596" s="72" t="n"/>
      <c r="Q2596" s="72" t="n"/>
      <c r="R2596" s="72" t="n"/>
      <c r="S2596" s="72" t="n"/>
    </row>
    <row r="2597">
      <c r="B2597" s="72" t="n"/>
      <c r="C2597" s="72" t="n"/>
      <c r="D2597" s="72" t="n"/>
      <c r="E2597" s="72" t="n"/>
      <c r="F2597" s="72" t="n"/>
      <c r="G2597" s="72" t="n"/>
      <c r="H2597" s="72" t="n"/>
      <c r="I2597" s="72" t="n"/>
      <c r="J2597" s="72" t="n"/>
      <c r="K2597" s="72" t="n"/>
      <c r="L2597" s="72" t="n"/>
      <c r="M2597" s="72" t="n"/>
      <c r="N2597" s="72" t="n"/>
      <c r="O2597" s="72" t="n"/>
      <c r="P2597" s="72" t="n"/>
      <c r="Q2597" s="72" t="n"/>
      <c r="R2597" s="72" t="n"/>
      <c r="S2597" s="72" t="n"/>
    </row>
    <row r="2598">
      <c r="B2598" s="72" t="n"/>
      <c r="C2598" s="72" t="n"/>
      <c r="D2598" s="72" t="n"/>
      <c r="E2598" s="72" t="n"/>
      <c r="F2598" s="72" t="n"/>
      <c r="G2598" s="72" t="n"/>
      <c r="H2598" s="72" t="n"/>
      <c r="I2598" s="72" t="n"/>
      <c r="J2598" s="72" t="n"/>
      <c r="K2598" s="72" t="n"/>
      <c r="L2598" s="72" t="n"/>
      <c r="M2598" s="72" t="n"/>
      <c r="N2598" s="72" t="n"/>
      <c r="O2598" s="72" t="n"/>
      <c r="P2598" s="72" t="n"/>
      <c r="Q2598" s="72" t="n"/>
      <c r="R2598" s="72" t="n"/>
      <c r="S2598" s="72" t="n"/>
    </row>
    <row r="2599">
      <c r="B2599" s="72" t="n"/>
      <c r="C2599" s="72" t="n"/>
      <c r="D2599" s="72" t="n"/>
      <c r="E2599" s="72" t="n"/>
      <c r="F2599" s="72" t="n"/>
      <c r="G2599" s="72" t="n"/>
      <c r="H2599" s="72" t="n"/>
      <c r="I2599" s="72" t="n"/>
      <c r="J2599" s="72" t="n"/>
      <c r="K2599" s="72" t="n"/>
      <c r="L2599" s="72" t="n"/>
      <c r="M2599" s="72" t="n"/>
      <c r="N2599" s="72" t="n"/>
      <c r="O2599" s="72" t="n"/>
      <c r="P2599" s="72" t="n"/>
      <c r="Q2599" s="72" t="n"/>
      <c r="R2599" s="72" t="n"/>
      <c r="S2599" s="72" t="n"/>
    </row>
    <row r="2600">
      <c r="B2600" s="72" t="n"/>
      <c r="C2600" s="72" t="n"/>
      <c r="D2600" s="72" t="n"/>
      <c r="E2600" s="72" t="n"/>
      <c r="F2600" s="72" t="n"/>
      <c r="G2600" s="72" t="n"/>
      <c r="H2600" s="72" t="n"/>
      <c r="I2600" s="72" t="n"/>
      <c r="J2600" s="72" t="n"/>
      <c r="K2600" s="72" t="n"/>
      <c r="L2600" s="72" t="n"/>
      <c r="M2600" s="72" t="n"/>
      <c r="N2600" s="72" t="n"/>
      <c r="O2600" s="72" t="n"/>
      <c r="P2600" s="72" t="n"/>
      <c r="Q2600" s="72" t="n"/>
      <c r="R2600" s="72" t="n"/>
      <c r="S2600" s="72" t="n"/>
    </row>
    <row r="2601">
      <c r="B2601" s="72" t="n"/>
      <c r="C2601" s="72" t="n"/>
      <c r="D2601" s="72" t="n"/>
      <c r="E2601" s="72" t="n"/>
      <c r="F2601" s="72" t="n"/>
      <c r="G2601" s="72" t="n"/>
      <c r="H2601" s="72" t="n"/>
      <c r="I2601" s="72" t="n"/>
      <c r="J2601" s="72" t="n"/>
      <c r="K2601" s="72" t="n"/>
      <c r="L2601" s="72" t="n"/>
      <c r="M2601" s="72" t="n"/>
      <c r="N2601" s="72" t="n"/>
      <c r="O2601" s="72" t="n"/>
      <c r="P2601" s="72" t="n"/>
      <c r="Q2601" s="72" t="n"/>
      <c r="R2601" s="72" t="n"/>
      <c r="S2601" s="72" t="n"/>
    </row>
    <row r="2602">
      <c r="B2602" s="72" t="n"/>
      <c r="C2602" s="72" t="n"/>
      <c r="D2602" s="72" t="n"/>
      <c r="E2602" s="72" t="n"/>
      <c r="F2602" s="72" t="n"/>
      <c r="G2602" s="72" t="n"/>
      <c r="H2602" s="72" t="n"/>
      <c r="I2602" s="72" t="n"/>
      <c r="J2602" s="72" t="n"/>
      <c r="K2602" s="72" t="n"/>
      <c r="L2602" s="72" t="n"/>
      <c r="M2602" s="72" t="n"/>
      <c r="N2602" s="72" t="n"/>
      <c r="O2602" s="72" t="n"/>
      <c r="P2602" s="72" t="n"/>
      <c r="Q2602" s="72" t="n"/>
      <c r="R2602" s="72" t="n"/>
      <c r="S2602" s="72" t="n"/>
    </row>
    <row r="2603">
      <c r="B2603" s="72" t="n"/>
      <c r="C2603" s="72" t="n"/>
      <c r="D2603" s="72" t="n"/>
      <c r="E2603" s="72" t="n"/>
      <c r="F2603" s="72" t="n"/>
      <c r="G2603" s="72" t="n"/>
      <c r="H2603" s="72" t="n"/>
      <c r="I2603" s="72" t="n"/>
      <c r="J2603" s="72" t="n"/>
      <c r="K2603" s="72" t="n"/>
      <c r="L2603" s="72" t="n"/>
      <c r="M2603" s="72" t="n"/>
      <c r="N2603" s="72" t="n"/>
      <c r="O2603" s="72" t="n"/>
      <c r="P2603" s="72" t="n"/>
      <c r="Q2603" s="72" t="n"/>
      <c r="R2603" s="72" t="n"/>
      <c r="S2603" s="72" t="n"/>
    </row>
    <row r="2604">
      <c r="B2604" s="72" t="n"/>
      <c r="C2604" s="72" t="n"/>
      <c r="D2604" s="72" t="n"/>
      <c r="E2604" s="72" t="n"/>
      <c r="F2604" s="72" t="n"/>
      <c r="G2604" s="72" t="n"/>
      <c r="H2604" s="72" t="n"/>
      <c r="I2604" s="72" t="n"/>
      <c r="J2604" s="72" t="n"/>
      <c r="K2604" s="72" t="n"/>
      <c r="L2604" s="72" t="n"/>
      <c r="M2604" s="72" t="n"/>
      <c r="N2604" s="72" t="n"/>
      <c r="O2604" s="72" t="n"/>
      <c r="P2604" s="72" t="n"/>
      <c r="Q2604" s="72" t="n"/>
      <c r="R2604" s="72" t="n"/>
      <c r="S2604" s="72" t="n"/>
    </row>
    <row r="2605">
      <c r="B2605" s="72" t="n"/>
      <c r="C2605" s="72" t="n"/>
      <c r="D2605" s="72" t="n"/>
      <c r="E2605" s="72" t="n"/>
      <c r="F2605" s="72" t="n"/>
      <c r="G2605" s="72" t="n"/>
      <c r="H2605" s="72" t="n"/>
      <c r="I2605" s="72" t="n"/>
      <c r="J2605" s="72" t="n"/>
      <c r="K2605" s="72" t="n"/>
      <c r="L2605" s="72" t="n"/>
      <c r="M2605" s="72" t="n"/>
      <c r="N2605" s="72" t="n"/>
      <c r="O2605" s="72" t="n"/>
      <c r="P2605" s="72" t="n"/>
      <c r="Q2605" s="72" t="n"/>
      <c r="R2605" s="72" t="n"/>
      <c r="S2605" s="72" t="n"/>
    </row>
    <row r="2606">
      <c r="B2606" s="72" t="n"/>
      <c r="C2606" s="72" t="n"/>
      <c r="D2606" s="72" t="n"/>
      <c r="E2606" s="72" t="n"/>
      <c r="F2606" s="72" t="n"/>
      <c r="G2606" s="72" t="n"/>
      <c r="H2606" s="72" t="n"/>
      <c r="I2606" s="72" t="n"/>
      <c r="J2606" s="72" t="n"/>
      <c r="K2606" s="72" t="n"/>
      <c r="L2606" s="72" t="n"/>
      <c r="M2606" s="72" t="n"/>
      <c r="N2606" s="72" t="n"/>
      <c r="O2606" s="72" t="n"/>
      <c r="P2606" s="72" t="n"/>
      <c r="Q2606" s="72" t="n"/>
      <c r="R2606" s="72" t="n"/>
      <c r="S2606" s="72" t="n"/>
    </row>
    <row r="2607">
      <c r="B2607" s="72" t="n"/>
      <c r="C2607" s="72" t="n"/>
      <c r="D2607" s="72" t="n"/>
      <c r="E2607" s="72" t="n"/>
      <c r="F2607" s="72" t="n"/>
      <c r="G2607" s="72" t="n"/>
      <c r="H2607" s="72" t="n"/>
      <c r="I2607" s="72" t="n"/>
      <c r="J2607" s="72" t="n"/>
      <c r="K2607" s="72" t="n"/>
      <c r="L2607" s="72" t="n"/>
      <c r="M2607" s="72" t="n"/>
      <c r="N2607" s="72" t="n"/>
      <c r="O2607" s="72" t="n"/>
      <c r="P2607" s="72" t="n"/>
      <c r="Q2607" s="72" t="n"/>
      <c r="R2607" s="72" t="n"/>
      <c r="S2607" s="72" t="n"/>
    </row>
    <row r="2608">
      <c r="B2608" s="72" t="n"/>
      <c r="C2608" s="72" t="n"/>
      <c r="D2608" s="72" t="n"/>
      <c r="E2608" s="72" t="n"/>
      <c r="F2608" s="72" t="n"/>
      <c r="G2608" s="72" t="n"/>
      <c r="H2608" s="72" t="n"/>
      <c r="I2608" s="72" t="n"/>
      <c r="J2608" s="72" t="n"/>
      <c r="K2608" s="72" t="n"/>
      <c r="L2608" s="72" t="n"/>
      <c r="M2608" s="72" t="n"/>
      <c r="N2608" s="72" t="n"/>
      <c r="O2608" s="72" t="n"/>
      <c r="P2608" s="72" t="n"/>
      <c r="Q2608" s="72" t="n"/>
      <c r="R2608" s="72" t="n"/>
      <c r="S2608" s="72" t="n"/>
    </row>
    <row r="2609">
      <c r="B2609" s="72" t="n"/>
      <c r="C2609" s="72" t="n"/>
      <c r="D2609" s="72" t="n"/>
      <c r="E2609" s="72" t="n"/>
      <c r="F2609" s="72" t="n"/>
      <c r="G2609" s="72" t="n"/>
      <c r="H2609" s="72" t="n"/>
      <c r="I2609" s="72" t="n"/>
      <c r="J2609" s="72" t="n"/>
      <c r="K2609" s="72" t="n"/>
      <c r="L2609" s="72" t="n"/>
      <c r="M2609" s="72" t="n"/>
      <c r="N2609" s="72" t="n"/>
      <c r="O2609" s="72" t="n"/>
      <c r="P2609" s="72" t="n"/>
      <c r="Q2609" s="72" t="n"/>
      <c r="R2609" s="72" t="n"/>
      <c r="S2609" s="72" t="n"/>
    </row>
    <row r="2610">
      <c r="B2610" s="72" t="n"/>
      <c r="C2610" s="72" t="n"/>
      <c r="D2610" s="72" t="n"/>
      <c r="E2610" s="72" t="n"/>
      <c r="F2610" s="72" t="n"/>
      <c r="G2610" s="72" t="n"/>
      <c r="H2610" s="72" t="n"/>
      <c r="I2610" s="72" t="n"/>
      <c r="J2610" s="72" t="n"/>
      <c r="K2610" s="72" t="n"/>
      <c r="L2610" s="72" t="n"/>
      <c r="M2610" s="72" t="n"/>
      <c r="N2610" s="72" t="n"/>
      <c r="O2610" s="72" t="n"/>
      <c r="P2610" s="72" t="n"/>
      <c r="Q2610" s="72" t="n"/>
      <c r="R2610" s="72" t="n"/>
      <c r="S2610" s="72" t="n"/>
    </row>
    <row r="2611">
      <c r="B2611" s="72" t="n"/>
      <c r="C2611" s="72" t="n"/>
      <c r="D2611" s="72" t="n"/>
      <c r="E2611" s="72" t="n"/>
      <c r="F2611" s="72" t="n"/>
      <c r="G2611" s="72" t="n"/>
      <c r="H2611" s="72" t="n"/>
      <c r="I2611" s="72" t="n"/>
      <c r="J2611" s="72" t="n"/>
      <c r="K2611" s="72" t="n"/>
      <c r="L2611" s="72" t="n"/>
      <c r="M2611" s="72" t="n"/>
      <c r="N2611" s="72" t="n"/>
      <c r="O2611" s="72" t="n"/>
      <c r="P2611" s="72" t="n"/>
      <c r="Q2611" s="72" t="n"/>
      <c r="R2611" s="72" t="n"/>
      <c r="S2611" s="72" t="n"/>
    </row>
    <row r="2612">
      <c r="B2612" s="72" t="n"/>
      <c r="C2612" s="72" t="n"/>
      <c r="D2612" s="72" t="n"/>
      <c r="E2612" s="72" t="n"/>
      <c r="F2612" s="72" t="n"/>
      <c r="G2612" s="72" t="n"/>
      <c r="H2612" s="72" t="n"/>
      <c r="I2612" s="72" t="n"/>
      <c r="J2612" s="72" t="n"/>
      <c r="K2612" s="72" t="n"/>
      <c r="L2612" s="72" t="n"/>
      <c r="M2612" s="72" t="n"/>
      <c r="N2612" s="72" t="n"/>
      <c r="O2612" s="72" t="n"/>
      <c r="P2612" s="72" t="n"/>
      <c r="Q2612" s="72" t="n"/>
      <c r="R2612" s="72" t="n"/>
      <c r="S2612" s="72" t="n"/>
    </row>
    <row r="2613">
      <c r="B2613" s="72" t="n"/>
      <c r="C2613" s="72" t="n"/>
      <c r="D2613" s="72" t="n"/>
      <c r="E2613" s="72" t="n"/>
      <c r="F2613" s="72" t="n"/>
      <c r="G2613" s="72" t="n"/>
      <c r="H2613" s="72" t="n"/>
      <c r="I2613" s="72" t="n"/>
      <c r="J2613" s="72" t="n"/>
      <c r="K2613" s="72" t="n"/>
      <c r="L2613" s="72" t="n"/>
      <c r="M2613" s="72" t="n"/>
      <c r="N2613" s="72" t="n"/>
      <c r="O2613" s="72" t="n"/>
      <c r="P2613" s="72" t="n"/>
      <c r="Q2613" s="72" t="n"/>
      <c r="R2613" s="72" t="n"/>
      <c r="S2613" s="72" t="n"/>
    </row>
    <row r="2614">
      <c r="B2614" s="72" t="n"/>
      <c r="C2614" s="72" t="n"/>
      <c r="D2614" s="72" t="n"/>
      <c r="E2614" s="72" t="n"/>
      <c r="F2614" s="72" t="n"/>
      <c r="G2614" s="72" t="n"/>
      <c r="H2614" s="72" t="n"/>
      <c r="I2614" s="72" t="n"/>
      <c r="J2614" s="72" t="n"/>
      <c r="K2614" s="72" t="n"/>
      <c r="L2614" s="72" t="n"/>
      <c r="M2614" s="72" t="n"/>
      <c r="N2614" s="72" t="n"/>
      <c r="O2614" s="72" t="n"/>
      <c r="P2614" s="72" t="n"/>
      <c r="Q2614" s="72" t="n"/>
      <c r="R2614" s="72" t="n"/>
      <c r="S2614" s="72" t="n"/>
    </row>
    <row r="2615">
      <c r="B2615" s="72" t="n"/>
      <c r="C2615" s="72" t="n"/>
      <c r="D2615" s="72" t="n"/>
      <c r="E2615" s="72" t="n"/>
      <c r="F2615" s="72" t="n"/>
      <c r="G2615" s="72" t="n"/>
      <c r="H2615" s="72" t="n"/>
      <c r="I2615" s="72" t="n"/>
      <c r="J2615" s="72" t="n"/>
      <c r="K2615" s="72" t="n"/>
      <c r="L2615" s="72" t="n"/>
      <c r="M2615" s="72" t="n"/>
      <c r="N2615" s="72" t="n"/>
      <c r="O2615" s="72" t="n"/>
      <c r="P2615" s="72" t="n"/>
      <c r="Q2615" s="72" t="n"/>
      <c r="R2615" s="72" t="n"/>
      <c r="S2615" s="72" t="n"/>
    </row>
    <row r="2616">
      <c r="B2616" s="72" t="n"/>
      <c r="C2616" s="72" t="n"/>
      <c r="D2616" s="72" t="n"/>
      <c r="E2616" s="72" t="n"/>
      <c r="F2616" s="72" t="n"/>
      <c r="G2616" s="72" t="n"/>
      <c r="H2616" s="72" t="n"/>
      <c r="I2616" s="72" t="n"/>
      <c r="J2616" s="72" t="n"/>
      <c r="K2616" s="72" t="n"/>
      <c r="L2616" s="72" t="n"/>
      <c r="M2616" s="72" t="n"/>
      <c r="N2616" s="72" t="n"/>
      <c r="O2616" s="72" t="n"/>
      <c r="P2616" s="72" t="n"/>
      <c r="Q2616" s="72" t="n"/>
      <c r="R2616" s="72" t="n"/>
      <c r="S2616" s="72" t="n"/>
    </row>
    <row r="2617">
      <c r="B2617" s="72" t="n"/>
      <c r="C2617" s="72" t="n"/>
      <c r="D2617" s="72" t="n"/>
      <c r="E2617" s="72" t="n"/>
      <c r="F2617" s="72" t="n"/>
      <c r="G2617" s="72" t="n"/>
      <c r="H2617" s="72" t="n"/>
      <c r="I2617" s="72" t="n"/>
      <c r="J2617" s="72" t="n"/>
      <c r="K2617" s="72" t="n"/>
      <c r="L2617" s="72" t="n"/>
      <c r="M2617" s="72" t="n"/>
      <c r="N2617" s="72" t="n"/>
      <c r="O2617" s="72" t="n"/>
      <c r="P2617" s="72" t="n"/>
      <c r="Q2617" s="72" t="n"/>
      <c r="R2617" s="72" t="n"/>
      <c r="S2617" s="72" t="n"/>
    </row>
    <row r="2618">
      <c r="B2618" s="72" t="n"/>
      <c r="C2618" s="72" t="n"/>
      <c r="D2618" s="72" t="n"/>
      <c r="E2618" s="72" t="n"/>
      <c r="F2618" s="72" t="n"/>
      <c r="G2618" s="72" t="n"/>
      <c r="H2618" s="72" t="n"/>
      <c r="I2618" s="72" t="n"/>
      <c r="J2618" s="72" t="n"/>
      <c r="K2618" s="72" t="n"/>
      <c r="L2618" s="72" t="n"/>
      <c r="M2618" s="72" t="n"/>
      <c r="N2618" s="72" t="n"/>
      <c r="O2618" s="72" t="n"/>
      <c r="P2618" s="72" t="n"/>
      <c r="Q2618" s="72" t="n"/>
      <c r="R2618" s="72" t="n"/>
      <c r="S2618" s="72" t="n"/>
    </row>
    <row r="2619">
      <c r="B2619" s="72" t="n"/>
      <c r="C2619" s="72" t="n"/>
      <c r="D2619" s="72" t="n"/>
      <c r="E2619" s="72" t="n"/>
      <c r="F2619" s="72" t="n"/>
      <c r="G2619" s="72" t="n"/>
      <c r="H2619" s="72" t="n"/>
      <c r="I2619" s="72" t="n"/>
      <c r="J2619" s="72" t="n"/>
      <c r="K2619" s="72" t="n"/>
      <c r="L2619" s="72" t="n"/>
      <c r="M2619" s="72" t="n"/>
      <c r="N2619" s="72" t="n"/>
      <c r="O2619" s="72" t="n"/>
      <c r="P2619" s="72" t="n"/>
      <c r="Q2619" s="72" t="n"/>
      <c r="R2619" s="72" t="n"/>
      <c r="S2619" s="72" t="n"/>
    </row>
    <row r="2620">
      <c r="B2620" s="72" t="n"/>
      <c r="C2620" s="72" t="n"/>
      <c r="D2620" s="72" t="n"/>
      <c r="E2620" s="72" t="n"/>
      <c r="F2620" s="72" t="n"/>
      <c r="G2620" s="72" t="n"/>
      <c r="H2620" s="72" t="n"/>
      <c r="I2620" s="72" t="n"/>
      <c r="J2620" s="72" t="n"/>
      <c r="K2620" s="72" t="n"/>
      <c r="L2620" s="72" t="n"/>
      <c r="M2620" s="72" t="n"/>
      <c r="N2620" s="72" t="n"/>
      <c r="O2620" s="72" t="n"/>
      <c r="P2620" s="72" t="n"/>
      <c r="Q2620" s="72" t="n"/>
      <c r="R2620" s="72" t="n"/>
      <c r="S2620" s="72" t="n"/>
    </row>
    <row r="2621">
      <c r="B2621" s="72" t="n"/>
      <c r="C2621" s="72" t="n"/>
      <c r="D2621" s="72" t="n"/>
      <c r="E2621" s="72" t="n"/>
      <c r="F2621" s="72" t="n"/>
      <c r="G2621" s="72" t="n"/>
      <c r="H2621" s="72" t="n"/>
      <c r="I2621" s="72" t="n"/>
      <c r="J2621" s="72" t="n"/>
      <c r="K2621" s="72" t="n"/>
      <c r="L2621" s="72" t="n"/>
      <c r="M2621" s="72" t="n"/>
      <c r="N2621" s="72" t="n"/>
      <c r="O2621" s="72" t="n"/>
      <c r="P2621" s="72" t="n"/>
      <c r="Q2621" s="72" t="n"/>
      <c r="R2621" s="72" t="n"/>
      <c r="S2621" s="72" t="n"/>
    </row>
    <row r="2622">
      <c r="B2622" s="72" t="n"/>
      <c r="C2622" s="72" t="n"/>
      <c r="D2622" s="72" t="n"/>
      <c r="E2622" s="72" t="n"/>
      <c r="F2622" s="72" t="n"/>
      <c r="G2622" s="72" t="n"/>
      <c r="H2622" s="72" t="n"/>
      <c r="I2622" s="72" t="n"/>
      <c r="J2622" s="72" t="n"/>
      <c r="K2622" s="72" t="n"/>
      <c r="L2622" s="72" t="n"/>
      <c r="M2622" s="72" t="n"/>
      <c r="N2622" s="72" t="n"/>
      <c r="O2622" s="72" t="n"/>
      <c r="P2622" s="72" t="n"/>
      <c r="Q2622" s="72" t="n"/>
      <c r="R2622" s="72" t="n"/>
      <c r="S2622" s="72" t="n"/>
    </row>
    <row r="2623">
      <c r="B2623" s="72" t="n"/>
      <c r="C2623" s="72" t="n"/>
      <c r="D2623" s="72" t="n"/>
      <c r="E2623" s="72" t="n"/>
      <c r="F2623" s="72" t="n"/>
      <c r="G2623" s="72" t="n"/>
      <c r="H2623" s="72" t="n"/>
      <c r="I2623" s="72" t="n"/>
      <c r="J2623" s="72" t="n"/>
      <c r="K2623" s="72" t="n"/>
      <c r="L2623" s="72" t="n"/>
      <c r="M2623" s="72" t="n"/>
      <c r="N2623" s="72" t="n"/>
      <c r="O2623" s="72" t="n"/>
      <c r="P2623" s="72" t="n"/>
      <c r="Q2623" s="72" t="n"/>
      <c r="R2623" s="72" t="n"/>
      <c r="S2623" s="72" t="n"/>
    </row>
    <row r="2624">
      <c r="B2624" s="72" t="n"/>
      <c r="C2624" s="72" t="n"/>
      <c r="D2624" s="72" t="n"/>
      <c r="E2624" s="72" t="n"/>
      <c r="F2624" s="72" t="n"/>
      <c r="G2624" s="72" t="n"/>
      <c r="H2624" s="72" t="n"/>
      <c r="I2624" s="72" t="n"/>
      <c r="J2624" s="72" t="n"/>
      <c r="K2624" s="72" t="n"/>
      <c r="L2624" s="72" t="n"/>
      <c r="M2624" s="72" t="n"/>
      <c r="N2624" s="72" t="n"/>
      <c r="O2624" s="72" t="n"/>
      <c r="P2624" s="72" t="n"/>
      <c r="Q2624" s="72" t="n"/>
      <c r="R2624" s="72" t="n"/>
      <c r="S2624" s="72" t="n"/>
    </row>
    <row r="2625">
      <c r="B2625" s="72" t="n"/>
      <c r="C2625" s="72" t="n"/>
      <c r="D2625" s="72" t="n"/>
      <c r="E2625" s="72" t="n"/>
      <c r="F2625" s="72" t="n"/>
      <c r="G2625" s="72" t="n"/>
      <c r="H2625" s="72" t="n"/>
      <c r="I2625" s="72" t="n"/>
      <c r="J2625" s="72" t="n"/>
      <c r="K2625" s="72" t="n"/>
      <c r="L2625" s="72" t="n"/>
      <c r="M2625" s="72" t="n"/>
      <c r="N2625" s="72" t="n"/>
      <c r="O2625" s="72" t="n"/>
      <c r="P2625" s="72" t="n"/>
      <c r="Q2625" s="72" t="n"/>
      <c r="R2625" s="72" t="n"/>
      <c r="S2625" s="72" t="n"/>
    </row>
    <row r="2626">
      <c r="B2626" s="72" t="n"/>
      <c r="C2626" s="72" t="n"/>
      <c r="D2626" s="72" t="n"/>
      <c r="E2626" s="72" t="n"/>
      <c r="F2626" s="72" t="n"/>
      <c r="G2626" s="72" t="n"/>
      <c r="H2626" s="72" t="n"/>
      <c r="I2626" s="72" t="n"/>
      <c r="J2626" s="72" t="n"/>
      <c r="K2626" s="72" t="n"/>
      <c r="L2626" s="72" t="n"/>
      <c r="M2626" s="72" t="n"/>
      <c r="N2626" s="72" t="n"/>
      <c r="O2626" s="72" t="n"/>
      <c r="P2626" s="72" t="n"/>
      <c r="Q2626" s="72" t="n"/>
      <c r="R2626" s="72" t="n"/>
      <c r="S2626" s="72" t="n"/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F9" sqref="F9"/>
    </sheetView>
  </sheetViews>
  <sheetFormatPr baseColWidth="10" defaultColWidth="8.83203125" defaultRowHeight="15"/>
  <sheetData>
    <row r="1"/>
    <row r="2">
      <c r="A2" t="inlineStr">
        <is>
          <t>Counts</t>
        </is>
      </c>
    </row>
    <row r="3">
      <c r="A3" s="3" t="inlineStr">
        <is>
          <t>Count of All Accounts</t>
        </is>
      </c>
      <c r="D3" t="n">
        <v>4068</v>
      </c>
    </row>
    <row r="4">
      <c r="A4" t="inlineStr">
        <is>
          <t>Count Of All Invoices</t>
        </is>
      </c>
      <c r="D4" t="n">
        <v>2503</v>
      </c>
    </row>
    <row r="5">
      <c r="A5" t="inlineStr">
        <is>
          <t>Count Of All Credit Memos</t>
        </is>
      </c>
      <c r="D5" t="n">
        <v>24</v>
      </c>
    </row>
    <row r="14" ht="16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 Jackson</dc:creator>
  <dcterms:created xmlns:dcterms="http://purl.org/dc/terms/" xmlns:xsi="http://www.w3.org/2001/XMLSchema-instance" xsi:type="dcterms:W3CDTF">2017-05-04T15:47:11Z</dcterms:created>
  <dcterms:modified xmlns:dcterms="http://purl.org/dc/terms/" xmlns:xsi="http://www.w3.org/2001/XMLSchema-instance" xsi:type="dcterms:W3CDTF">2026-06-01T13:58:04Z</dcterms:modified>
  <cp:lastModifiedBy>Paul Jackson</cp:lastModifiedBy>
</cp:coreProperties>
</file>