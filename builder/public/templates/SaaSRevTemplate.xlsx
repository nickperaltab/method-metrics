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pauljackson/Downloads/"/>
    </mc:Choice>
  </mc:AlternateContent>
  <xr:revisionPtr revIDLastSave="0" documentId="13_ncr:1_{7CB749AE-05DC-F144-8027-D6278DADBD56}" xr6:coauthVersionLast="47" xr6:coauthVersionMax="47" xr10:uidLastSave="{00000000-0000-0000-0000-000000000000}"/>
  <bookViews>
    <workbookView xWindow="460" yWindow="2300" windowWidth="28800" windowHeight="16080" activeTab="1" xr2:uid="{00000000-000D-0000-FFFF-FFFF00000000}"/>
  </bookViews>
  <sheets>
    <sheet name="AccountSummary (New)" sheetId="9" r:id="rId1"/>
    <sheet name="AccountSummary" sheetId="1" r:id="rId2"/>
    <sheet name="CurrentSaaS" sheetId="13" r:id="rId3"/>
    <sheet name="PrepaySummary" sheetId="5" r:id="rId4"/>
    <sheet name="Invoices" sheetId="3" r:id="rId5"/>
    <sheet name="Accounts" sheetId="2" r:id="rId6"/>
    <sheet name="InvoiceLines" sheetId="4" r:id="rId7"/>
    <sheet name="CreditMemos" sheetId="10" r:id="rId8"/>
    <sheet name="CreditMemoLines" sheetId="11" r:id="rId9"/>
    <sheet name="Marketing Metrics" sheetId="12" r:id="rId10"/>
    <sheet name="CountsForFormulas" sheetId="6" r:id="rId11"/>
  </sheets>
  <definedNames>
    <definedName name="_xlnm._FilterDatabase" localSheetId="5" hidden="1">Accounts!$A$1:$BD$2</definedName>
    <definedName name="_xlnm._FilterDatabase" localSheetId="7" hidden="1">CreditMemos!$A$1:$U$2430</definedName>
    <definedName name="_xlnm._FilterDatabase" localSheetId="4" hidden="1">Invoices!#REF!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O5" i="1"/>
  <c r="H5" i="1"/>
  <c r="V5" i="9"/>
  <c r="O5" i="9"/>
  <c r="H5" i="9"/>
  <c r="Q81" i="9"/>
  <c r="R81" i="9"/>
  <c r="S81" i="9"/>
  <c r="T81" i="9"/>
  <c r="U81" i="9"/>
  <c r="V81" i="9"/>
  <c r="O81" i="9"/>
  <c r="N81" i="9"/>
  <c r="M81" i="9"/>
  <c r="L81" i="9"/>
  <c r="K81" i="9"/>
  <c r="J81" i="9"/>
  <c r="H81" i="9"/>
  <c r="G81" i="9"/>
  <c r="F81" i="9"/>
  <c r="E81" i="9"/>
  <c r="D81" i="9"/>
  <c r="C81" i="9"/>
  <c r="C5" i="1" l="1"/>
  <c r="U5" i="1"/>
  <c r="T5" i="1"/>
  <c r="S5" i="1"/>
  <c r="R5" i="1"/>
  <c r="W5" i="1" s="1"/>
  <c r="Q5" i="1"/>
  <c r="N5" i="1"/>
  <c r="M5" i="1"/>
  <c r="L5" i="1"/>
  <c r="K5" i="1"/>
  <c r="J5" i="1"/>
  <c r="G5" i="1"/>
  <c r="F5" i="1"/>
  <c r="E5" i="1"/>
  <c r="D5" i="1"/>
  <c r="I5" i="1" s="1"/>
  <c r="P5" i="1" l="1"/>
  <c r="B5" i="1"/>
  <c r="N49" i="1"/>
  <c r="J77" i="1"/>
  <c r="Q75" i="1"/>
  <c r="J75" i="1"/>
  <c r="T58" i="1"/>
  <c r="H49" i="1"/>
  <c r="V31" i="1"/>
  <c r="U35" i="1"/>
  <c r="J66" i="1"/>
  <c r="S73" i="1"/>
  <c r="O64" i="1"/>
  <c r="T40" i="1"/>
  <c r="Q7" i="1"/>
  <c r="D11" i="1"/>
  <c r="C15" i="1"/>
  <c r="E36" i="1"/>
  <c r="U53" i="1"/>
  <c r="U7" i="1"/>
  <c r="M53" i="1"/>
  <c r="S26" i="1"/>
  <c r="R54" i="1"/>
  <c r="O53" i="1"/>
  <c r="K77" i="1"/>
  <c r="C7" i="1"/>
  <c r="J44" i="1"/>
  <c r="D27" i="1"/>
  <c r="R67" i="1"/>
  <c r="K66" i="1"/>
  <c r="M75" i="1"/>
  <c r="L67" i="1"/>
  <c r="Q71" i="1"/>
  <c r="J15" i="1"/>
  <c r="Q66" i="1"/>
  <c r="V45" i="1"/>
  <c r="M73" i="1"/>
  <c r="E53" i="1"/>
  <c r="C73" i="1"/>
  <c r="G19" i="1"/>
  <c r="M54" i="1"/>
  <c r="T26" i="1"/>
  <c r="D35" i="1"/>
  <c r="S53" i="1"/>
  <c r="K53" i="1"/>
  <c r="G73" i="1"/>
  <c r="K27" i="1"/>
  <c r="R53" i="1"/>
  <c r="N31" i="1"/>
  <c r="H66" i="1"/>
  <c r="V49" i="1"/>
  <c r="L73" i="1"/>
  <c r="J73" i="1"/>
  <c r="O19" i="1"/>
  <c r="G71" i="1"/>
  <c r="Q54" i="1"/>
  <c r="M15" i="1"/>
  <c r="C26" i="1"/>
  <c r="L22" i="1"/>
  <c r="G44" i="1"/>
  <c r="E35" i="1"/>
  <c r="J19" i="1"/>
  <c r="F44" i="1"/>
  <c r="L77" i="1"/>
  <c r="G54" i="1"/>
  <c r="C64" i="1"/>
  <c r="C49" i="1"/>
  <c r="S75" i="1"/>
  <c r="G67" i="1"/>
  <c r="U49" i="1"/>
  <c r="T67" i="1"/>
  <c r="J71" i="1"/>
  <c r="F75" i="1"/>
  <c r="F45" i="1"/>
  <c r="L64" i="1"/>
  <c r="O77" i="1"/>
  <c r="G35" i="1"/>
  <c r="T64" i="1"/>
  <c r="L66" i="1"/>
  <c r="V44" i="1"/>
  <c r="M40" i="1"/>
  <c r="H75" i="1"/>
  <c r="E40" i="1"/>
  <c r="Q36" i="1"/>
  <c r="C71" i="1"/>
  <c r="M45" i="1"/>
  <c r="M64" i="1"/>
  <c r="S27" i="1"/>
  <c r="T71" i="1"/>
  <c r="H26" i="1"/>
  <c r="K31" i="1"/>
  <c r="N44" i="1"/>
  <c r="O66" i="1"/>
  <c r="C66" i="1"/>
  <c r="S64" i="1"/>
  <c r="J54" i="1"/>
  <c r="N54" i="1"/>
  <c r="O44" i="1"/>
  <c r="Q64" i="1"/>
  <c r="H7" i="1"/>
  <c r="G36" i="1"/>
  <c r="D49" i="1"/>
  <c r="T22" i="1"/>
  <c r="T31" i="1"/>
  <c r="S44" i="1"/>
  <c r="Q40" i="1"/>
  <c r="N58" i="1"/>
  <c r="O26" i="1"/>
  <c r="H58" i="1"/>
  <c r="N26" i="1"/>
  <c r="M11" i="1"/>
  <c r="T7" i="1"/>
  <c r="N15" i="1"/>
  <c r="Q22" i="1"/>
  <c r="E66" i="1"/>
  <c r="Q44" i="1"/>
  <c r="D58" i="1"/>
  <c r="G15" i="1"/>
  <c r="V64" i="1"/>
  <c r="O71" i="1"/>
  <c r="C40" i="1"/>
  <c r="O75" i="1"/>
  <c r="H53" i="1"/>
  <c r="H19" i="1"/>
  <c r="V75" i="1"/>
  <c r="N71" i="1"/>
  <c r="J7" i="1"/>
  <c r="T44" i="1"/>
  <c r="V73" i="1"/>
  <c r="L45" i="1"/>
  <c r="M44" i="1"/>
  <c r="S58" i="1"/>
  <c r="Q49" i="1"/>
  <c r="C53" i="1"/>
  <c r="T54" i="1"/>
  <c r="H45" i="1"/>
  <c r="E54" i="1"/>
  <c r="S40" i="1"/>
  <c r="E19" i="1"/>
  <c r="T36" i="1"/>
  <c r="Q31" i="1"/>
  <c r="V27" i="1"/>
  <c r="F49" i="1"/>
  <c r="N40" i="1"/>
  <c r="N11" i="1"/>
  <c r="E15" i="1"/>
  <c r="L26" i="1"/>
  <c r="J36" i="1"/>
  <c r="F64" i="1"/>
  <c r="C27" i="1"/>
  <c r="O67" i="1"/>
  <c r="G66" i="1"/>
  <c r="M77" i="1"/>
  <c r="F7" i="1"/>
  <c r="H64" i="1"/>
  <c r="H36" i="1"/>
  <c r="D7" i="1"/>
  <c r="L44" i="1"/>
  <c r="Q35" i="1"/>
  <c r="M22" i="1"/>
  <c r="G31" i="1"/>
  <c r="D15" i="1"/>
  <c r="R64" i="1"/>
  <c r="V19" i="1"/>
  <c r="O58" i="1"/>
  <c r="S67" i="1"/>
  <c r="E58" i="1"/>
  <c r="T75" i="1"/>
  <c r="F73" i="1"/>
  <c r="G22" i="1"/>
  <c r="N73" i="1"/>
  <c r="K35" i="1"/>
  <c r="V54" i="1"/>
  <c r="K15" i="1"/>
  <c r="C67" i="1"/>
  <c r="U73" i="1"/>
  <c r="Q19" i="1"/>
  <c r="J40" i="1"/>
  <c r="S19" i="1"/>
  <c r="N19" i="1"/>
  <c r="V77" i="1"/>
  <c r="E22" i="1"/>
  <c r="C58" i="1"/>
  <c r="H54" i="1"/>
  <c r="K49" i="1"/>
  <c r="L58" i="1"/>
  <c r="S15" i="1"/>
  <c r="J64" i="1"/>
  <c r="S11" i="1"/>
  <c r="N77" i="1"/>
  <c r="D77" i="1"/>
  <c r="G77" i="1"/>
  <c r="M66" i="1"/>
  <c r="F35" i="1"/>
  <c r="Q26" i="1"/>
  <c r="V71" i="1"/>
  <c r="K54" i="1"/>
  <c r="U31" i="1"/>
  <c r="Q67" i="1"/>
  <c r="D19" i="1"/>
  <c r="G26" i="1"/>
  <c r="D26" i="1"/>
  <c r="M27" i="1"/>
  <c r="M35" i="1"/>
  <c r="N45" i="1"/>
  <c r="V66" i="1"/>
  <c r="D31" i="1"/>
  <c r="R22" i="1"/>
  <c r="M71" i="1"/>
  <c r="T77" i="1"/>
  <c r="K40" i="1"/>
  <c r="U67" i="1"/>
  <c r="K44" i="1"/>
  <c r="K7" i="1"/>
  <c r="R19" i="1"/>
  <c r="U36" i="1"/>
  <c r="L54" i="1"/>
  <c r="E31" i="1"/>
  <c r="C31" i="1"/>
  <c r="C54" i="1"/>
  <c r="K71" i="1"/>
  <c r="H15" i="1"/>
  <c r="F71" i="1"/>
  <c r="C22" i="1"/>
  <c r="M7" i="1"/>
  <c r="U75" i="1"/>
  <c r="N27" i="1"/>
  <c r="C11" i="1"/>
  <c r="J22" i="1"/>
  <c r="H40" i="1"/>
  <c r="L75" i="1"/>
  <c r="K19" i="1"/>
  <c r="E73" i="1"/>
  <c r="D22" i="1"/>
  <c r="J27" i="1"/>
  <c r="E64" i="1"/>
  <c r="R73" i="1"/>
  <c r="L35" i="1"/>
  <c r="U77" i="1"/>
  <c r="S36" i="1"/>
  <c r="H67" i="1"/>
  <c r="G75" i="1"/>
  <c r="K64" i="1"/>
  <c r="L19" i="1"/>
  <c r="F27" i="1"/>
  <c r="N75" i="1"/>
  <c r="T19" i="1"/>
  <c r="E45" i="1"/>
  <c r="E71" i="1"/>
  <c r="T27" i="1"/>
  <c r="G40" i="1"/>
  <c r="G7" i="1"/>
  <c r="H77" i="1"/>
  <c r="R26" i="1"/>
  <c r="Q73" i="1"/>
  <c r="R35" i="1"/>
  <c r="D64" i="1"/>
  <c r="E27" i="1"/>
  <c r="U22" i="1"/>
  <c r="E67" i="1"/>
  <c r="U40" i="1"/>
  <c r="L7" i="1"/>
  <c r="E7" i="1"/>
  <c r="U19" i="1"/>
  <c r="V35" i="1"/>
  <c r="J45" i="1"/>
  <c r="J35" i="1"/>
  <c r="H35" i="1"/>
  <c r="K22" i="1"/>
  <c r="J31" i="1"/>
  <c r="O73" i="1"/>
  <c r="V26" i="1"/>
  <c r="O49" i="1"/>
  <c r="L36" i="1"/>
  <c r="D40" i="1"/>
  <c r="C35" i="1"/>
  <c r="N64" i="1"/>
  <c r="S31" i="1"/>
  <c r="T35" i="1"/>
  <c r="V36" i="1"/>
  <c r="D53" i="1"/>
  <c r="J11" i="1"/>
  <c r="H11" i="1"/>
  <c r="G49" i="1"/>
  <c r="E26" i="1"/>
  <c r="D71" i="1"/>
  <c r="O36" i="1"/>
  <c r="L31" i="1"/>
  <c r="Q27" i="1"/>
  <c r="Q53" i="1"/>
  <c r="S66" i="1"/>
  <c r="O7" i="1"/>
  <c r="S71" i="1"/>
  <c r="U15" i="1"/>
  <c r="F19" i="1"/>
  <c r="D45" i="1"/>
  <c r="S49" i="1"/>
  <c r="L11" i="1"/>
  <c r="J58" i="1"/>
  <c r="J26" i="1"/>
  <c r="C45" i="1"/>
  <c r="D73" i="1"/>
  <c r="C19" i="1"/>
  <c r="F67" i="1"/>
  <c r="C77" i="1"/>
  <c r="U54" i="1"/>
  <c r="N67" i="1"/>
  <c r="S77" i="1"/>
  <c r="G11" i="1"/>
  <c r="D54" i="1"/>
  <c r="U26" i="1"/>
  <c r="S7" i="1"/>
  <c r="U71" i="1"/>
  <c r="M36" i="1"/>
  <c r="D36" i="1"/>
  <c r="T66" i="1"/>
  <c r="F22" i="1"/>
  <c r="D75" i="1"/>
  <c r="M67" i="1"/>
  <c r="K67" i="1"/>
  <c r="G58" i="1"/>
  <c r="F40" i="1"/>
  <c r="V53" i="1"/>
  <c r="D44" i="1"/>
  <c r="O22" i="1"/>
  <c r="F53" i="1"/>
  <c r="D66" i="1"/>
  <c r="G64" i="1"/>
  <c r="T53" i="1"/>
  <c r="H71" i="1"/>
  <c r="S45" i="1"/>
  <c r="L15" i="1"/>
  <c r="M49" i="1"/>
  <c r="G45" i="1"/>
  <c r="C36" i="1"/>
  <c r="T15" i="1"/>
  <c r="O31" i="1"/>
  <c r="F58" i="1"/>
  <c r="E44" i="1"/>
  <c r="H44" i="1"/>
  <c r="V22" i="1"/>
  <c r="G53" i="1"/>
  <c r="E75" i="1"/>
  <c r="K11" i="1"/>
  <c r="K58" i="1"/>
  <c r="F15" i="1"/>
  <c r="T45" i="1"/>
  <c r="R75" i="1"/>
  <c r="Q58" i="1"/>
  <c r="J67" i="1"/>
  <c r="F31" i="1"/>
  <c r="O40" i="1"/>
  <c r="F26" i="1"/>
  <c r="H27" i="1"/>
  <c r="E11" i="1"/>
  <c r="O27" i="1"/>
  <c r="Q11" i="1"/>
  <c r="V15" i="1"/>
  <c r="H31" i="1"/>
  <c r="L71" i="1"/>
  <c r="H22" i="1"/>
  <c r="N36" i="1"/>
  <c r="O35" i="1"/>
  <c r="J53" i="1"/>
  <c r="F36" i="1"/>
  <c r="O15" i="1"/>
  <c r="K75" i="1"/>
  <c r="V11" i="1"/>
  <c r="U44" i="1"/>
  <c r="U64" i="1"/>
  <c r="V67" i="1"/>
  <c r="E77" i="1"/>
  <c r="Q45" i="1"/>
  <c r="U27" i="1"/>
  <c r="R66" i="1"/>
  <c r="U66" i="1"/>
  <c r="R27" i="1"/>
  <c r="O11" i="1"/>
  <c r="S35" i="1"/>
  <c r="J49" i="1"/>
  <c r="T11" i="1"/>
  <c r="O54" i="1"/>
  <c r="K45" i="1"/>
  <c r="L40" i="1"/>
  <c r="U11" i="1"/>
  <c r="M19" i="1"/>
  <c r="N53" i="1"/>
  <c r="G27" i="1"/>
  <c r="V7" i="1"/>
  <c r="Q15" i="1"/>
  <c r="Q77" i="1"/>
  <c r="L27" i="1"/>
  <c r="K73" i="1"/>
  <c r="S54" i="1"/>
  <c r="R36" i="1"/>
  <c r="F11" i="1"/>
  <c r="C75" i="1"/>
  <c r="M58" i="1"/>
  <c r="N66" i="1"/>
  <c r="U45" i="1"/>
  <c r="T49" i="1"/>
  <c r="T73" i="1"/>
  <c r="C44" i="1"/>
  <c r="R44" i="1"/>
  <c r="V58" i="1"/>
  <c r="L53" i="1"/>
  <c r="U58" i="1"/>
  <c r="F77" i="1"/>
  <c r="F54" i="1"/>
  <c r="N7" i="1"/>
  <c r="D67" i="1"/>
  <c r="N35" i="1"/>
  <c r="H73" i="1"/>
  <c r="M26" i="1"/>
  <c r="R45" i="1"/>
  <c r="E49" i="1"/>
  <c r="K26" i="1"/>
  <c r="O45" i="1"/>
  <c r="F66" i="1"/>
  <c r="V40" i="1"/>
  <c r="M31" i="1"/>
  <c r="L49" i="1"/>
  <c r="K36" i="1"/>
  <c r="N22" i="1"/>
  <c r="S22" i="1"/>
  <c r="S33" i="1" l="1"/>
  <c r="S51" i="1"/>
  <c r="S42" i="1"/>
  <c r="S24" i="1"/>
  <c r="N42" i="1"/>
  <c r="N24" i="1"/>
  <c r="N51" i="1"/>
  <c r="N33" i="1"/>
  <c r="K37" i="1"/>
  <c r="K38" i="1"/>
  <c r="K39" i="1"/>
  <c r="M61" i="1"/>
  <c r="M80" i="1" s="1"/>
  <c r="O46" i="1"/>
  <c r="O47" i="1"/>
  <c r="O48" i="1"/>
  <c r="K59" i="1"/>
  <c r="K25" i="1"/>
  <c r="R46" i="1"/>
  <c r="R48" i="1"/>
  <c r="R47" i="1"/>
  <c r="M25" i="1"/>
  <c r="M59" i="1"/>
  <c r="H76" i="1"/>
  <c r="H74" i="1"/>
  <c r="N34" i="1"/>
  <c r="D68" i="1"/>
  <c r="D70" i="1"/>
  <c r="D69" i="1"/>
  <c r="N9" i="1"/>
  <c r="N16" i="1"/>
  <c r="N8" i="1"/>
  <c r="N14" i="1"/>
  <c r="N10" i="1"/>
  <c r="F57" i="1"/>
  <c r="F55" i="1"/>
  <c r="F56" i="1"/>
  <c r="F81" i="1"/>
  <c r="L52" i="1"/>
  <c r="R43" i="1"/>
  <c r="I44" i="1"/>
  <c r="C43" i="1"/>
  <c r="T76" i="1"/>
  <c r="T74" i="1"/>
  <c r="U47" i="1"/>
  <c r="U46" i="1"/>
  <c r="U48" i="1"/>
  <c r="I75" i="1"/>
  <c r="I76" i="1" s="1"/>
  <c r="F79" i="1"/>
  <c r="R37" i="1"/>
  <c r="R38" i="1"/>
  <c r="R39" i="1"/>
  <c r="S55" i="1"/>
  <c r="S56" i="1"/>
  <c r="S57" i="1"/>
  <c r="K76" i="1"/>
  <c r="K74" i="1"/>
  <c r="L30" i="1"/>
  <c r="L28" i="1"/>
  <c r="L29" i="1"/>
  <c r="L60" i="1"/>
  <c r="Q81" i="1"/>
  <c r="V16" i="1"/>
  <c r="V14" i="1"/>
  <c r="V8" i="1"/>
  <c r="V9" i="1"/>
  <c r="V10" i="1"/>
  <c r="G29" i="1"/>
  <c r="G28" i="1"/>
  <c r="G60" i="1"/>
  <c r="G30" i="1"/>
  <c r="N52" i="1"/>
  <c r="M21" i="1"/>
  <c r="M63" i="1"/>
  <c r="U79" i="1"/>
  <c r="K47" i="1"/>
  <c r="K48" i="1"/>
  <c r="K46" i="1"/>
  <c r="O56" i="1"/>
  <c r="O55" i="1"/>
  <c r="O57" i="1"/>
  <c r="T79" i="1"/>
  <c r="P49" i="1"/>
  <c r="S34" i="1"/>
  <c r="O79" i="1"/>
  <c r="R30" i="1"/>
  <c r="R28" i="1"/>
  <c r="R29" i="1"/>
  <c r="R60" i="1"/>
  <c r="U60" i="1"/>
  <c r="U29" i="1"/>
  <c r="U30" i="1"/>
  <c r="U28" i="1"/>
  <c r="Q47" i="1"/>
  <c r="Q46" i="1"/>
  <c r="Q48" i="1"/>
  <c r="W45" i="1"/>
  <c r="W47" i="1" s="1"/>
  <c r="E81" i="1"/>
  <c r="V70" i="1"/>
  <c r="V69" i="1"/>
  <c r="V68" i="1"/>
  <c r="U65" i="1"/>
  <c r="U43" i="1"/>
  <c r="V79" i="1"/>
  <c r="F38" i="1"/>
  <c r="F37" i="1"/>
  <c r="F39" i="1"/>
  <c r="J52" i="1"/>
  <c r="P53" i="1"/>
  <c r="O34" i="1"/>
  <c r="N38" i="1"/>
  <c r="N37" i="1"/>
  <c r="N39" i="1"/>
  <c r="H24" i="1"/>
  <c r="H51" i="1"/>
  <c r="H42" i="1"/>
  <c r="H33" i="1"/>
  <c r="H61" i="1"/>
  <c r="H80" i="1" s="1"/>
  <c r="Q79" i="1"/>
  <c r="O29" i="1"/>
  <c r="O60" i="1"/>
  <c r="O28" i="1"/>
  <c r="O30" i="1"/>
  <c r="E79" i="1"/>
  <c r="H28" i="1"/>
  <c r="H29" i="1"/>
  <c r="H30" i="1"/>
  <c r="H60" i="1"/>
  <c r="F59" i="1"/>
  <c r="F25" i="1"/>
  <c r="F61" i="1"/>
  <c r="F80" i="1" s="1"/>
  <c r="J68" i="1"/>
  <c r="J69" i="1"/>
  <c r="J70" i="1"/>
  <c r="P67" i="1"/>
  <c r="P70" i="1" s="1"/>
  <c r="T47" i="1"/>
  <c r="T46" i="1"/>
  <c r="T48" i="1"/>
  <c r="K79" i="1"/>
  <c r="G52" i="1"/>
  <c r="V33" i="1"/>
  <c r="V24" i="1"/>
  <c r="V51" i="1"/>
  <c r="V42" i="1"/>
  <c r="H43" i="1"/>
  <c r="E43" i="1"/>
  <c r="O61" i="1"/>
  <c r="O80" i="1" s="1"/>
  <c r="I36" i="1"/>
  <c r="C37" i="1"/>
  <c r="C38" i="1"/>
  <c r="C39" i="1"/>
  <c r="G48" i="1"/>
  <c r="G46" i="1"/>
  <c r="G47" i="1"/>
  <c r="S48" i="1"/>
  <c r="S46" i="1"/>
  <c r="S47" i="1"/>
  <c r="T52" i="1"/>
  <c r="G65" i="1"/>
  <c r="F52" i="1"/>
  <c r="O51" i="1"/>
  <c r="O33" i="1"/>
  <c r="O42" i="1"/>
  <c r="O24" i="1"/>
  <c r="D43" i="1"/>
  <c r="V52" i="1"/>
  <c r="K70" i="1"/>
  <c r="K68" i="1"/>
  <c r="K69" i="1"/>
  <c r="M69" i="1"/>
  <c r="M68" i="1"/>
  <c r="M70" i="1"/>
  <c r="F51" i="1"/>
  <c r="F33" i="1"/>
  <c r="F24" i="1"/>
  <c r="F42" i="1"/>
  <c r="D38" i="1"/>
  <c r="D39" i="1"/>
  <c r="D37" i="1"/>
  <c r="M37" i="1"/>
  <c r="M38" i="1"/>
  <c r="M39" i="1"/>
  <c r="S14" i="1"/>
  <c r="S9" i="1"/>
  <c r="S16" i="1"/>
  <c r="S10" i="1"/>
  <c r="S8" i="1"/>
  <c r="U59" i="1"/>
  <c r="U25" i="1"/>
  <c r="D56" i="1"/>
  <c r="D55" i="1"/>
  <c r="D57" i="1"/>
  <c r="G79" i="1"/>
  <c r="S81" i="1"/>
  <c r="N69" i="1"/>
  <c r="N68" i="1"/>
  <c r="N70" i="1"/>
  <c r="U57" i="1"/>
  <c r="U55" i="1"/>
  <c r="U56" i="1"/>
  <c r="C81" i="1"/>
  <c r="I77" i="1"/>
  <c r="F68" i="1"/>
  <c r="F69" i="1"/>
  <c r="F70" i="1"/>
  <c r="I19" i="1"/>
  <c r="I63" i="1" s="1"/>
  <c r="C63" i="1"/>
  <c r="C21" i="1"/>
  <c r="D76" i="1"/>
  <c r="D74" i="1"/>
  <c r="C47" i="1"/>
  <c r="C46" i="1"/>
  <c r="C48" i="1"/>
  <c r="I45" i="1"/>
  <c r="I48" i="1" s="1"/>
  <c r="J59" i="1"/>
  <c r="J25" i="1"/>
  <c r="P26" i="1"/>
  <c r="P58" i="1"/>
  <c r="L79" i="1"/>
  <c r="D46" i="1"/>
  <c r="D47" i="1"/>
  <c r="D48" i="1"/>
  <c r="F21" i="1"/>
  <c r="F63" i="1"/>
  <c r="O8" i="1"/>
  <c r="O16" i="1"/>
  <c r="O10" i="1"/>
  <c r="O9" i="1"/>
  <c r="O14" i="1"/>
  <c r="Q52" i="1"/>
  <c r="W53" i="1"/>
  <c r="Q60" i="1"/>
  <c r="Q29" i="1"/>
  <c r="Q28" i="1"/>
  <c r="W27" i="1"/>
  <c r="Q30" i="1"/>
  <c r="L61" i="1"/>
  <c r="L80" i="1" s="1"/>
  <c r="O38" i="1"/>
  <c r="O39" i="1"/>
  <c r="O37" i="1"/>
  <c r="E25" i="1"/>
  <c r="E59" i="1"/>
  <c r="H79" i="1"/>
  <c r="P11" i="1"/>
  <c r="J79" i="1"/>
  <c r="D52" i="1"/>
  <c r="V38" i="1"/>
  <c r="V37" i="1"/>
  <c r="V39" i="1"/>
  <c r="T34" i="1"/>
  <c r="S61" i="1"/>
  <c r="S80" i="1" s="1"/>
  <c r="N65" i="1"/>
  <c r="C34" i="1"/>
  <c r="I35" i="1"/>
  <c r="I34" i="1" s="1"/>
  <c r="L38" i="1"/>
  <c r="L37" i="1"/>
  <c r="L39" i="1"/>
  <c r="V59" i="1"/>
  <c r="V25" i="1"/>
  <c r="O76" i="1"/>
  <c r="O74" i="1"/>
  <c r="J61" i="1"/>
  <c r="P31" i="1"/>
  <c r="K51" i="1"/>
  <c r="K42" i="1"/>
  <c r="K33" i="1"/>
  <c r="K24" i="1"/>
  <c r="H34" i="1"/>
  <c r="J34" i="1"/>
  <c r="P35" i="1"/>
  <c r="J46" i="1"/>
  <c r="P45" i="1"/>
  <c r="P48" i="1" s="1"/>
  <c r="J47" i="1"/>
  <c r="J48" i="1"/>
  <c r="V34" i="1"/>
  <c r="U21" i="1"/>
  <c r="U63" i="1"/>
  <c r="E16" i="1"/>
  <c r="E10" i="1"/>
  <c r="E8" i="1"/>
  <c r="E9" i="1"/>
  <c r="E14" i="1"/>
  <c r="L9" i="1"/>
  <c r="L10" i="1"/>
  <c r="L8" i="1"/>
  <c r="L14" i="1"/>
  <c r="L16" i="1"/>
  <c r="E68" i="1"/>
  <c r="E69" i="1"/>
  <c r="E70" i="1"/>
  <c r="U33" i="1"/>
  <c r="U42" i="1"/>
  <c r="U51" i="1"/>
  <c r="U24" i="1"/>
  <c r="E30" i="1"/>
  <c r="E29" i="1"/>
  <c r="E60" i="1"/>
  <c r="E28" i="1"/>
  <c r="D65" i="1"/>
  <c r="R34" i="1"/>
  <c r="Q74" i="1"/>
  <c r="W73" i="1"/>
  <c r="W74" i="1" s="1"/>
  <c r="Q76" i="1"/>
  <c r="R25" i="1"/>
  <c r="R59" i="1"/>
  <c r="H81" i="1"/>
  <c r="G8" i="1"/>
  <c r="G16" i="1"/>
  <c r="G9" i="1"/>
  <c r="G14" i="1"/>
  <c r="G10" i="1"/>
  <c r="T60" i="1"/>
  <c r="T28" i="1"/>
  <c r="T29" i="1"/>
  <c r="T30" i="1"/>
  <c r="E47" i="1"/>
  <c r="E46" i="1"/>
  <c r="E48" i="1"/>
  <c r="T21" i="1"/>
  <c r="T63" i="1"/>
  <c r="F28" i="1"/>
  <c r="F29" i="1"/>
  <c r="F60" i="1"/>
  <c r="F30" i="1"/>
  <c r="L63" i="1"/>
  <c r="L21" i="1"/>
  <c r="K65" i="1"/>
  <c r="H68" i="1"/>
  <c r="H69" i="1"/>
  <c r="H70" i="1"/>
  <c r="S37" i="1"/>
  <c r="S38" i="1"/>
  <c r="S39" i="1"/>
  <c r="U81" i="1"/>
  <c r="L34" i="1"/>
  <c r="R76" i="1"/>
  <c r="R74" i="1"/>
  <c r="E65" i="1"/>
  <c r="P27" i="1"/>
  <c r="J30" i="1"/>
  <c r="J60" i="1"/>
  <c r="J28" i="1"/>
  <c r="J29" i="1"/>
  <c r="D24" i="1"/>
  <c r="D42" i="1"/>
  <c r="D51" i="1"/>
  <c r="D33" i="1"/>
  <c r="E76" i="1"/>
  <c r="E74" i="1"/>
  <c r="K63" i="1"/>
  <c r="K21" i="1"/>
  <c r="J33" i="1"/>
  <c r="P22" i="1"/>
  <c r="P33" i="1" s="1"/>
  <c r="J51" i="1"/>
  <c r="J42" i="1"/>
  <c r="J24" i="1"/>
  <c r="C79" i="1"/>
  <c r="I11" i="1"/>
  <c r="N28" i="1"/>
  <c r="N29" i="1"/>
  <c r="N30" i="1"/>
  <c r="N60" i="1"/>
  <c r="M8" i="1"/>
  <c r="M16" i="1"/>
  <c r="M9" i="1"/>
  <c r="M10" i="1"/>
  <c r="M14" i="1"/>
  <c r="C42" i="1"/>
  <c r="C24" i="1"/>
  <c r="I22" i="1"/>
  <c r="C33" i="1"/>
  <c r="C51" i="1"/>
  <c r="I54" i="1"/>
  <c r="I57" i="1" s="1"/>
  <c r="C56" i="1"/>
  <c r="C57" i="1"/>
  <c r="C55" i="1"/>
  <c r="C61" i="1"/>
  <c r="C80" i="1" s="1"/>
  <c r="I31" i="1"/>
  <c r="E61" i="1"/>
  <c r="E80" i="1" s="1"/>
  <c r="L56" i="1"/>
  <c r="L55" i="1"/>
  <c r="L57" i="1"/>
  <c r="U39" i="1"/>
  <c r="U37" i="1"/>
  <c r="U38" i="1"/>
  <c r="R21" i="1"/>
  <c r="R63" i="1"/>
  <c r="K9" i="1"/>
  <c r="K14" i="1"/>
  <c r="K10" i="1"/>
  <c r="K16" i="1"/>
  <c r="K8" i="1"/>
  <c r="K43" i="1"/>
  <c r="U69" i="1"/>
  <c r="U68" i="1"/>
  <c r="U70" i="1"/>
  <c r="T81" i="1"/>
  <c r="T83" i="1" s="1"/>
  <c r="R42" i="1"/>
  <c r="R51" i="1"/>
  <c r="R33" i="1"/>
  <c r="R24" i="1"/>
  <c r="D61" i="1"/>
  <c r="D80" i="1" s="1"/>
  <c r="N46" i="1"/>
  <c r="N47" i="1"/>
  <c r="N48" i="1"/>
  <c r="M34" i="1"/>
  <c r="M30" i="1"/>
  <c r="M28" i="1"/>
  <c r="M29" i="1"/>
  <c r="M60" i="1"/>
  <c r="D59" i="1"/>
  <c r="D25" i="1"/>
  <c r="G25" i="1"/>
  <c r="G59" i="1"/>
  <c r="D21" i="1"/>
  <c r="D63" i="1"/>
  <c r="Q68" i="1"/>
  <c r="Q69" i="1"/>
  <c r="W67" i="1"/>
  <c r="Q70" i="1"/>
  <c r="U61" i="1"/>
  <c r="U80" i="1" s="1"/>
  <c r="K57" i="1"/>
  <c r="K56" i="1"/>
  <c r="K55" i="1"/>
  <c r="Q59" i="1"/>
  <c r="W26" i="1"/>
  <c r="Q25" i="1"/>
  <c r="F34" i="1"/>
  <c r="G81" i="1"/>
  <c r="D81" i="1"/>
  <c r="N81" i="1"/>
  <c r="S79" i="1"/>
  <c r="S83" i="1" s="1"/>
  <c r="P64" i="1"/>
  <c r="P65" i="1" s="1"/>
  <c r="J65" i="1"/>
  <c r="H55" i="1"/>
  <c r="H57" i="1"/>
  <c r="H56" i="1"/>
  <c r="I58" i="1"/>
  <c r="E42" i="1"/>
  <c r="E51" i="1"/>
  <c r="E24" i="1"/>
  <c r="E33" i="1"/>
  <c r="V81" i="1"/>
  <c r="N21" i="1"/>
  <c r="N63" i="1"/>
  <c r="S21" i="1"/>
  <c r="S63" i="1"/>
  <c r="P40" i="1"/>
  <c r="Q21" i="1"/>
  <c r="W19" i="1"/>
  <c r="Q63" i="1"/>
  <c r="U76" i="1"/>
  <c r="U74" i="1"/>
  <c r="C68" i="1"/>
  <c r="C70" i="1"/>
  <c r="C69" i="1"/>
  <c r="I67" i="1"/>
  <c r="B67" i="1" s="1"/>
  <c r="V55" i="1"/>
  <c r="V56" i="1"/>
  <c r="V57" i="1"/>
  <c r="K34" i="1"/>
  <c r="N76" i="1"/>
  <c r="N74" i="1"/>
  <c r="G51" i="1"/>
  <c r="G42" i="1"/>
  <c r="G33" i="1"/>
  <c r="G24" i="1"/>
  <c r="F74" i="1"/>
  <c r="F76" i="1"/>
  <c r="S70" i="1"/>
  <c r="S69" i="1"/>
  <c r="S68" i="1"/>
  <c r="V21" i="1"/>
  <c r="V63" i="1"/>
  <c r="R65" i="1"/>
  <c r="G61" i="1"/>
  <c r="G80" i="1" s="1"/>
  <c r="M24" i="1"/>
  <c r="M42" i="1"/>
  <c r="M51" i="1"/>
  <c r="M33" i="1"/>
  <c r="Q34" i="1"/>
  <c r="W35" i="1"/>
  <c r="L43" i="1"/>
  <c r="D14" i="1"/>
  <c r="D9" i="1"/>
  <c r="D8" i="1"/>
  <c r="D10" i="1"/>
  <c r="D16" i="1"/>
  <c r="H38" i="1"/>
  <c r="H37" i="1"/>
  <c r="H39" i="1"/>
  <c r="H65" i="1"/>
  <c r="F16" i="1"/>
  <c r="F14" i="1"/>
  <c r="F8" i="1"/>
  <c r="F9" i="1"/>
  <c r="F10" i="1"/>
  <c r="M81" i="1"/>
  <c r="O69" i="1"/>
  <c r="O68" i="1"/>
  <c r="O70" i="1"/>
  <c r="C28" i="1"/>
  <c r="I27" i="1"/>
  <c r="B27" i="1" s="1"/>
  <c r="C60" i="1"/>
  <c r="C29" i="1"/>
  <c r="C30" i="1"/>
  <c r="F65" i="1"/>
  <c r="P36" i="1"/>
  <c r="P37" i="1" s="1"/>
  <c r="J37" i="1"/>
  <c r="J38" i="1"/>
  <c r="J39" i="1"/>
  <c r="L25" i="1"/>
  <c r="L59" i="1"/>
  <c r="N79" i="1"/>
  <c r="V28" i="1"/>
  <c r="V30" i="1"/>
  <c r="V60" i="1"/>
  <c r="V29" i="1"/>
  <c r="Q61" i="1"/>
  <c r="Q80" i="1" s="1"/>
  <c r="T38" i="1"/>
  <c r="T39" i="1"/>
  <c r="T37" i="1"/>
  <c r="E63" i="1"/>
  <c r="E21" i="1"/>
  <c r="E57" i="1"/>
  <c r="E55" i="1"/>
  <c r="E56" i="1"/>
  <c r="H46" i="1"/>
  <c r="H47" i="1"/>
  <c r="H48" i="1"/>
  <c r="T56" i="1"/>
  <c r="T55" i="1"/>
  <c r="T57" i="1"/>
  <c r="I53" i="1"/>
  <c r="C52" i="1"/>
  <c r="M43" i="1"/>
  <c r="L46" i="1"/>
  <c r="L47" i="1"/>
  <c r="L48" i="1"/>
  <c r="V74" i="1"/>
  <c r="V76" i="1"/>
  <c r="T43" i="1"/>
  <c r="J10" i="1"/>
  <c r="J16" i="1"/>
  <c r="J8" i="1"/>
  <c r="J9" i="1"/>
  <c r="J14" i="1"/>
  <c r="P7" i="1"/>
  <c r="P8" i="1" s="1"/>
  <c r="H63" i="1"/>
  <c r="H21" i="1"/>
  <c r="H52" i="1"/>
  <c r="I40" i="1"/>
  <c r="V65" i="1"/>
  <c r="Q43" i="1"/>
  <c r="W44" i="1"/>
  <c r="Q24" i="1"/>
  <c r="Q42" i="1"/>
  <c r="Q51" i="1"/>
  <c r="W22" i="1"/>
  <c r="Q33" i="1"/>
  <c r="T10" i="1"/>
  <c r="T9" i="1"/>
  <c r="T14" i="1"/>
  <c r="T16" i="1"/>
  <c r="T8" i="1"/>
  <c r="M79" i="1"/>
  <c r="N25" i="1"/>
  <c r="N59" i="1"/>
  <c r="O25" i="1"/>
  <c r="O59" i="1"/>
  <c r="S43" i="1"/>
  <c r="T61" i="1"/>
  <c r="T80" i="1" s="1"/>
  <c r="T24" i="1"/>
  <c r="T51" i="1"/>
  <c r="T33" i="1"/>
  <c r="T42" i="1"/>
  <c r="G38" i="1"/>
  <c r="G37" i="1"/>
  <c r="G39" i="1"/>
  <c r="H9" i="1"/>
  <c r="H8" i="1"/>
  <c r="H16" i="1"/>
  <c r="H10" i="1"/>
  <c r="H14" i="1"/>
  <c r="Q65" i="1"/>
  <c r="W64" i="1"/>
  <c r="W65" i="1" s="1"/>
  <c r="O43" i="1"/>
  <c r="N55" i="1"/>
  <c r="N57" i="1"/>
  <c r="N56" i="1"/>
  <c r="P54" i="1"/>
  <c r="P55" i="1" s="1"/>
  <c r="J57" i="1"/>
  <c r="J56" i="1"/>
  <c r="J55" i="1"/>
  <c r="S65" i="1"/>
  <c r="I66" i="1"/>
  <c r="N43" i="1"/>
  <c r="K61" i="1"/>
  <c r="K80" i="1" s="1"/>
  <c r="H59" i="1"/>
  <c r="H25" i="1"/>
  <c r="S28" i="1"/>
  <c r="S29" i="1"/>
  <c r="S60" i="1"/>
  <c r="S30" i="1"/>
  <c r="M65" i="1"/>
  <c r="M48" i="1"/>
  <c r="M47" i="1"/>
  <c r="M46" i="1"/>
  <c r="I71" i="1"/>
  <c r="Q39" i="1"/>
  <c r="Q38" i="1"/>
  <c r="Q37" i="1"/>
  <c r="W36" i="1"/>
  <c r="W38" i="1" s="1"/>
  <c r="V43" i="1"/>
  <c r="T65" i="1"/>
  <c r="G34" i="1"/>
  <c r="O81" i="1"/>
  <c r="L65" i="1"/>
  <c r="F46" i="1"/>
  <c r="F48" i="1"/>
  <c r="F47" i="1"/>
  <c r="P71" i="1"/>
  <c r="T68" i="1"/>
  <c r="T69" i="1"/>
  <c r="T70" i="1"/>
  <c r="G69" i="1"/>
  <c r="G68" i="1"/>
  <c r="G70" i="1"/>
  <c r="I49" i="1"/>
  <c r="C65" i="1"/>
  <c r="I64" i="1"/>
  <c r="I65" i="1" s="1"/>
  <c r="G56" i="1"/>
  <c r="G55" i="1"/>
  <c r="G57" i="1"/>
  <c r="L81" i="1"/>
  <c r="F43" i="1"/>
  <c r="P19" i="1"/>
  <c r="P63" i="1" s="1"/>
  <c r="J63" i="1"/>
  <c r="J21" i="1"/>
  <c r="E34" i="1"/>
  <c r="G43" i="1"/>
  <c r="L24" i="1"/>
  <c r="L51" i="1"/>
  <c r="L42" i="1"/>
  <c r="L33" i="1"/>
  <c r="C59" i="1"/>
  <c r="I26" i="1"/>
  <c r="I25" i="1" s="1"/>
  <c r="C25" i="1"/>
  <c r="Q55" i="1"/>
  <c r="Q56" i="1"/>
  <c r="W54" i="1"/>
  <c r="Q57" i="1"/>
  <c r="O21" i="1"/>
  <c r="O63" i="1"/>
  <c r="P73" i="1"/>
  <c r="P74" i="1" s="1"/>
  <c r="J74" i="1"/>
  <c r="J76" i="1"/>
  <c r="L76" i="1"/>
  <c r="L74" i="1"/>
  <c r="N61" i="1"/>
  <c r="N80" i="1" s="1"/>
  <c r="R52" i="1"/>
  <c r="K28" i="1"/>
  <c r="K29" i="1"/>
  <c r="K30" i="1"/>
  <c r="K60" i="1"/>
  <c r="G74" i="1"/>
  <c r="G76" i="1"/>
  <c r="K52" i="1"/>
  <c r="S52" i="1"/>
  <c r="D34" i="1"/>
  <c r="T59" i="1"/>
  <c r="T25" i="1"/>
  <c r="M55" i="1"/>
  <c r="M56" i="1"/>
  <c r="M57" i="1"/>
  <c r="G21" i="1"/>
  <c r="G63" i="1"/>
  <c r="C74" i="1"/>
  <c r="C76" i="1"/>
  <c r="I73" i="1"/>
  <c r="I74" i="1" s="1"/>
  <c r="E52" i="1"/>
  <c r="M74" i="1"/>
  <c r="M76" i="1"/>
  <c r="V46" i="1"/>
  <c r="V47" i="1"/>
  <c r="V48" i="1"/>
  <c r="W66" i="1"/>
  <c r="B66" i="1" s="1"/>
  <c r="P15" i="1"/>
  <c r="L68" i="1"/>
  <c r="L69" i="1"/>
  <c r="L70" i="1"/>
  <c r="R69" i="1"/>
  <c r="R68" i="1"/>
  <c r="R70" i="1"/>
  <c r="D29" i="1"/>
  <c r="D28" i="1"/>
  <c r="D30" i="1"/>
  <c r="D60" i="1"/>
  <c r="J43" i="1"/>
  <c r="P44" i="1"/>
  <c r="C10" i="1"/>
  <c r="C8" i="1"/>
  <c r="C9" i="1"/>
  <c r="I7" i="1"/>
  <c r="I9" i="1" s="1"/>
  <c r="C16" i="1"/>
  <c r="C14" i="1"/>
  <c r="K81" i="1"/>
  <c r="O52" i="1"/>
  <c r="S25" i="1"/>
  <c r="S59" i="1"/>
  <c r="M52" i="1"/>
  <c r="U14" i="1"/>
  <c r="U10" i="1"/>
  <c r="U16" i="1"/>
  <c r="U8" i="1"/>
  <c r="U9" i="1"/>
  <c r="U52" i="1"/>
  <c r="E37" i="1"/>
  <c r="E38" i="1"/>
  <c r="E39" i="1"/>
  <c r="I15" i="1"/>
  <c r="D79" i="1"/>
  <c r="Q14" i="1"/>
  <c r="Q16" i="1"/>
  <c r="Q9" i="1"/>
  <c r="Q10" i="1"/>
  <c r="Q8" i="1"/>
  <c r="O65" i="1"/>
  <c r="S74" i="1"/>
  <c r="S76" i="1"/>
  <c r="P66" i="1"/>
  <c r="U34" i="1"/>
  <c r="V61" i="1"/>
  <c r="V80" i="1" s="1"/>
  <c r="P75" i="1"/>
  <c r="P76" i="1" s="1"/>
  <c r="W75" i="1"/>
  <c r="W76" i="1" s="1"/>
  <c r="J81" i="1"/>
  <c r="P77" i="1"/>
  <c r="W28" i="1"/>
  <c r="W29" i="1"/>
  <c r="I37" i="1"/>
  <c r="I38" i="1"/>
  <c r="P29" i="1"/>
  <c r="P28" i="1"/>
  <c r="W69" i="1"/>
  <c r="W68" i="1"/>
  <c r="P9" i="1"/>
  <c r="P38" i="1"/>
  <c r="H83" i="1"/>
  <c r="L83" i="1"/>
  <c r="W30" i="1"/>
  <c r="W63" i="1"/>
  <c r="W25" i="1"/>
  <c r="I51" i="1"/>
  <c r="I42" i="1"/>
  <c r="I33" i="1"/>
  <c r="I24" i="1"/>
  <c r="P30" i="1"/>
  <c r="W70" i="1"/>
  <c r="P14" i="1"/>
  <c r="I39" i="1"/>
  <c r="B35" i="1"/>
  <c r="V26" i="13"/>
  <c r="U26" i="13"/>
  <c r="T26" i="13"/>
  <c r="S26" i="13"/>
  <c r="Q26" i="13"/>
  <c r="O26" i="13"/>
  <c r="N26" i="13"/>
  <c r="M26" i="13"/>
  <c r="L26" i="13"/>
  <c r="K26" i="13"/>
  <c r="J26" i="13"/>
  <c r="H26" i="13"/>
  <c r="G26" i="13"/>
  <c r="F26" i="13"/>
  <c r="E26" i="13"/>
  <c r="D26" i="13"/>
  <c r="C26" i="13"/>
  <c r="V24" i="13"/>
  <c r="U24" i="13"/>
  <c r="T24" i="13"/>
  <c r="S24" i="13"/>
  <c r="R24" i="13"/>
  <c r="Q24" i="13"/>
  <c r="O24" i="13"/>
  <c r="N24" i="13"/>
  <c r="M24" i="13"/>
  <c r="L24" i="13"/>
  <c r="K24" i="13"/>
  <c r="J24" i="13"/>
  <c r="G24" i="13"/>
  <c r="F24" i="13"/>
  <c r="E24" i="13"/>
  <c r="D24" i="13"/>
  <c r="C24" i="13"/>
  <c r="V22" i="13"/>
  <c r="U22" i="13"/>
  <c r="T22" i="13"/>
  <c r="S22" i="13"/>
  <c r="Q22" i="13"/>
  <c r="O22" i="13"/>
  <c r="N22" i="13"/>
  <c r="M22" i="13"/>
  <c r="L22" i="13"/>
  <c r="K22" i="13"/>
  <c r="J22" i="13"/>
  <c r="H22" i="13"/>
  <c r="G22" i="13"/>
  <c r="F22" i="13"/>
  <c r="E22" i="13"/>
  <c r="D22" i="13"/>
  <c r="C22" i="13"/>
  <c r="V20" i="13"/>
  <c r="U20" i="13"/>
  <c r="T20" i="13"/>
  <c r="S20" i="13"/>
  <c r="R20" i="13"/>
  <c r="Q20" i="13"/>
  <c r="O20" i="13"/>
  <c r="N20" i="13"/>
  <c r="M20" i="13"/>
  <c r="L20" i="13"/>
  <c r="K20" i="13"/>
  <c r="J20" i="13"/>
  <c r="H20" i="13"/>
  <c r="G20" i="13"/>
  <c r="F20" i="13"/>
  <c r="E20" i="13"/>
  <c r="D20" i="13"/>
  <c r="C20" i="13"/>
  <c r="V18" i="13"/>
  <c r="U18" i="13"/>
  <c r="T18" i="13"/>
  <c r="S18" i="13"/>
  <c r="Q18" i="13"/>
  <c r="O18" i="13"/>
  <c r="N18" i="13"/>
  <c r="M18" i="13"/>
  <c r="L18" i="13"/>
  <c r="K18" i="13"/>
  <c r="J18" i="13"/>
  <c r="H18" i="13"/>
  <c r="G18" i="13"/>
  <c r="F18" i="13"/>
  <c r="E18" i="13"/>
  <c r="D18" i="13"/>
  <c r="C18" i="13"/>
  <c r="V16" i="13"/>
  <c r="U16" i="13"/>
  <c r="T16" i="13"/>
  <c r="S16" i="13"/>
  <c r="R16" i="13"/>
  <c r="Q16" i="13"/>
  <c r="O16" i="13"/>
  <c r="N16" i="13"/>
  <c r="M16" i="13"/>
  <c r="L16" i="13"/>
  <c r="K16" i="13"/>
  <c r="J16" i="13"/>
  <c r="H16" i="13"/>
  <c r="G16" i="13"/>
  <c r="F16" i="13"/>
  <c r="E16" i="13"/>
  <c r="D16" i="13"/>
  <c r="C16" i="13"/>
  <c r="V14" i="13"/>
  <c r="U14" i="13"/>
  <c r="T14" i="13"/>
  <c r="S14" i="13"/>
  <c r="Q14" i="13"/>
  <c r="O14" i="13"/>
  <c r="N14" i="13"/>
  <c r="M14" i="13"/>
  <c r="L14" i="13"/>
  <c r="K14" i="13"/>
  <c r="J14" i="13"/>
  <c r="H14" i="13"/>
  <c r="G14" i="13"/>
  <c r="F14" i="13"/>
  <c r="E14" i="13"/>
  <c r="D14" i="13"/>
  <c r="C14" i="13"/>
  <c r="V12" i="13"/>
  <c r="U12" i="13"/>
  <c r="T12" i="13"/>
  <c r="S12" i="13"/>
  <c r="R12" i="13"/>
  <c r="Q12" i="13"/>
  <c r="O12" i="13"/>
  <c r="N12" i="13"/>
  <c r="M12" i="13"/>
  <c r="L12" i="13"/>
  <c r="K12" i="13"/>
  <c r="J12" i="13"/>
  <c r="H12" i="13"/>
  <c r="G12" i="13"/>
  <c r="F12" i="13"/>
  <c r="E12" i="13"/>
  <c r="D12" i="13"/>
  <c r="C12" i="13"/>
  <c r="V31" i="13"/>
  <c r="U31" i="13"/>
  <c r="T31" i="13"/>
  <c r="S31" i="13"/>
  <c r="Q31" i="13"/>
  <c r="O31" i="13"/>
  <c r="N31" i="13"/>
  <c r="M31" i="13"/>
  <c r="L31" i="13"/>
  <c r="K31" i="13"/>
  <c r="J31" i="13"/>
  <c r="H31" i="13"/>
  <c r="G31" i="13"/>
  <c r="F31" i="13"/>
  <c r="E31" i="13"/>
  <c r="D31" i="13"/>
  <c r="C31" i="13"/>
  <c r="V30" i="13"/>
  <c r="U30" i="13"/>
  <c r="T30" i="13"/>
  <c r="S30" i="13"/>
  <c r="R30" i="13"/>
  <c r="Q30" i="13"/>
  <c r="O30" i="13"/>
  <c r="N30" i="13"/>
  <c r="M30" i="13"/>
  <c r="L30" i="13"/>
  <c r="K30" i="13"/>
  <c r="J30" i="13"/>
  <c r="H30" i="13"/>
  <c r="G30" i="13"/>
  <c r="F30" i="13"/>
  <c r="E30" i="13"/>
  <c r="D30" i="13"/>
  <c r="C30" i="13"/>
  <c r="V8" i="13"/>
  <c r="U8" i="13"/>
  <c r="T8" i="13"/>
  <c r="S8" i="13"/>
  <c r="Q8" i="13"/>
  <c r="O8" i="13"/>
  <c r="N8" i="13"/>
  <c r="M8" i="13"/>
  <c r="L8" i="13"/>
  <c r="K8" i="13"/>
  <c r="J8" i="13"/>
  <c r="H8" i="13"/>
  <c r="G8" i="13"/>
  <c r="F8" i="13"/>
  <c r="E8" i="13"/>
  <c r="D8" i="13"/>
  <c r="C8" i="13"/>
  <c r="V6" i="13"/>
  <c r="U6" i="13"/>
  <c r="T6" i="13"/>
  <c r="S6" i="13"/>
  <c r="Q6" i="13"/>
  <c r="O6" i="13"/>
  <c r="N6" i="13"/>
  <c r="M6" i="13"/>
  <c r="L6" i="13"/>
  <c r="K6" i="13"/>
  <c r="J6" i="13"/>
  <c r="H6" i="13"/>
  <c r="G6" i="13"/>
  <c r="F6" i="13"/>
  <c r="E6" i="13"/>
  <c r="D6" i="13"/>
  <c r="C6" i="13"/>
  <c r="H24" i="13"/>
  <c r="K83" i="1" l="1"/>
  <c r="M83" i="1"/>
  <c r="D83" i="1"/>
  <c r="P34" i="1"/>
  <c r="W51" i="1"/>
  <c r="N83" i="1"/>
  <c r="P21" i="1"/>
  <c r="P60" i="1"/>
  <c r="O83" i="1"/>
  <c r="I80" i="1"/>
  <c r="P25" i="1"/>
  <c r="W52" i="1"/>
  <c r="I52" i="1"/>
  <c r="I56" i="1"/>
  <c r="W59" i="1"/>
  <c r="I81" i="1"/>
  <c r="G83" i="1"/>
  <c r="W60" i="1"/>
  <c r="I43" i="1"/>
  <c r="I16" i="1"/>
  <c r="B75" i="1"/>
  <c r="B76" i="1" s="1"/>
  <c r="W21" i="1"/>
  <c r="W34" i="1"/>
  <c r="P81" i="1"/>
  <c r="P16" i="1"/>
  <c r="I60" i="1"/>
  <c r="V83" i="1"/>
  <c r="U83" i="1"/>
  <c r="W39" i="1"/>
  <c r="I55" i="1"/>
  <c r="E83" i="1"/>
  <c r="B53" i="1"/>
  <c r="W37" i="1"/>
  <c r="B36" i="1"/>
  <c r="B37" i="1" s="1"/>
  <c r="I79" i="1"/>
  <c r="P59" i="1"/>
  <c r="I59" i="1"/>
  <c r="P61" i="1"/>
  <c r="P10" i="1"/>
  <c r="I30" i="1"/>
  <c r="P51" i="1"/>
  <c r="P57" i="1"/>
  <c r="W24" i="1"/>
  <c r="I28" i="1"/>
  <c r="P79" i="1"/>
  <c r="W33" i="1"/>
  <c r="P39" i="1"/>
  <c r="I29" i="1"/>
  <c r="P52" i="1"/>
  <c r="B64" i="1"/>
  <c r="B65" i="1" s="1"/>
  <c r="B73" i="1"/>
  <c r="B74" i="1" s="1"/>
  <c r="B44" i="1"/>
  <c r="B26" i="1"/>
  <c r="B25" i="1" s="1"/>
  <c r="B54" i="1"/>
  <c r="I47" i="1"/>
  <c r="P47" i="1"/>
  <c r="P68" i="1"/>
  <c r="W46" i="1"/>
  <c r="P42" i="1"/>
  <c r="W43" i="1"/>
  <c r="F83" i="1"/>
  <c r="P69" i="1"/>
  <c r="P43" i="1"/>
  <c r="I21" i="1"/>
  <c r="I14" i="1"/>
  <c r="J80" i="1"/>
  <c r="P80" i="1" s="1"/>
  <c r="I46" i="1"/>
  <c r="P46" i="1"/>
  <c r="I8" i="1"/>
  <c r="P56" i="1"/>
  <c r="B22" i="1"/>
  <c r="W48" i="1"/>
  <c r="P24" i="1"/>
  <c r="I68" i="1"/>
  <c r="I70" i="1"/>
  <c r="B19" i="1"/>
  <c r="I10" i="1"/>
  <c r="I61" i="1"/>
  <c r="B45" i="1"/>
  <c r="B46" i="1" s="1"/>
  <c r="W42" i="1"/>
  <c r="I69" i="1"/>
  <c r="Q83" i="1"/>
  <c r="B28" i="1"/>
  <c r="B29" i="1"/>
  <c r="B68" i="1"/>
  <c r="B69" i="1"/>
  <c r="C83" i="1"/>
  <c r="B70" i="1"/>
  <c r="B30" i="1"/>
  <c r="V85" i="9"/>
  <c r="U85" i="9"/>
  <c r="T85" i="9"/>
  <c r="S85" i="9"/>
  <c r="Q85" i="9"/>
  <c r="O85" i="9"/>
  <c r="N85" i="9"/>
  <c r="M85" i="9"/>
  <c r="L85" i="9"/>
  <c r="K85" i="9"/>
  <c r="J85" i="9"/>
  <c r="H85" i="9"/>
  <c r="G85" i="9"/>
  <c r="F85" i="9"/>
  <c r="E85" i="9"/>
  <c r="D85" i="9"/>
  <c r="C85" i="9"/>
  <c r="V83" i="9"/>
  <c r="U83" i="9"/>
  <c r="T83" i="9"/>
  <c r="S83" i="9"/>
  <c r="R83" i="9"/>
  <c r="Q83" i="9"/>
  <c r="O83" i="9"/>
  <c r="N83" i="9"/>
  <c r="M83" i="9"/>
  <c r="L83" i="9"/>
  <c r="K83" i="9"/>
  <c r="J83" i="9"/>
  <c r="H83" i="9"/>
  <c r="G83" i="9"/>
  <c r="F83" i="9"/>
  <c r="E83" i="9"/>
  <c r="D83" i="9"/>
  <c r="C83" i="9"/>
  <c r="V78" i="9"/>
  <c r="U78" i="9"/>
  <c r="T78" i="9"/>
  <c r="S78" i="9"/>
  <c r="Q78" i="9"/>
  <c r="O78" i="9"/>
  <c r="N78" i="9"/>
  <c r="M78" i="9"/>
  <c r="L78" i="9"/>
  <c r="K78" i="9"/>
  <c r="J78" i="9"/>
  <c r="H78" i="9"/>
  <c r="G78" i="9"/>
  <c r="F78" i="9"/>
  <c r="E78" i="9"/>
  <c r="D78" i="9"/>
  <c r="C78" i="9"/>
  <c r="Q75" i="9"/>
  <c r="N75" i="9"/>
  <c r="V74" i="9"/>
  <c r="V76" i="9" s="1"/>
  <c r="U74" i="9"/>
  <c r="U75" i="9" s="1"/>
  <c r="T74" i="9"/>
  <c r="T75" i="9" s="1"/>
  <c r="S74" i="9"/>
  <c r="S75" i="9" s="1"/>
  <c r="R74" i="9"/>
  <c r="R75" i="9" s="1"/>
  <c r="Q74" i="9"/>
  <c r="Q76" i="9" s="1"/>
  <c r="O74" i="9"/>
  <c r="O76" i="9" s="1"/>
  <c r="N74" i="9"/>
  <c r="N76" i="9" s="1"/>
  <c r="M74" i="9"/>
  <c r="M75" i="9" s="1"/>
  <c r="L74" i="9"/>
  <c r="L75" i="9" s="1"/>
  <c r="K74" i="9"/>
  <c r="K75" i="9" s="1"/>
  <c r="J74" i="9"/>
  <c r="J75" i="9" s="1"/>
  <c r="H74" i="9"/>
  <c r="H75" i="9" s="1"/>
  <c r="G74" i="9"/>
  <c r="G76" i="9" s="1"/>
  <c r="F74" i="9"/>
  <c r="F76" i="9" s="1"/>
  <c r="E74" i="9"/>
  <c r="E75" i="9" s="1"/>
  <c r="D74" i="9"/>
  <c r="D75" i="9" s="1"/>
  <c r="C74" i="9"/>
  <c r="C75" i="9" s="1"/>
  <c r="V73" i="9"/>
  <c r="U73" i="9"/>
  <c r="T73" i="9"/>
  <c r="S73" i="9"/>
  <c r="R73" i="9"/>
  <c r="Q73" i="9"/>
  <c r="O73" i="9"/>
  <c r="N73" i="9"/>
  <c r="M73" i="9"/>
  <c r="L73" i="9"/>
  <c r="K73" i="9"/>
  <c r="J73" i="9"/>
  <c r="H73" i="9"/>
  <c r="G73" i="9"/>
  <c r="F73" i="9"/>
  <c r="E73" i="9"/>
  <c r="D73" i="9"/>
  <c r="C73" i="9"/>
  <c r="V71" i="9"/>
  <c r="U71" i="9"/>
  <c r="T71" i="9"/>
  <c r="S71" i="9"/>
  <c r="R71" i="9"/>
  <c r="Q71" i="9"/>
  <c r="O71" i="9"/>
  <c r="N71" i="9"/>
  <c r="M71" i="9"/>
  <c r="L71" i="9"/>
  <c r="K71" i="9"/>
  <c r="J71" i="9"/>
  <c r="H71" i="9"/>
  <c r="G71" i="9"/>
  <c r="F71" i="9"/>
  <c r="E71" i="9"/>
  <c r="D71" i="9"/>
  <c r="C71" i="9"/>
  <c r="V65" i="9"/>
  <c r="U65" i="9"/>
  <c r="T65" i="9"/>
  <c r="S65" i="9"/>
  <c r="Q65" i="9"/>
  <c r="O65" i="9"/>
  <c r="N65" i="9"/>
  <c r="M65" i="9"/>
  <c r="L65" i="9"/>
  <c r="K65" i="9"/>
  <c r="J65" i="9"/>
  <c r="H65" i="9"/>
  <c r="G65" i="9"/>
  <c r="F65" i="9"/>
  <c r="E65" i="9"/>
  <c r="D65" i="9"/>
  <c r="C65" i="9"/>
  <c r="T63" i="9"/>
  <c r="S63" i="9"/>
  <c r="O63" i="9"/>
  <c r="G63" i="9"/>
  <c r="T62" i="9"/>
  <c r="S62" i="9"/>
  <c r="V61" i="9"/>
  <c r="V62" i="9" s="1"/>
  <c r="U61" i="9"/>
  <c r="U63" i="9" s="1"/>
  <c r="T61" i="9"/>
  <c r="S61" i="9"/>
  <c r="R61" i="9"/>
  <c r="Q61" i="9"/>
  <c r="Q62" i="9" s="1"/>
  <c r="O61" i="9"/>
  <c r="O62" i="9" s="1"/>
  <c r="N61" i="9"/>
  <c r="N62" i="9" s="1"/>
  <c r="M61" i="9"/>
  <c r="M63" i="9" s="1"/>
  <c r="L61" i="9"/>
  <c r="L63" i="9" s="1"/>
  <c r="K61" i="9"/>
  <c r="K63" i="9" s="1"/>
  <c r="J61" i="9"/>
  <c r="J62" i="9" s="1"/>
  <c r="H61" i="9"/>
  <c r="H62" i="9" s="1"/>
  <c r="G61" i="9"/>
  <c r="G62" i="9" s="1"/>
  <c r="F61" i="9"/>
  <c r="F62" i="9" s="1"/>
  <c r="E61" i="9"/>
  <c r="E62" i="9" s="1"/>
  <c r="D61" i="9"/>
  <c r="D63" i="9" s="1"/>
  <c r="C61" i="9"/>
  <c r="C63" i="9" s="1"/>
  <c r="V60" i="9"/>
  <c r="U60" i="9"/>
  <c r="T60" i="9"/>
  <c r="S60" i="9"/>
  <c r="R60" i="9"/>
  <c r="Q60" i="9"/>
  <c r="O60" i="9"/>
  <c r="N60" i="9"/>
  <c r="M60" i="9"/>
  <c r="L60" i="9"/>
  <c r="K60" i="9"/>
  <c r="J60" i="9"/>
  <c r="H60" i="9"/>
  <c r="G60" i="9"/>
  <c r="F60" i="9"/>
  <c r="E60" i="9"/>
  <c r="D60" i="9"/>
  <c r="C60" i="9"/>
  <c r="V56" i="9"/>
  <c r="U56" i="9"/>
  <c r="T56" i="9"/>
  <c r="S56" i="9"/>
  <c r="Q56" i="9"/>
  <c r="O56" i="9"/>
  <c r="N56" i="9"/>
  <c r="M56" i="9"/>
  <c r="L56" i="9"/>
  <c r="K56" i="9"/>
  <c r="J56" i="9"/>
  <c r="H56" i="9"/>
  <c r="G56" i="9"/>
  <c r="F56" i="9"/>
  <c r="E56" i="9"/>
  <c r="D56" i="9"/>
  <c r="C56" i="9"/>
  <c r="U54" i="9"/>
  <c r="N54" i="9"/>
  <c r="C54" i="9"/>
  <c r="N53" i="9"/>
  <c r="L53" i="9"/>
  <c r="V52" i="9"/>
  <c r="V53" i="9" s="1"/>
  <c r="U52" i="9"/>
  <c r="U53" i="9" s="1"/>
  <c r="T52" i="9"/>
  <c r="T54" i="9" s="1"/>
  <c r="S52" i="9"/>
  <c r="S53" i="9" s="1"/>
  <c r="R52" i="9"/>
  <c r="R53" i="9" s="1"/>
  <c r="Q52" i="9"/>
  <c r="Q53" i="9" s="1"/>
  <c r="O52" i="9"/>
  <c r="O54" i="9" s="1"/>
  <c r="N52" i="9"/>
  <c r="M52" i="9"/>
  <c r="M54" i="9" s="1"/>
  <c r="L52" i="9"/>
  <c r="L54" i="9" s="1"/>
  <c r="K52" i="9"/>
  <c r="K53" i="9" s="1"/>
  <c r="J52" i="9"/>
  <c r="J53" i="9" s="1"/>
  <c r="H52" i="9"/>
  <c r="H53" i="9" s="1"/>
  <c r="G52" i="9"/>
  <c r="G53" i="9" s="1"/>
  <c r="F52" i="9"/>
  <c r="F53" i="9" s="1"/>
  <c r="E52" i="9"/>
  <c r="E53" i="9" s="1"/>
  <c r="D52" i="9"/>
  <c r="D54" i="9" s="1"/>
  <c r="C52" i="9"/>
  <c r="C53" i="9" s="1"/>
  <c r="V51" i="9"/>
  <c r="U51" i="9"/>
  <c r="T51" i="9"/>
  <c r="S51" i="9"/>
  <c r="R51" i="9"/>
  <c r="Q51" i="9"/>
  <c r="O51" i="9"/>
  <c r="N51" i="9"/>
  <c r="M51" i="9"/>
  <c r="L51" i="9"/>
  <c r="K51" i="9"/>
  <c r="J51" i="9"/>
  <c r="H51" i="9"/>
  <c r="G51" i="9"/>
  <c r="F51" i="9"/>
  <c r="E51" i="9"/>
  <c r="D51" i="9"/>
  <c r="C51" i="9"/>
  <c r="V47" i="9"/>
  <c r="U47" i="9"/>
  <c r="T47" i="9"/>
  <c r="S47" i="9"/>
  <c r="Q47" i="9"/>
  <c r="O47" i="9"/>
  <c r="N47" i="9"/>
  <c r="M47" i="9"/>
  <c r="L47" i="9"/>
  <c r="K47" i="9"/>
  <c r="J47" i="9"/>
  <c r="H47" i="9"/>
  <c r="G47" i="9"/>
  <c r="F47" i="9"/>
  <c r="E47" i="9"/>
  <c r="D47" i="9"/>
  <c r="C47" i="9"/>
  <c r="G45" i="9"/>
  <c r="C45" i="9"/>
  <c r="Q44" i="9"/>
  <c r="V43" i="9"/>
  <c r="V45" i="9" s="1"/>
  <c r="U43" i="9"/>
  <c r="U44" i="9" s="1"/>
  <c r="T43" i="9"/>
  <c r="T44" i="9" s="1"/>
  <c r="S43" i="9"/>
  <c r="S44" i="9" s="1"/>
  <c r="R43" i="9"/>
  <c r="R44" i="9" s="1"/>
  <c r="Q43" i="9"/>
  <c r="Q45" i="9" s="1"/>
  <c r="O43" i="9"/>
  <c r="O45" i="9" s="1"/>
  <c r="N43" i="9"/>
  <c r="N45" i="9" s="1"/>
  <c r="M43" i="9"/>
  <c r="M44" i="9" s="1"/>
  <c r="L43" i="9"/>
  <c r="L44" i="9" s="1"/>
  <c r="K43" i="9"/>
  <c r="K44" i="9" s="1"/>
  <c r="J43" i="9"/>
  <c r="J44" i="9" s="1"/>
  <c r="H43" i="9"/>
  <c r="H44" i="9" s="1"/>
  <c r="G43" i="9"/>
  <c r="G44" i="9" s="1"/>
  <c r="F43" i="9"/>
  <c r="F45" i="9" s="1"/>
  <c r="E43" i="9"/>
  <c r="E44" i="9" s="1"/>
  <c r="D43" i="9"/>
  <c r="D44" i="9" s="1"/>
  <c r="C43" i="9"/>
  <c r="C44" i="9" s="1"/>
  <c r="V42" i="9"/>
  <c r="U42" i="9"/>
  <c r="T42" i="9"/>
  <c r="S42" i="9"/>
  <c r="R42" i="9"/>
  <c r="Q42" i="9"/>
  <c r="O42" i="9"/>
  <c r="N42" i="9"/>
  <c r="M42" i="9"/>
  <c r="L42" i="9"/>
  <c r="K42" i="9"/>
  <c r="J42" i="9"/>
  <c r="H42" i="9"/>
  <c r="G42" i="9"/>
  <c r="F42" i="9"/>
  <c r="E42" i="9"/>
  <c r="D42" i="9"/>
  <c r="C42" i="9"/>
  <c r="V38" i="9"/>
  <c r="U38" i="9"/>
  <c r="T38" i="9"/>
  <c r="S38" i="9"/>
  <c r="Q38" i="9"/>
  <c r="O38" i="9"/>
  <c r="N38" i="9"/>
  <c r="M38" i="9"/>
  <c r="L38" i="9"/>
  <c r="K38" i="9"/>
  <c r="J38" i="9"/>
  <c r="H38" i="9"/>
  <c r="G38" i="9"/>
  <c r="F38" i="9"/>
  <c r="E38" i="9"/>
  <c r="D38" i="9"/>
  <c r="C38" i="9"/>
  <c r="S36" i="9"/>
  <c r="Q36" i="9"/>
  <c r="J36" i="9"/>
  <c r="G36" i="9"/>
  <c r="Q35" i="9"/>
  <c r="J35" i="9"/>
  <c r="V34" i="9"/>
  <c r="V35" i="9" s="1"/>
  <c r="U34" i="9"/>
  <c r="U35" i="9" s="1"/>
  <c r="T34" i="9"/>
  <c r="T35" i="9" s="1"/>
  <c r="S34" i="9"/>
  <c r="S35" i="9" s="1"/>
  <c r="R34" i="9"/>
  <c r="R35" i="9" s="1"/>
  <c r="Q34" i="9"/>
  <c r="O34" i="9"/>
  <c r="O35" i="9" s="1"/>
  <c r="N34" i="9"/>
  <c r="N35" i="9" s="1"/>
  <c r="M34" i="9"/>
  <c r="M35" i="9" s="1"/>
  <c r="L34" i="9"/>
  <c r="L35" i="9" s="1"/>
  <c r="K34" i="9"/>
  <c r="K36" i="9" s="1"/>
  <c r="J34" i="9"/>
  <c r="H34" i="9"/>
  <c r="H36" i="9" s="1"/>
  <c r="G34" i="9"/>
  <c r="G35" i="9" s="1"/>
  <c r="F34" i="9"/>
  <c r="F35" i="9" s="1"/>
  <c r="E34" i="9"/>
  <c r="E35" i="9" s="1"/>
  <c r="D34" i="9"/>
  <c r="D35" i="9" s="1"/>
  <c r="C34" i="9"/>
  <c r="C35" i="9" s="1"/>
  <c r="V33" i="9"/>
  <c r="U33" i="9"/>
  <c r="T33" i="9"/>
  <c r="S33" i="9"/>
  <c r="R33" i="9"/>
  <c r="Q33" i="9"/>
  <c r="O33" i="9"/>
  <c r="N33" i="9"/>
  <c r="M33" i="9"/>
  <c r="L33" i="9"/>
  <c r="K33" i="9"/>
  <c r="J33" i="9"/>
  <c r="H33" i="9"/>
  <c r="G33" i="9"/>
  <c r="F33" i="9"/>
  <c r="E33" i="9"/>
  <c r="D33" i="9"/>
  <c r="C33" i="9"/>
  <c r="V29" i="9"/>
  <c r="U29" i="9"/>
  <c r="T29" i="9"/>
  <c r="S29" i="9"/>
  <c r="Q29" i="9"/>
  <c r="O29" i="9"/>
  <c r="N29" i="9"/>
  <c r="M29" i="9"/>
  <c r="L29" i="9"/>
  <c r="K29" i="9"/>
  <c r="J29" i="9"/>
  <c r="H29" i="9"/>
  <c r="G29" i="9"/>
  <c r="F29" i="9"/>
  <c r="E29" i="9"/>
  <c r="D29" i="9"/>
  <c r="C29" i="9"/>
  <c r="U27" i="9"/>
  <c r="S27" i="9"/>
  <c r="O27" i="9"/>
  <c r="L27" i="9"/>
  <c r="U26" i="9"/>
  <c r="Q26" i="9"/>
  <c r="M26" i="9"/>
  <c r="V25" i="9"/>
  <c r="V26" i="9" s="1"/>
  <c r="U25" i="9"/>
  <c r="T25" i="9"/>
  <c r="T26" i="9" s="1"/>
  <c r="S25" i="9"/>
  <c r="S26" i="9" s="1"/>
  <c r="R25" i="9"/>
  <c r="R27" i="9" s="1"/>
  <c r="Q25" i="9"/>
  <c r="Q27" i="9" s="1"/>
  <c r="O25" i="9"/>
  <c r="O26" i="9" s="1"/>
  <c r="N25" i="9"/>
  <c r="N26" i="9" s="1"/>
  <c r="M25" i="9"/>
  <c r="M27" i="9" s="1"/>
  <c r="L25" i="9"/>
  <c r="L26" i="9" s="1"/>
  <c r="K25" i="9"/>
  <c r="K27" i="9" s="1"/>
  <c r="J25" i="9"/>
  <c r="J27" i="9" s="1"/>
  <c r="H25" i="9"/>
  <c r="H26" i="9" s="1"/>
  <c r="G25" i="9"/>
  <c r="G26" i="9" s="1"/>
  <c r="F25" i="9"/>
  <c r="F26" i="9" s="1"/>
  <c r="E25" i="9"/>
  <c r="E26" i="9" s="1"/>
  <c r="D25" i="9"/>
  <c r="D26" i="9" s="1"/>
  <c r="C25" i="9"/>
  <c r="C27" i="9" s="1"/>
  <c r="V24" i="9"/>
  <c r="U24" i="9"/>
  <c r="T24" i="9"/>
  <c r="T66" i="9" s="1"/>
  <c r="S24" i="9"/>
  <c r="R24" i="9"/>
  <c r="Q24" i="9"/>
  <c r="O24" i="9"/>
  <c r="N24" i="9"/>
  <c r="M24" i="9"/>
  <c r="L24" i="9"/>
  <c r="K24" i="9"/>
  <c r="J24" i="9"/>
  <c r="H24" i="9"/>
  <c r="G24" i="9"/>
  <c r="F24" i="9"/>
  <c r="F66" i="9" s="1"/>
  <c r="E24" i="9"/>
  <c r="D24" i="9"/>
  <c r="C24" i="9"/>
  <c r="V19" i="9"/>
  <c r="U19" i="9"/>
  <c r="T19" i="9"/>
  <c r="S19" i="9"/>
  <c r="R19" i="9"/>
  <c r="Q19" i="9"/>
  <c r="O19" i="9"/>
  <c r="N19" i="9"/>
  <c r="M19" i="9"/>
  <c r="L19" i="9"/>
  <c r="K19" i="9"/>
  <c r="J19" i="9"/>
  <c r="J31" i="9" s="1"/>
  <c r="H19" i="9"/>
  <c r="H22" i="9" s="1"/>
  <c r="G19" i="9"/>
  <c r="F19" i="9"/>
  <c r="E19" i="9"/>
  <c r="D19" i="9"/>
  <c r="C19" i="9"/>
  <c r="V15" i="9"/>
  <c r="U15" i="9"/>
  <c r="T15" i="9"/>
  <c r="S15" i="9"/>
  <c r="Q15" i="9"/>
  <c r="O15" i="9"/>
  <c r="N15" i="9"/>
  <c r="M15" i="9"/>
  <c r="L15" i="9"/>
  <c r="K15" i="9"/>
  <c r="J15" i="9"/>
  <c r="H15" i="9"/>
  <c r="G15" i="9"/>
  <c r="F15" i="9"/>
  <c r="E15" i="9"/>
  <c r="D15" i="9"/>
  <c r="C15" i="9"/>
  <c r="V11" i="9"/>
  <c r="V87" i="9" s="1"/>
  <c r="U11" i="9"/>
  <c r="T11" i="9"/>
  <c r="T87" i="9" s="1"/>
  <c r="S11" i="9"/>
  <c r="Q11" i="9"/>
  <c r="O11" i="9"/>
  <c r="N11" i="9"/>
  <c r="M11" i="9"/>
  <c r="M87" i="9" s="1"/>
  <c r="L11" i="9"/>
  <c r="K11" i="9"/>
  <c r="J11" i="9"/>
  <c r="H11" i="9"/>
  <c r="H87" i="9" s="1"/>
  <c r="G11" i="9"/>
  <c r="F11" i="9"/>
  <c r="F87" i="9" s="1"/>
  <c r="E11" i="9"/>
  <c r="D11" i="9"/>
  <c r="C11" i="9"/>
  <c r="M9" i="9"/>
  <c r="J9" i="9"/>
  <c r="H8" i="9"/>
  <c r="V7" i="9"/>
  <c r="V8" i="9" s="1"/>
  <c r="U7" i="9"/>
  <c r="U10" i="9" s="1"/>
  <c r="T7" i="9"/>
  <c r="T10" i="9" s="1"/>
  <c r="S7" i="9"/>
  <c r="S8" i="9" s="1"/>
  <c r="Q7" i="9"/>
  <c r="Q8" i="9" s="1"/>
  <c r="O7" i="9"/>
  <c r="O9" i="9" s="1"/>
  <c r="N7" i="9"/>
  <c r="N8" i="9" s="1"/>
  <c r="M7" i="9"/>
  <c r="M8" i="9" s="1"/>
  <c r="L7" i="9"/>
  <c r="L8" i="9" s="1"/>
  <c r="K7" i="9"/>
  <c r="K10" i="9" s="1"/>
  <c r="J7" i="9"/>
  <c r="J8" i="9" s="1"/>
  <c r="H7" i="9"/>
  <c r="H9" i="9" s="1"/>
  <c r="G7" i="9"/>
  <c r="G8" i="9" s="1"/>
  <c r="F7" i="9"/>
  <c r="F8" i="9" s="1"/>
  <c r="E7" i="9"/>
  <c r="E8" i="9" s="1"/>
  <c r="D7" i="9"/>
  <c r="D8" i="9" s="1"/>
  <c r="C7" i="9"/>
  <c r="C16" i="9" s="1"/>
  <c r="U5" i="9"/>
  <c r="T5" i="9"/>
  <c r="S5" i="9"/>
  <c r="R5" i="9"/>
  <c r="Q5" i="9"/>
  <c r="N5" i="9"/>
  <c r="M5" i="9"/>
  <c r="L5" i="9"/>
  <c r="K5" i="9"/>
  <c r="J5" i="9"/>
  <c r="G5" i="9"/>
  <c r="F5" i="9"/>
  <c r="E5" i="9"/>
  <c r="D5" i="9"/>
  <c r="C5" i="9"/>
  <c r="T89" i="9"/>
  <c r="L89" i="9"/>
  <c r="D89" i="9"/>
  <c r="V89" i="9"/>
  <c r="U89" i="9"/>
  <c r="S89" i="9"/>
  <c r="O89" i="9"/>
  <c r="N89" i="9"/>
  <c r="M89" i="9"/>
  <c r="K89" i="9"/>
  <c r="J89" i="9"/>
  <c r="H89" i="9"/>
  <c r="G89" i="9"/>
  <c r="F89" i="9"/>
  <c r="E89" i="9"/>
  <c r="C89" i="9"/>
  <c r="W83" i="9"/>
  <c r="P83" i="9"/>
  <c r="P84" i="9" s="1"/>
  <c r="I83" i="9"/>
  <c r="U82" i="9"/>
  <c r="S82" i="9"/>
  <c r="M82" i="9"/>
  <c r="K82" i="9"/>
  <c r="C82" i="9"/>
  <c r="V82" i="9"/>
  <c r="U84" i="9"/>
  <c r="T84" i="9"/>
  <c r="S84" i="9"/>
  <c r="R84" i="9"/>
  <c r="Q82" i="9"/>
  <c r="O82" i="9"/>
  <c r="N82" i="9"/>
  <c r="M84" i="9"/>
  <c r="L84" i="9"/>
  <c r="K84" i="9"/>
  <c r="J84" i="9"/>
  <c r="I81" i="9"/>
  <c r="H82" i="9"/>
  <c r="G82" i="9"/>
  <c r="F82" i="9"/>
  <c r="E84" i="9"/>
  <c r="D84" i="9"/>
  <c r="C84" i="9"/>
  <c r="V77" i="9"/>
  <c r="S77" i="9"/>
  <c r="N77" i="9"/>
  <c r="F77" i="9"/>
  <c r="T77" i="9"/>
  <c r="Q77" i="9"/>
  <c r="L77" i="9"/>
  <c r="H77" i="9"/>
  <c r="D77" i="9"/>
  <c r="S72" i="9"/>
  <c r="W73" i="9"/>
  <c r="P73" i="9"/>
  <c r="F72" i="9"/>
  <c r="I73" i="9"/>
  <c r="V72" i="9"/>
  <c r="T72" i="9"/>
  <c r="Q72" i="9"/>
  <c r="N72" i="9"/>
  <c r="K72" i="9"/>
  <c r="W71" i="9"/>
  <c r="W72" i="9" s="1"/>
  <c r="U72" i="9"/>
  <c r="R72" i="9"/>
  <c r="O72" i="9"/>
  <c r="M72" i="9"/>
  <c r="L72" i="9"/>
  <c r="J72" i="9"/>
  <c r="H72" i="9"/>
  <c r="G72" i="9"/>
  <c r="E72" i="9"/>
  <c r="D72" i="9"/>
  <c r="K70" i="9"/>
  <c r="P65" i="9"/>
  <c r="I65" i="9"/>
  <c r="V64" i="9"/>
  <c r="S64" i="9"/>
  <c r="N64" i="9"/>
  <c r="K64" i="9"/>
  <c r="F64" i="9"/>
  <c r="C64" i="9"/>
  <c r="T64" i="9"/>
  <c r="Q64" i="9"/>
  <c r="H64" i="9"/>
  <c r="S59" i="9"/>
  <c r="R59" i="9"/>
  <c r="O59" i="9"/>
  <c r="M59" i="9"/>
  <c r="K59" i="9"/>
  <c r="G59" i="9"/>
  <c r="E59" i="9"/>
  <c r="V59" i="9"/>
  <c r="T59" i="9"/>
  <c r="Q59" i="9"/>
  <c r="N59" i="9"/>
  <c r="L59" i="9"/>
  <c r="H59" i="9"/>
  <c r="F59" i="9"/>
  <c r="I56" i="9"/>
  <c r="S55" i="9"/>
  <c r="R55" i="9"/>
  <c r="K55" i="9"/>
  <c r="J55" i="9"/>
  <c r="H55" i="9"/>
  <c r="C55" i="9"/>
  <c r="V55" i="9"/>
  <c r="Q55" i="9"/>
  <c r="N55" i="9"/>
  <c r="R50" i="9"/>
  <c r="W51" i="9"/>
  <c r="P51" i="9"/>
  <c r="H50" i="9"/>
  <c r="G50" i="9"/>
  <c r="C50" i="9"/>
  <c r="V50" i="9"/>
  <c r="T50" i="9"/>
  <c r="S50" i="9"/>
  <c r="Q50" i="9"/>
  <c r="O50" i="9"/>
  <c r="N50" i="9"/>
  <c r="L50" i="9"/>
  <c r="K50" i="9"/>
  <c r="F50" i="9"/>
  <c r="P47" i="9"/>
  <c r="V46" i="9"/>
  <c r="S46" i="9"/>
  <c r="R46" i="9"/>
  <c r="J46" i="9"/>
  <c r="H46" i="9"/>
  <c r="Q46" i="9"/>
  <c r="L46" i="9"/>
  <c r="P43" i="9"/>
  <c r="P44" i="9" s="1"/>
  <c r="D46" i="9"/>
  <c r="C46" i="9"/>
  <c r="U41" i="9"/>
  <c r="S41" i="9"/>
  <c r="R41" i="9"/>
  <c r="W42" i="9"/>
  <c r="N41" i="9"/>
  <c r="M41" i="9"/>
  <c r="K41" i="9"/>
  <c r="J41" i="9"/>
  <c r="F41" i="9"/>
  <c r="E41" i="9"/>
  <c r="C41" i="9"/>
  <c r="V41" i="9"/>
  <c r="T41" i="9"/>
  <c r="Q41" i="9"/>
  <c r="O41" i="9"/>
  <c r="L41" i="9"/>
  <c r="H41" i="9"/>
  <c r="G41" i="9"/>
  <c r="D41" i="9"/>
  <c r="P38" i="9"/>
  <c r="I38" i="9"/>
  <c r="S37" i="9"/>
  <c r="R37" i="9"/>
  <c r="Q37" i="9"/>
  <c r="K37" i="9"/>
  <c r="J37" i="9"/>
  <c r="C37" i="9"/>
  <c r="V37" i="9"/>
  <c r="U37" i="9"/>
  <c r="N37" i="9"/>
  <c r="M37" i="9"/>
  <c r="P34" i="9"/>
  <c r="P36" i="9" s="1"/>
  <c r="F37" i="9"/>
  <c r="E37" i="9"/>
  <c r="V32" i="9"/>
  <c r="U32" i="9"/>
  <c r="S32" i="9"/>
  <c r="R31" i="9"/>
  <c r="W33" i="9"/>
  <c r="N32" i="9"/>
  <c r="M32" i="9"/>
  <c r="K32" i="9"/>
  <c r="F32" i="9"/>
  <c r="E32" i="9"/>
  <c r="D32" i="9"/>
  <c r="T32" i="9"/>
  <c r="Q32" i="9"/>
  <c r="O32" i="9"/>
  <c r="L32" i="9"/>
  <c r="H32" i="9"/>
  <c r="G32" i="9"/>
  <c r="Q31" i="9"/>
  <c r="V68" i="9"/>
  <c r="V88" i="9" s="1"/>
  <c r="U68" i="9"/>
  <c r="U88" i="9" s="1"/>
  <c r="T68" i="9"/>
  <c r="S68" i="9"/>
  <c r="S88" i="9" s="1"/>
  <c r="Q68" i="9"/>
  <c r="O68" i="9"/>
  <c r="N68" i="9"/>
  <c r="N88" i="9" s="1"/>
  <c r="M68" i="9"/>
  <c r="M88" i="9" s="1"/>
  <c r="L68" i="9"/>
  <c r="K68" i="9"/>
  <c r="K88" i="9" s="1"/>
  <c r="J68" i="9"/>
  <c r="H68" i="9"/>
  <c r="H88" i="9" s="1"/>
  <c r="G68" i="9"/>
  <c r="F68" i="9"/>
  <c r="F88" i="9" s="1"/>
  <c r="E68" i="9"/>
  <c r="E88" i="9" s="1"/>
  <c r="D68" i="9"/>
  <c r="C68" i="9"/>
  <c r="S28" i="9"/>
  <c r="R28" i="9"/>
  <c r="Q28" i="9"/>
  <c r="K28" i="9"/>
  <c r="J28" i="9"/>
  <c r="C28" i="9"/>
  <c r="V67" i="9"/>
  <c r="T67" i="9"/>
  <c r="S67" i="9"/>
  <c r="R67" i="9"/>
  <c r="Q67" i="9"/>
  <c r="O67" i="9"/>
  <c r="N67" i="9"/>
  <c r="L67" i="9"/>
  <c r="K67" i="9"/>
  <c r="J67" i="9"/>
  <c r="H67" i="9"/>
  <c r="G67" i="9"/>
  <c r="F67" i="9"/>
  <c r="D67" i="9"/>
  <c r="C67" i="9"/>
  <c r="V66" i="9"/>
  <c r="U66" i="9"/>
  <c r="S66" i="9"/>
  <c r="Q66" i="9"/>
  <c r="O66" i="9"/>
  <c r="N66" i="9"/>
  <c r="K66" i="9"/>
  <c r="H66" i="9"/>
  <c r="G66" i="9"/>
  <c r="S23" i="9"/>
  <c r="R23" i="9"/>
  <c r="Q23" i="9"/>
  <c r="O23" i="9"/>
  <c r="K23" i="9"/>
  <c r="J23" i="9"/>
  <c r="H23" i="9"/>
  <c r="Q22" i="9"/>
  <c r="S40" i="9"/>
  <c r="R49" i="9"/>
  <c r="O22" i="9"/>
  <c r="N22" i="9"/>
  <c r="K40" i="9"/>
  <c r="H40" i="9"/>
  <c r="J16" i="9"/>
  <c r="V14" i="9"/>
  <c r="J14" i="9"/>
  <c r="H14" i="9"/>
  <c r="U87" i="9"/>
  <c r="S87" i="9"/>
  <c r="Q87" i="9"/>
  <c r="O87" i="9"/>
  <c r="N87" i="9"/>
  <c r="N91" i="9" s="1"/>
  <c r="L87" i="9"/>
  <c r="J87" i="9"/>
  <c r="G87" i="9"/>
  <c r="E87" i="9"/>
  <c r="E91" i="9" s="1"/>
  <c r="D87" i="9"/>
  <c r="Q10" i="9"/>
  <c r="J10" i="9"/>
  <c r="S10" i="9"/>
  <c r="D16" i="9"/>
  <c r="B60" i="1" l="1"/>
  <c r="B48" i="1"/>
  <c r="B59" i="1"/>
  <c r="B52" i="1"/>
  <c r="B39" i="1"/>
  <c r="I83" i="1"/>
  <c r="B34" i="1"/>
  <c r="B38" i="1"/>
  <c r="B33" i="1"/>
  <c r="J83" i="1"/>
  <c r="P83" i="1" s="1"/>
  <c r="B63" i="1"/>
  <c r="B43" i="1"/>
  <c r="B51" i="1"/>
  <c r="B24" i="1"/>
  <c r="B42" i="1"/>
  <c r="B21" i="1"/>
  <c r="B47" i="1"/>
  <c r="E9" i="9"/>
  <c r="M91" i="9"/>
  <c r="V91" i="9"/>
  <c r="P15" i="9"/>
  <c r="D27" i="9"/>
  <c r="F44" i="9"/>
  <c r="K45" i="9"/>
  <c r="L62" i="9"/>
  <c r="V63" i="9"/>
  <c r="H76" i="9"/>
  <c r="F14" i="9"/>
  <c r="G14" i="9"/>
  <c r="P89" i="9"/>
  <c r="G9" i="9"/>
  <c r="I15" i="9"/>
  <c r="C26" i="9"/>
  <c r="G27" i="9"/>
  <c r="E54" i="9"/>
  <c r="M62" i="9"/>
  <c r="J63" i="9"/>
  <c r="F75" i="9"/>
  <c r="J26" i="9"/>
  <c r="E36" i="9"/>
  <c r="N44" i="9"/>
  <c r="R45" i="9"/>
  <c r="D53" i="9"/>
  <c r="F54" i="9"/>
  <c r="R76" i="9"/>
  <c r="H54" i="9"/>
  <c r="O8" i="9"/>
  <c r="T27" i="9"/>
  <c r="H35" i="9"/>
  <c r="M36" i="9"/>
  <c r="E45" i="9"/>
  <c r="O53" i="9"/>
  <c r="C62" i="9"/>
  <c r="U62" i="9"/>
  <c r="Q9" i="9"/>
  <c r="Q16" i="9"/>
  <c r="S9" i="9"/>
  <c r="T53" i="9"/>
  <c r="V54" i="9"/>
  <c r="D62" i="9"/>
  <c r="V75" i="9"/>
  <c r="I5" i="9"/>
  <c r="K35" i="9"/>
  <c r="R36" i="9"/>
  <c r="H45" i="9"/>
  <c r="F63" i="9"/>
  <c r="E76" i="9"/>
  <c r="R26" i="9"/>
  <c r="P35" i="9"/>
  <c r="V44" i="9"/>
  <c r="P45" i="9"/>
  <c r="C9" i="9"/>
  <c r="K9" i="9"/>
  <c r="K26" i="9"/>
  <c r="E27" i="9"/>
  <c r="C36" i="9"/>
  <c r="O44" i="9"/>
  <c r="M53" i="9"/>
  <c r="G54" i="9"/>
  <c r="K62" i="9"/>
  <c r="E63" i="9"/>
  <c r="G75" i="9"/>
  <c r="O75" i="9"/>
  <c r="F91" i="9"/>
  <c r="U14" i="9"/>
  <c r="L16" i="9"/>
  <c r="D9" i="9"/>
  <c r="L9" i="9"/>
  <c r="T9" i="9"/>
  <c r="F27" i="9"/>
  <c r="N27" i="9"/>
  <c r="V27" i="9"/>
  <c r="D36" i="9"/>
  <c r="L36" i="9"/>
  <c r="T36" i="9"/>
  <c r="J45" i="9"/>
  <c r="N63" i="9"/>
  <c r="J76" i="9"/>
  <c r="H91" i="9"/>
  <c r="S91" i="9"/>
  <c r="U36" i="9"/>
  <c r="S45" i="9"/>
  <c r="Q54" i="9"/>
  <c r="C76" i="9"/>
  <c r="K76" i="9"/>
  <c r="S76" i="9"/>
  <c r="C8" i="9"/>
  <c r="K8" i="9"/>
  <c r="U9" i="9"/>
  <c r="T8" i="9"/>
  <c r="F9" i="9"/>
  <c r="N9" i="9"/>
  <c r="V9" i="9"/>
  <c r="H27" i="9"/>
  <c r="F36" i="9"/>
  <c r="N36" i="9"/>
  <c r="V36" i="9"/>
  <c r="D45" i="9"/>
  <c r="L45" i="9"/>
  <c r="T45" i="9"/>
  <c r="J54" i="9"/>
  <c r="R54" i="9"/>
  <c r="H63" i="9"/>
  <c r="D76" i="9"/>
  <c r="L76" i="9"/>
  <c r="T76" i="9"/>
  <c r="U8" i="9"/>
  <c r="O36" i="9"/>
  <c r="M45" i="9"/>
  <c r="U45" i="9"/>
  <c r="K54" i="9"/>
  <c r="S54" i="9"/>
  <c r="Q63" i="9"/>
  <c r="M76" i="9"/>
  <c r="U76" i="9"/>
  <c r="U91" i="9"/>
  <c r="P5" i="9"/>
  <c r="G16" i="9"/>
  <c r="G10" i="9"/>
  <c r="P7" i="9"/>
  <c r="D10" i="9"/>
  <c r="U16" i="9"/>
  <c r="T58" i="9"/>
  <c r="T70" i="9"/>
  <c r="T49" i="9"/>
  <c r="T40" i="9"/>
  <c r="T31" i="9"/>
  <c r="T22" i="9"/>
  <c r="J66" i="9"/>
  <c r="J22" i="9"/>
  <c r="P24" i="9"/>
  <c r="H16" i="9"/>
  <c r="H10" i="9"/>
  <c r="E10" i="9"/>
  <c r="Q14" i="9"/>
  <c r="K16" i="9"/>
  <c r="C70" i="9"/>
  <c r="C58" i="9"/>
  <c r="C49" i="9"/>
  <c r="C40" i="9"/>
  <c r="C31" i="9"/>
  <c r="C22" i="9"/>
  <c r="I19" i="9"/>
  <c r="L58" i="9"/>
  <c r="L70" i="9"/>
  <c r="L49" i="9"/>
  <c r="L40" i="9"/>
  <c r="L31" i="9"/>
  <c r="L22" i="9"/>
  <c r="U58" i="9"/>
  <c r="U49" i="9"/>
  <c r="U70" i="9"/>
  <c r="U40" i="9"/>
  <c r="U31" i="9"/>
  <c r="U22" i="9"/>
  <c r="C32" i="9"/>
  <c r="I33" i="9"/>
  <c r="P46" i="9"/>
  <c r="D58" i="9"/>
  <c r="D70" i="9"/>
  <c r="D49" i="9"/>
  <c r="D40" i="9"/>
  <c r="D31" i="9"/>
  <c r="D22" i="9"/>
  <c r="M58" i="9"/>
  <c r="M49" i="9"/>
  <c r="M70" i="9"/>
  <c r="M40" i="9"/>
  <c r="M31" i="9"/>
  <c r="M22" i="9"/>
  <c r="V70" i="9"/>
  <c r="V40" i="9"/>
  <c r="V31" i="9"/>
  <c r="V49" i="9"/>
  <c r="V58" i="9"/>
  <c r="C66" i="9"/>
  <c r="I24" i="9"/>
  <c r="L66" i="9"/>
  <c r="L23" i="9"/>
  <c r="P37" i="9"/>
  <c r="S14" i="9"/>
  <c r="K87" i="9"/>
  <c r="K91" i="9" s="1"/>
  <c r="P11" i="9"/>
  <c r="M16" i="9"/>
  <c r="E58" i="9"/>
  <c r="E49" i="9"/>
  <c r="E70" i="9"/>
  <c r="E40" i="9"/>
  <c r="E31" i="9"/>
  <c r="E22" i="9"/>
  <c r="N70" i="9"/>
  <c r="N58" i="9"/>
  <c r="N49" i="9"/>
  <c r="N40" i="9"/>
  <c r="N31" i="9"/>
  <c r="W19" i="9"/>
  <c r="D66" i="9"/>
  <c r="D23" i="9"/>
  <c r="M66" i="9"/>
  <c r="M23" i="9"/>
  <c r="T14" i="9"/>
  <c r="C87" i="9"/>
  <c r="I11" i="9"/>
  <c r="F70" i="9"/>
  <c r="F49" i="9"/>
  <c r="F58" i="9"/>
  <c r="F40" i="9"/>
  <c r="F31" i="9"/>
  <c r="O70" i="9"/>
  <c r="O58" i="9"/>
  <c r="O49" i="9"/>
  <c r="O40" i="9"/>
  <c r="F22" i="9"/>
  <c r="V22" i="9"/>
  <c r="E66" i="9"/>
  <c r="E23" i="9"/>
  <c r="U67" i="9"/>
  <c r="W67" i="9" s="1"/>
  <c r="U28" i="9"/>
  <c r="L14" i="9"/>
  <c r="L10" i="9"/>
  <c r="M14" i="9"/>
  <c r="G70" i="9"/>
  <c r="G49" i="9"/>
  <c r="G58" i="9"/>
  <c r="G40" i="9"/>
  <c r="G22" i="9"/>
  <c r="M67" i="9"/>
  <c r="P67" i="9" s="1"/>
  <c r="M28" i="9"/>
  <c r="D14" i="9"/>
  <c r="W5" i="9"/>
  <c r="N10" i="9"/>
  <c r="N16" i="9"/>
  <c r="V10" i="9"/>
  <c r="V16" i="9"/>
  <c r="M10" i="9"/>
  <c r="N14" i="9"/>
  <c r="E16" i="9"/>
  <c r="S16" i="9"/>
  <c r="E67" i="9"/>
  <c r="I67" i="9" s="1"/>
  <c r="E28" i="9"/>
  <c r="G31" i="9"/>
  <c r="K14" i="9"/>
  <c r="C14" i="9"/>
  <c r="I7" i="9"/>
  <c r="F10" i="9"/>
  <c r="F16" i="9"/>
  <c r="O16" i="9"/>
  <c r="O10" i="9"/>
  <c r="C10" i="9"/>
  <c r="E14" i="9"/>
  <c r="O14" i="9"/>
  <c r="T16" i="9"/>
  <c r="C23" i="9"/>
  <c r="R66" i="9"/>
  <c r="W66" i="9" s="1"/>
  <c r="R22" i="9"/>
  <c r="O31" i="9"/>
  <c r="Q70" i="9"/>
  <c r="Q58" i="9"/>
  <c r="K22" i="9"/>
  <c r="S22" i="9"/>
  <c r="U23" i="9"/>
  <c r="W24" i="9"/>
  <c r="I25" i="9"/>
  <c r="G28" i="9"/>
  <c r="O28" i="9"/>
  <c r="I29" i="9"/>
  <c r="Q88" i="9"/>
  <c r="K31" i="9"/>
  <c r="S31" i="9"/>
  <c r="I34" i="9"/>
  <c r="G37" i="9"/>
  <c r="O37" i="9"/>
  <c r="I43" i="9"/>
  <c r="E46" i="9"/>
  <c r="N46" i="9"/>
  <c r="H49" i="9"/>
  <c r="E50" i="9"/>
  <c r="P56" i="9"/>
  <c r="W60" i="9"/>
  <c r="M79" i="9"/>
  <c r="V79" i="9"/>
  <c r="J70" i="9"/>
  <c r="J58" i="9"/>
  <c r="R70" i="9"/>
  <c r="R58" i="9"/>
  <c r="F23" i="9"/>
  <c r="N23" i="9"/>
  <c r="V23" i="9"/>
  <c r="H28" i="9"/>
  <c r="J88" i="9"/>
  <c r="J91" i="9" s="1"/>
  <c r="P68" i="9"/>
  <c r="J79" i="9"/>
  <c r="P33" i="9"/>
  <c r="P32" i="9" s="1"/>
  <c r="H37" i="9"/>
  <c r="P42" i="9"/>
  <c r="P41" i="9" s="1"/>
  <c r="F46" i="9"/>
  <c r="I47" i="9"/>
  <c r="T55" i="9"/>
  <c r="E79" i="9"/>
  <c r="N79" i="9"/>
  <c r="B83" i="9"/>
  <c r="I84" i="9"/>
  <c r="K58" i="9"/>
  <c r="K49" i="9"/>
  <c r="S70" i="9"/>
  <c r="S58" i="9"/>
  <c r="S49" i="9"/>
  <c r="G23" i="9"/>
  <c r="C88" i="9"/>
  <c r="I68" i="9"/>
  <c r="I42" i="9"/>
  <c r="G46" i="9"/>
  <c r="J49" i="9"/>
  <c r="J50" i="9"/>
  <c r="L55" i="9"/>
  <c r="U55" i="9"/>
  <c r="P60" i="9"/>
  <c r="F79" i="9"/>
  <c r="D79" i="9"/>
  <c r="D88" i="9"/>
  <c r="D91" i="9" s="1"/>
  <c r="L79" i="9"/>
  <c r="L88" i="9"/>
  <c r="L91" i="9" s="1"/>
  <c r="T79" i="9"/>
  <c r="T88" i="9"/>
  <c r="T91" i="9" s="1"/>
  <c r="D55" i="9"/>
  <c r="M55" i="9"/>
  <c r="B73" i="9"/>
  <c r="Q79" i="9"/>
  <c r="I89" i="9"/>
  <c r="T46" i="9"/>
  <c r="E55" i="9"/>
  <c r="I60" i="9"/>
  <c r="C59" i="9"/>
  <c r="H79" i="9"/>
  <c r="D28" i="9"/>
  <c r="L28" i="9"/>
  <c r="T28" i="9"/>
  <c r="H31" i="9"/>
  <c r="J32" i="9"/>
  <c r="R32" i="9"/>
  <c r="D37" i="9"/>
  <c r="L37" i="9"/>
  <c r="T37" i="9"/>
  <c r="K46" i="9"/>
  <c r="U46" i="9"/>
  <c r="S79" i="9"/>
  <c r="W84" i="9"/>
  <c r="W25" i="9"/>
  <c r="G88" i="9"/>
  <c r="G91" i="9" s="1"/>
  <c r="G79" i="9"/>
  <c r="O88" i="9"/>
  <c r="O91" i="9" s="1"/>
  <c r="O79" i="9"/>
  <c r="W34" i="9"/>
  <c r="Q40" i="9"/>
  <c r="O46" i="9"/>
  <c r="W43" i="9"/>
  <c r="D50" i="9"/>
  <c r="I51" i="9"/>
  <c r="K79" i="9"/>
  <c r="H70" i="9"/>
  <c r="H58" i="9"/>
  <c r="P19" i="9"/>
  <c r="T23" i="9"/>
  <c r="P25" i="9"/>
  <c r="F28" i="9"/>
  <c r="N28" i="9"/>
  <c r="V28" i="9"/>
  <c r="P29" i="9"/>
  <c r="J40" i="9"/>
  <c r="R40" i="9"/>
  <c r="M46" i="9"/>
  <c r="Q49" i="9"/>
  <c r="M50" i="9"/>
  <c r="U50" i="9"/>
  <c r="C79" i="9"/>
  <c r="U79" i="9"/>
  <c r="I82" i="9"/>
  <c r="J64" i="9"/>
  <c r="J77" i="9"/>
  <c r="R77" i="9"/>
  <c r="P81" i="9"/>
  <c r="P82" i="9" s="1"/>
  <c r="J82" i="9"/>
  <c r="R82" i="9"/>
  <c r="F84" i="9"/>
  <c r="N84" i="9"/>
  <c r="V84" i="9"/>
  <c r="P85" i="9"/>
  <c r="C77" i="9"/>
  <c r="K77" i="9"/>
  <c r="G84" i="9"/>
  <c r="O84" i="9"/>
  <c r="I85" i="9"/>
  <c r="J59" i="9"/>
  <c r="D64" i="9"/>
  <c r="L64" i="9"/>
  <c r="P71" i="9"/>
  <c r="P72" i="9" s="1"/>
  <c r="D82" i="9"/>
  <c r="L82" i="9"/>
  <c r="T82" i="9"/>
  <c r="H84" i="9"/>
  <c r="W52" i="9"/>
  <c r="W61" i="9"/>
  <c r="E64" i="9"/>
  <c r="M64" i="9"/>
  <c r="U64" i="9"/>
  <c r="I71" i="9"/>
  <c r="C72" i="9"/>
  <c r="W74" i="9"/>
  <c r="E77" i="9"/>
  <c r="M77" i="9"/>
  <c r="U77" i="9"/>
  <c r="E82" i="9"/>
  <c r="Q84" i="9"/>
  <c r="Q89" i="9"/>
  <c r="P52" i="9"/>
  <c r="F55" i="9"/>
  <c r="D59" i="9"/>
  <c r="P61" i="9"/>
  <c r="P74" i="9"/>
  <c r="P78" i="9"/>
  <c r="I52" i="9"/>
  <c r="G55" i="9"/>
  <c r="O55" i="9"/>
  <c r="U59" i="9"/>
  <c r="I61" i="9"/>
  <c r="G64" i="9"/>
  <c r="O64" i="9"/>
  <c r="I74" i="9"/>
  <c r="G77" i="9"/>
  <c r="O77" i="9"/>
  <c r="I78" i="9"/>
  <c r="W81" i="9"/>
  <c r="W82" i="9" s="1"/>
  <c r="D4" i="12"/>
  <c r="D3" i="12"/>
  <c r="D2" i="12"/>
  <c r="P14" i="13" l="1"/>
  <c r="J28" i="13"/>
  <c r="L28" i="13"/>
  <c r="L37" i="13" s="1"/>
  <c r="G38" i="13"/>
  <c r="G34" i="13"/>
  <c r="K38" i="13"/>
  <c r="K34" i="13"/>
  <c r="H36" i="13"/>
  <c r="N21" i="13"/>
  <c r="M7" i="13"/>
  <c r="T17" i="13"/>
  <c r="H21" i="13"/>
  <c r="F25" i="13"/>
  <c r="H25" i="13"/>
  <c r="J36" i="13"/>
  <c r="P8" i="13"/>
  <c r="U28" i="13"/>
  <c r="E32" i="13"/>
  <c r="E33" i="13" s="1"/>
  <c r="T34" i="13"/>
  <c r="T38" i="13"/>
  <c r="N28" i="13"/>
  <c r="C38" i="13"/>
  <c r="I30" i="13"/>
  <c r="I34" i="13" s="1"/>
  <c r="C34" i="13"/>
  <c r="E28" i="13"/>
  <c r="P12" i="13"/>
  <c r="P13" i="13" s="1"/>
  <c r="J27" i="13"/>
  <c r="J13" i="13"/>
  <c r="R21" i="13"/>
  <c r="K28" i="13"/>
  <c r="L21" i="13"/>
  <c r="G13" i="13"/>
  <c r="G27" i="13"/>
  <c r="D7" i="13"/>
  <c r="T32" i="13"/>
  <c r="T33" i="13" s="1"/>
  <c r="F27" i="13"/>
  <c r="F13" i="13"/>
  <c r="H34" i="13"/>
  <c r="H38" i="13"/>
  <c r="P20" i="13"/>
  <c r="P21" i="13" s="1"/>
  <c r="J21" i="13"/>
  <c r="M38" i="13"/>
  <c r="M34" i="13"/>
  <c r="H7" i="13"/>
  <c r="R34" i="13"/>
  <c r="I26" i="13"/>
  <c r="V38" i="13"/>
  <c r="V34" i="13"/>
  <c r="F36" i="13"/>
  <c r="M36" i="13"/>
  <c r="F28" i="13"/>
  <c r="Q34" i="13"/>
  <c r="W30" i="13"/>
  <c r="Q38" i="13"/>
  <c r="N38" i="13"/>
  <c r="N34" i="13"/>
  <c r="G21" i="13"/>
  <c r="P22" i="13"/>
  <c r="S27" i="13"/>
  <c r="S13" i="13"/>
  <c r="H17" i="13"/>
  <c r="G25" i="13"/>
  <c r="I22" i="13"/>
  <c r="U34" i="13"/>
  <c r="U38" i="13"/>
  <c r="U25" i="13"/>
  <c r="F7" i="13"/>
  <c r="R27" i="13"/>
  <c r="R13" i="13"/>
  <c r="K27" i="13"/>
  <c r="K13" i="13"/>
  <c r="E34" i="13"/>
  <c r="E38" i="13"/>
  <c r="L17" i="13"/>
  <c r="O25" i="13"/>
  <c r="S28" i="13"/>
  <c r="S37" i="13" s="1"/>
  <c r="J7" i="13"/>
  <c r="P6" i="13"/>
  <c r="P7" i="13" s="1"/>
  <c r="M21" i="13"/>
  <c r="F17" i="13"/>
  <c r="P18" i="13"/>
  <c r="O28" i="13"/>
  <c r="Q7" i="13"/>
  <c r="U36" i="13"/>
  <c r="I14" i="13"/>
  <c r="C28" i="13"/>
  <c r="C32" i="13"/>
  <c r="I31" i="13"/>
  <c r="K25" i="13"/>
  <c r="F38" i="13"/>
  <c r="F34" i="13"/>
  <c r="O38" i="13"/>
  <c r="O34" i="13"/>
  <c r="D32" i="13"/>
  <c r="D33" i="13" s="1"/>
  <c r="D17" i="13"/>
  <c r="F32" i="13"/>
  <c r="F33" i="13" s="1"/>
  <c r="W16" i="13"/>
  <c r="W17" i="13" s="1"/>
  <c r="Q17" i="13"/>
  <c r="I16" i="13"/>
  <c r="C17" i="13"/>
  <c r="N32" i="13"/>
  <c r="N33" i="13" s="1"/>
  <c r="G28" i="13"/>
  <c r="S21" i="13"/>
  <c r="J38" i="13"/>
  <c r="P30" i="13"/>
  <c r="P34" i="13" s="1"/>
  <c r="J34" i="13"/>
  <c r="H32" i="13"/>
  <c r="H33" i="13" s="1"/>
  <c r="O17" i="13"/>
  <c r="D21" i="13"/>
  <c r="S7" i="13"/>
  <c r="P16" i="13"/>
  <c r="P17" i="13" s="1"/>
  <c r="J17" i="13"/>
  <c r="L32" i="13"/>
  <c r="G7" i="13"/>
  <c r="D13" i="13"/>
  <c r="D27" i="13"/>
  <c r="O27" i="13"/>
  <c r="O13" i="13"/>
  <c r="F21" i="13"/>
  <c r="T21" i="13"/>
  <c r="C7" i="13"/>
  <c r="I6" i="13"/>
  <c r="I7" i="13" s="1"/>
  <c r="V7" i="13"/>
  <c r="M17" i="13"/>
  <c r="D25" i="13"/>
  <c r="O32" i="13"/>
  <c r="O33" i="13" s="1"/>
  <c r="U21" i="13"/>
  <c r="U17" i="13"/>
  <c r="E7" i="13"/>
  <c r="Q28" i="13"/>
  <c r="S38" i="13"/>
  <c r="S34" i="13"/>
  <c r="K21" i="13"/>
  <c r="L38" i="13"/>
  <c r="L34" i="13"/>
  <c r="V21" i="13"/>
  <c r="G36" i="13"/>
  <c r="S17" i="13"/>
  <c r="P24" i="13"/>
  <c r="P25" i="13" s="1"/>
  <c r="J25" i="13"/>
  <c r="U32" i="13"/>
  <c r="U33" i="13" s="1"/>
  <c r="L13" i="13"/>
  <c r="L27" i="13"/>
  <c r="V13" i="13"/>
  <c r="V27" i="13"/>
  <c r="D34" i="13"/>
  <c r="D38" i="13"/>
  <c r="D28" i="13"/>
  <c r="D37" i="13" s="1"/>
  <c r="O21" i="13"/>
  <c r="U7" i="13"/>
  <c r="K36" i="13"/>
  <c r="V17" i="13"/>
  <c r="M25" i="13"/>
  <c r="D36" i="13"/>
  <c r="Q25" i="13"/>
  <c r="W24" i="13"/>
  <c r="N7" i="13"/>
  <c r="E17" i="13"/>
  <c r="G32" i="13"/>
  <c r="G33" i="13" s="1"/>
  <c r="C27" i="13"/>
  <c r="C13" i="13"/>
  <c r="I12" i="13"/>
  <c r="Q36" i="13"/>
  <c r="S25" i="13"/>
  <c r="O7" i="13"/>
  <c r="G17" i="13"/>
  <c r="T28" i="13"/>
  <c r="K32" i="13"/>
  <c r="K33" i="13" s="1"/>
  <c r="M28" i="13"/>
  <c r="E36" i="13"/>
  <c r="S36" i="13"/>
  <c r="L25" i="13"/>
  <c r="T36" i="13"/>
  <c r="V25" i="13"/>
  <c r="T13" i="13"/>
  <c r="T27" i="13"/>
  <c r="J32" i="13"/>
  <c r="J33" i="13" s="1"/>
  <c r="P31" i="13"/>
  <c r="Q21" i="13"/>
  <c r="W20" i="13"/>
  <c r="W21" i="13" s="1"/>
  <c r="C36" i="13"/>
  <c r="I8" i="13"/>
  <c r="N17" i="13"/>
  <c r="E25" i="13"/>
  <c r="Q32" i="13"/>
  <c r="Q33" i="13" s="1"/>
  <c r="O36" i="13"/>
  <c r="E27" i="13"/>
  <c r="E13" i="13"/>
  <c r="V36" i="13"/>
  <c r="I20" i="13"/>
  <c r="I21" i="13" s="1"/>
  <c r="C21" i="13"/>
  <c r="R17" i="13"/>
  <c r="K7" i="13"/>
  <c r="V28" i="13"/>
  <c r="U27" i="13"/>
  <c r="U13" i="13"/>
  <c r="Q27" i="13"/>
  <c r="Q13" i="13"/>
  <c r="W12" i="13"/>
  <c r="W13" i="13" s="1"/>
  <c r="P26" i="13"/>
  <c r="H13" i="13"/>
  <c r="H27" i="13"/>
  <c r="L7" i="13"/>
  <c r="C25" i="13"/>
  <c r="I24" i="13"/>
  <c r="L36" i="13"/>
  <c r="I18" i="13"/>
  <c r="N25" i="13"/>
  <c r="H28" i="13"/>
  <c r="S32" i="13"/>
  <c r="N36" i="13"/>
  <c r="M27" i="13"/>
  <c r="M13" i="13"/>
  <c r="N27" i="13"/>
  <c r="N13" i="13"/>
  <c r="E21" i="13"/>
  <c r="T7" i="13"/>
  <c r="K17" i="13"/>
  <c r="M32" i="13"/>
  <c r="M33" i="13" s="1"/>
  <c r="V32" i="13"/>
  <c r="V33" i="13" s="1"/>
  <c r="T25" i="13"/>
  <c r="P62" i="9"/>
  <c r="P63" i="9"/>
  <c r="W26" i="9"/>
  <c r="W27" i="9"/>
  <c r="I44" i="9"/>
  <c r="I45" i="9"/>
  <c r="P75" i="9"/>
  <c r="P76" i="9"/>
  <c r="P9" i="9"/>
  <c r="P8" i="9"/>
  <c r="I62" i="9"/>
  <c r="I63" i="9"/>
  <c r="W45" i="9"/>
  <c r="W44" i="9"/>
  <c r="W53" i="9"/>
  <c r="W54" i="9"/>
  <c r="P53" i="9"/>
  <c r="P54" i="9"/>
  <c r="I16" i="9"/>
  <c r="W32" i="9"/>
  <c r="W35" i="9"/>
  <c r="W36" i="9"/>
  <c r="B67" i="9"/>
  <c r="W76" i="9"/>
  <c r="W75" i="9"/>
  <c r="W41" i="9"/>
  <c r="P26" i="9"/>
  <c r="P27" i="9"/>
  <c r="P16" i="9"/>
  <c r="I8" i="9"/>
  <c r="I9" i="9"/>
  <c r="I53" i="9"/>
  <c r="I54" i="9"/>
  <c r="I36" i="9"/>
  <c r="I35" i="9"/>
  <c r="I75" i="9"/>
  <c r="I76" i="9"/>
  <c r="I26" i="9"/>
  <c r="I27" i="9"/>
  <c r="B5" i="9"/>
  <c r="P55" i="9"/>
  <c r="B24" i="9"/>
  <c r="I23" i="9"/>
  <c r="W46" i="9"/>
  <c r="I41" i="9"/>
  <c r="B42" i="9"/>
  <c r="P79" i="9"/>
  <c r="W55" i="9"/>
  <c r="P70" i="9"/>
  <c r="P58" i="9"/>
  <c r="P49" i="9"/>
  <c r="P40" i="9"/>
  <c r="P31" i="9"/>
  <c r="P22" i="9"/>
  <c r="P88" i="9"/>
  <c r="W70" i="9"/>
  <c r="W40" i="9"/>
  <c r="W49" i="9"/>
  <c r="W58" i="9"/>
  <c r="W22" i="9"/>
  <c r="W31" i="9"/>
  <c r="I66" i="9"/>
  <c r="I79" i="9"/>
  <c r="I55" i="9"/>
  <c r="B52" i="9"/>
  <c r="P91" i="9"/>
  <c r="Q91" i="9"/>
  <c r="P23" i="9"/>
  <c r="P59" i="9"/>
  <c r="P87" i="9"/>
  <c r="I28" i="9"/>
  <c r="B25" i="9"/>
  <c r="P28" i="9"/>
  <c r="I64" i="9"/>
  <c r="B61" i="9"/>
  <c r="W77" i="9"/>
  <c r="W28" i="9"/>
  <c r="W23" i="9"/>
  <c r="P50" i="9"/>
  <c r="I70" i="9"/>
  <c r="I58" i="9"/>
  <c r="I40" i="9"/>
  <c r="I31" i="9"/>
  <c r="I49" i="9"/>
  <c r="B19" i="9"/>
  <c r="I22" i="9"/>
  <c r="P66" i="9"/>
  <c r="P77" i="9"/>
  <c r="I88" i="9"/>
  <c r="I87" i="9"/>
  <c r="C91" i="9"/>
  <c r="I91" i="9" s="1"/>
  <c r="I37" i="9"/>
  <c r="B34" i="9"/>
  <c r="P64" i="9"/>
  <c r="B51" i="9"/>
  <c r="I50" i="9"/>
  <c r="W37" i="9"/>
  <c r="I59" i="9"/>
  <c r="B60" i="9"/>
  <c r="I77" i="9"/>
  <c r="B74" i="9"/>
  <c r="B71" i="9"/>
  <c r="B72" i="9" s="1"/>
  <c r="I72" i="9"/>
  <c r="B81" i="9"/>
  <c r="B82" i="9" s="1"/>
  <c r="W50" i="9"/>
  <c r="W59" i="9"/>
  <c r="I46" i="9"/>
  <c r="B43" i="9"/>
  <c r="I14" i="9"/>
  <c r="I10" i="9"/>
  <c r="B33" i="9"/>
  <c r="I32" i="9"/>
  <c r="P10" i="9"/>
  <c r="P14" i="9"/>
  <c r="B50" i="9" l="1"/>
  <c r="E37" i="13"/>
  <c r="B16" i="13"/>
  <c r="B17" i="13" s="1"/>
  <c r="T37" i="13"/>
  <c r="N37" i="13"/>
  <c r="B30" i="13"/>
  <c r="B32" i="13" s="1"/>
  <c r="M37" i="13"/>
  <c r="W27" i="13"/>
  <c r="B24" i="13"/>
  <c r="B12" i="13"/>
  <c r="B13" i="13" s="1"/>
  <c r="P32" i="13"/>
  <c r="P33" i="13" s="1"/>
  <c r="V37" i="13"/>
  <c r="P27" i="13"/>
  <c r="I36" i="13"/>
  <c r="K37" i="13"/>
  <c r="P36" i="13"/>
  <c r="H37" i="13"/>
  <c r="F37" i="13"/>
  <c r="I38" i="13"/>
  <c r="I25" i="13"/>
  <c r="I32" i="13"/>
  <c r="I33" i="13" s="1"/>
  <c r="I17" i="13"/>
  <c r="I28" i="13"/>
  <c r="P38" i="13"/>
  <c r="Q37" i="13"/>
  <c r="I27" i="13"/>
  <c r="B20" i="13"/>
  <c r="B21" i="13" s="1"/>
  <c r="J37" i="13"/>
  <c r="P28" i="13"/>
  <c r="O37" i="13"/>
  <c r="G37" i="13"/>
  <c r="U37" i="13"/>
  <c r="C33" i="13"/>
  <c r="C37" i="13" s="1"/>
  <c r="W34" i="13"/>
  <c r="I13" i="13"/>
  <c r="B32" i="9"/>
  <c r="B35" i="9"/>
  <c r="B36" i="9"/>
  <c r="B44" i="9"/>
  <c r="B45" i="9"/>
  <c r="B59" i="9"/>
  <c r="B27" i="9"/>
  <c r="B26" i="9"/>
  <c r="B53" i="9"/>
  <c r="B54" i="9"/>
  <c r="B75" i="9"/>
  <c r="B76" i="9"/>
  <c r="B37" i="9"/>
  <c r="B55" i="9"/>
  <c r="B41" i="9"/>
  <c r="B77" i="9"/>
  <c r="B70" i="9"/>
  <c r="B58" i="9"/>
  <c r="B40" i="9"/>
  <c r="B31" i="9"/>
  <c r="B22" i="9"/>
  <c r="B49" i="9"/>
  <c r="B66" i="9"/>
  <c r="B46" i="9"/>
  <c r="B28" i="9"/>
  <c r="B23" i="9"/>
  <c r="B34" i="13" l="1"/>
  <c r="B27" i="13"/>
  <c r="I37" i="13"/>
  <c r="P37" i="13"/>
  <c r="OS25" i="12"/>
  <c r="OS24" i="12"/>
  <c r="OS18" i="12"/>
  <c r="OS17" i="12"/>
  <c r="OS11" i="12"/>
  <c r="OS10" i="12"/>
  <c r="NQ25" i="12"/>
  <c r="NQ24" i="12"/>
  <c r="NQ18" i="12"/>
  <c r="NQ17" i="12"/>
  <c r="NQ11" i="12"/>
  <c r="NQ10" i="12"/>
  <c r="MO25" i="12"/>
  <c r="MO24" i="12"/>
  <c r="MO18" i="12"/>
  <c r="MO17" i="12"/>
  <c r="MO11" i="12"/>
  <c r="MO10" i="12"/>
  <c r="LM25" i="12"/>
  <c r="LM24" i="12"/>
  <c r="LM18" i="12"/>
  <c r="LM17" i="12"/>
  <c r="LM11" i="12"/>
  <c r="LM10" i="12"/>
  <c r="KK25" i="12"/>
  <c r="KK24" i="12"/>
  <c r="KK18" i="12"/>
  <c r="KK17" i="12"/>
  <c r="KK11" i="12"/>
  <c r="KK10" i="12"/>
  <c r="JI25" i="12"/>
  <c r="JI24" i="12"/>
  <c r="JI18" i="12"/>
  <c r="JI17" i="12"/>
  <c r="JI11" i="12"/>
  <c r="JI10" i="12"/>
  <c r="IG25" i="12"/>
  <c r="IG24" i="12"/>
  <c r="IG18" i="12"/>
  <c r="IG17" i="12"/>
  <c r="IG11" i="12"/>
  <c r="IG10" i="12"/>
  <c r="HE25" i="12"/>
  <c r="HE24" i="12"/>
  <c r="HE18" i="12"/>
  <c r="HE17" i="12"/>
  <c r="HE11" i="12"/>
  <c r="HE10" i="12"/>
  <c r="GC25" i="12"/>
  <c r="GC24" i="12"/>
  <c r="GC18" i="12"/>
  <c r="GC17" i="12"/>
  <c r="GC11" i="12"/>
  <c r="GC10" i="12"/>
  <c r="FA25" i="12"/>
  <c r="FA24" i="12"/>
  <c r="FA18" i="12"/>
  <c r="FA17" i="12"/>
  <c r="FA11" i="12"/>
  <c r="FA10" i="12"/>
  <c r="DY25" i="12"/>
  <c r="DY24" i="12"/>
  <c r="DY18" i="12"/>
  <c r="DY17" i="12"/>
  <c r="DY11" i="12"/>
  <c r="DY10" i="12"/>
  <c r="CW25" i="12"/>
  <c r="CW24" i="12"/>
  <c r="CW18" i="12"/>
  <c r="CW17" i="12"/>
  <c r="CW11" i="12"/>
  <c r="CW10" i="12"/>
  <c r="BL27" i="12"/>
  <c r="BL26" i="12"/>
  <c r="BL20" i="12"/>
  <c r="BL19" i="12"/>
  <c r="BL11" i="12"/>
  <c r="BL10" i="12"/>
  <c r="BK27" i="12"/>
  <c r="BK26" i="12"/>
  <c r="BK20" i="12"/>
  <c r="BK19" i="12"/>
  <c r="BK11" i="12"/>
  <c r="BK10" i="12"/>
  <c r="BJ27" i="12"/>
  <c r="BJ26" i="12"/>
  <c r="BJ20" i="12"/>
  <c r="BJ19" i="12"/>
  <c r="BJ11" i="12"/>
  <c r="BJ10" i="12"/>
  <c r="BI27" i="12"/>
  <c r="BI26" i="12"/>
  <c r="BI20" i="12"/>
  <c r="BI19" i="12"/>
  <c r="BI11" i="12"/>
  <c r="BI10" i="12"/>
  <c r="BH27" i="12"/>
  <c r="BH26" i="12"/>
  <c r="BH25" i="12"/>
  <c r="BH24" i="12"/>
  <c r="BH20" i="12"/>
  <c r="BH19" i="12"/>
  <c r="BH11" i="12"/>
  <c r="BH10" i="12"/>
  <c r="BG27" i="12"/>
  <c r="BG26" i="12"/>
  <c r="BG20" i="12"/>
  <c r="BG19" i="12"/>
  <c r="BG11" i="12"/>
  <c r="BG10" i="12"/>
  <c r="BF27" i="12"/>
  <c r="BF26" i="12"/>
  <c r="BF20" i="12"/>
  <c r="BF19" i="12"/>
  <c r="BF11" i="12"/>
  <c r="BF10" i="12"/>
  <c r="BE27" i="12"/>
  <c r="BE26" i="12"/>
  <c r="BE20" i="12"/>
  <c r="BE19" i="12"/>
  <c r="BE11" i="12"/>
  <c r="BE10" i="12"/>
  <c r="BD27" i="12"/>
  <c r="BD26" i="12"/>
  <c r="BD20" i="12"/>
  <c r="BD19" i="12"/>
  <c r="BC27" i="12"/>
  <c r="BC26" i="12"/>
  <c r="BC20" i="12"/>
  <c r="BC19" i="12"/>
  <c r="BD11" i="12"/>
  <c r="BD10" i="12"/>
  <c r="BC11" i="12" l="1"/>
  <c r="BC10" i="12"/>
  <c r="BK25" i="12"/>
  <c r="BJ25" i="12"/>
  <c r="BK24" i="12"/>
  <c r="BJ24" i="12"/>
  <c r="BH23" i="12"/>
  <c r="BK23" i="12"/>
  <c r="BJ23" i="12"/>
  <c r="BI23" i="12"/>
  <c r="BH18" i="12"/>
  <c r="BK18" i="12"/>
  <c r="BJ18" i="12"/>
  <c r="BH17" i="12"/>
  <c r="BK17" i="12"/>
  <c r="BJ17" i="12"/>
  <c r="BH16" i="12"/>
  <c r="BK16" i="12"/>
  <c r="BJ16" i="12"/>
  <c r="BH9" i="12"/>
  <c r="BK9" i="12"/>
  <c r="BH8" i="12"/>
  <c r="BK8" i="12"/>
  <c r="BH7" i="12"/>
  <c r="BK7" i="12"/>
  <c r="BJ7" i="12"/>
  <c r="M4" i="12" l="1"/>
  <c r="M3" i="12"/>
  <c r="M2" i="12"/>
  <c r="AC4" i="12" l="1"/>
  <c r="AB4" i="12"/>
  <c r="AA4" i="12"/>
  <c r="Z4" i="12"/>
  <c r="X4" i="12"/>
  <c r="W4" i="12"/>
  <c r="V4" i="12"/>
  <c r="U4" i="12"/>
  <c r="AC3" i="12"/>
  <c r="AB3" i="12"/>
  <c r="AA3" i="12"/>
  <c r="Z3" i="12"/>
  <c r="X3" i="12"/>
  <c r="W3" i="12"/>
  <c r="V3" i="12"/>
  <c r="U3" i="12"/>
  <c r="AC2" i="12"/>
  <c r="AB2" i="12"/>
  <c r="AA2" i="12"/>
  <c r="Z2" i="12"/>
  <c r="X2" i="12"/>
  <c r="W2" i="12"/>
  <c r="V2" i="12"/>
  <c r="U2" i="12"/>
  <c r="H2" i="12"/>
  <c r="Y4" i="12" l="1"/>
  <c r="Y2" i="12"/>
  <c r="Y3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B2" i="12" l="1"/>
  <c r="PD4" i="12"/>
  <c r="PC4" i="12"/>
  <c r="PB4" i="12"/>
  <c r="PA4" i="12"/>
  <c r="PD3" i="12"/>
  <c r="PC3" i="12"/>
  <c r="PB3" i="12"/>
  <c r="PA3" i="12"/>
  <c r="PD2" i="12"/>
  <c r="PC2" i="12"/>
  <c r="PB2" i="12"/>
  <c r="PA2" i="12"/>
  <c r="OB4" i="12"/>
  <c r="OA4" i="12"/>
  <c r="NZ4" i="12"/>
  <c r="NY4" i="12"/>
  <c r="OB3" i="12"/>
  <c r="OA3" i="12"/>
  <c r="NZ3" i="12"/>
  <c r="NY3" i="12"/>
  <c r="OB2" i="12"/>
  <c r="OA2" i="12"/>
  <c r="NZ2" i="12"/>
  <c r="NY2" i="12"/>
  <c r="MZ4" i="12"/>
  <c r="MY4" i="12"/>
  <c r="MX4" i="12"/>
  <c r="MW4" i="12"/>
  <c r="MZ3" i="12"/>
  <c r="MY3" i="12"/>
  <c r="MX3" i="12"/>
  <c r="MW3" i="12"/>
  <c r="MZ2" i="12"/>
  <c r="MY2" i="12"/>
  <c r="MX2" i="12"/>
  <c r="MW2" i="12"/>
  <c r="LX4" i="12"/>
  <c r="LW4" i="12"/>
  <c r="LV4" i="12"/>
  <c r="LU4" i="12"/>
  <c r="LX3" i="12"/>
  <c r="LW3" i="12"/>
  <c r="LV3" i="12"/>
  <c r="LU3" i="12"/>
  <c r="LX2" i="12"/>
  <c r="LW2" i="12"/>
  <c r="LV2" i="12"/>
  <c r="LU2" i="12"/>
  <c r="KV4" i="12"/>
  <c r="KU4" i="12"/>
  <c r="KT4" i="12"/>
  <c r="KS4" i="12"/>
  <c r="KV3" i="12"/>
  <c r="KU3" i="12"/>
  <c r="KT3" i="12"/>
  <c r="KS3" i="12"/>
  <c r="KV2" i="12"/>
  <c r="KU2" i="12"/>
  <c r="KT2" i="12"/>
  <c r="KS2" i="12"/>
  <c r="JT4" i="12"/>
  <c r="JS4" i="12"/>
  <c r="JR4" i="12"/>
  <c r="JQ4" i="12"/>
  <c r="JT3" i="12"/>
  <c r="JS3" i="12"/>
  <c r="JR3" i="12"/>
  <c r="JQ3" i="12"/>
  <c r="JT2" i="12"/>
  <c r="JS2" i="12"/>
  <c r="JR2" i="12"/>
  <c r="JQ2" i="12"/>
  <c r="IR4" i="12"/>
  <c r="IQ4" i="12"/>
  <c r="IP4" i="12"/>
  <c r="IO4" i="12"/>
  <c r="IR3" i="12"/>
  <c r="IQ3" i="12"/>
  <c r="IP3" i="12"/>
  <c r="IO3" i="12"/>
  <c r="IR2" i="12"/>
  <c r="IQ2" i="12"/>
  <c r="IP2" i="12"/>
  <c r="IO2" i="12"/>
  <c r="HP4" i="12"/>
  <c r="HO4" i="12"/>
  <c r="HN4" i="12"/>
  <c r="HM4" i="12"/>
  <c r="HP3" i="12"/>
  <c r="HO3" i="12"/>
  <c r="HN3" i="12"/>
  <c r="HM3" i="12"/>
  <c r="HP2" i="12"/>
  <c r="HO2" i="12"/>
  <c r="HN2" i="12"/>
  <c r="HM2" i="12"/>
  <c r="GN3" i="12"/>
  <c r="GN2" i="12"/>
  <c r="GM3" i="12"/>
  <c r="GM2" i="12"/>
  <c r="GL4" i="12"/>
  <c r="GL3" i="12"/>
  <c r="GL2" i="12"/>
  <c r="GK3" i="12"/>
  <c r="GK2" i="12"/>
  <c r="GK4" i="12"/>
  <c r="GN4" i="12"/>
  <c r="GM4" i="12"/>
  <c r="FL4" i="12"/>
  <c r="FK4" i="12"/>
  <c r="FJ4" i="12"/>
  <c r="FI4" i="12"/>
  <c r="FL3" i="12"/>
  <c r="FK3" i="12"/>
  <c r="FJ3" i="12"/>
  <c r="FI3" i="12"/>
  <c r="FL2" i="12"/>
  <c r="FK2" i="12"/>
  <c r="FJ2" i="12"/>
  <c r="FI2" i="12"/>
  <c r="EJ4" i="12"/>
  <c r="EI4" i="12"/>
  <c r="EH4" i="12"/>
  <c r="EG4" i="12"/>
  <c r="EJ3" i="12"/>
  <c r="EI3" i="12"/>
  <c r="EH3" i="12"/>
  <c r="EG3" i="12"/>
  <c r="EJ2" i="12"/>
  <c r="EI2" i="12"/>
  <c r="EH2" i="12"/>
  <c r="EG2" i="12"/>
  <c r="DH4" i="12"/>
  <c r="DH3" i="12"/>
  <c r="DH2" i="12"/>
  <c r="DG4" i="12"/>
  <c r="DG3" i="12"/>
  <c r="DG2" i="12"/>
  <c r="DF4" i="12"/>
  <c r="DF3" i="12"/>
  <c r="DF2" i="12"/>
  <c r="DE4" i="12"/>
  <c r="DE3" i="12"/>
  <c r="DI3" i="12"/>
  <c r="DE2" i="12"/>
  <c r="CY2" i="12"/>
  <c r="NQ7" i="12"/>
  <c r="MO23" i="12"/>
  <c r="MO22" i="12"/>
  <c r="MO21" i="12"/>
  <c r="MO16" i="12"/>
  <c r="MO15" i="12"/>
  <c r="MO14" i="12"/>
  <c r="MO9" i="12"/>
  <c r="MO8" i="12"/>
  <c r="NP4" i="12"/>
  <c r="NO4" i="12"/>
  <c r="NN4" i="12"/>
  <c r="NM4" i="12"/>
  <c r="NL4" i="12"/>
  <c r="NK4" i="12"/>
  <c r="NJ4" i="12"/>
  <c r="NI4" i="12"/>
  <c r="NH4" i="12"/>
  <c r="NG4" i="12"/>
  <c r="NF4" i="12"/>
  <c r="NE4" i="12"/>
  <c r="ND4" i="12"/>
  <c r="NC4" i="12"/>
  <c r="NB4" i="12"/>
  <c r="NA4" i="12"/>
  <c r="MS4" i="12"/>
  <c r="MR4" i="12"/>
  <c r="MQ4" i="12"/>
  <c r="MP4" i="12"/>
  <c r="NP3" i="12"/>
  <c r="NO3" i="12"/>
  <c r="NN3" i="12"/>
  <c r="NM3" i="12"/>
  <c r="NL3" i="12"/>
  <c r="NK3" i="12"/>
  <c r="NJ3" i="12"/>
  <c r="NI3" i="12"/>
  <c r="NH3" i="12"/>
  <c r="NG3" i="12"/>
  <c r="NF3" i="12"/>
  <c r="NE3" i="12"/>
  <c r="ND3" i="12"/>
  <c r="NC3" i="12"/>
  <c r="NB3" i="12"/>
  <c r="NA3" i="12"/>
  <c r="MS3" i="12"/>
  <c r="MR3" i="12"/>
  <c r="MQ3" i="12"/>
  <c r="MP3" i="12"/>
  <c r="NP2" i="12"/>
  <c r="NO2" i="12"/>
  <c r="NN2" i="12"/>
  <c r="NM2" i="12"/>
  <c r="NL2" i="12"/>
  <c r="NK2" i="12"/>
  <c r="NJ2" i="12"/>
  <c r="NI2" i="12"/>
  <c r="NH2" i="12"/>
  <c r="NG2" i="12"/>
  <c r="NF2" i="12"/>
  <c r="NE2" i="12"/>
  <c r="ND2" i="12"/>
  <c r="NC2" i="12"/>
  <c r="NB2" i="12"/>
  <c r="NA2" i="12"/>
  <c r="MS2" i="12"/>
  <c r="MR2" i="12"/>
  <c r="MQ2" i="12"/>
  <c r="MP2" i="12"/>
  <c r="MO7" i="12"/>
  <c r="OS23" i="12"/>
  <c r="OS22" i="12"/>
  <c r="OS21" i="12"/>
  <c r="OS16" i="12"/>
  <c r="OS15" i="12"/>
  <c r="OS14" i="12"/>
  <c r="OS9" i="12"/>
  <c r="OS8" i="12"/>
  <c r="OS7" i="12"/>
  <c r="PT4" i="12"/>
  <c r="PS4" i="12"/>
  <c r="PR4" i="12"/>
  <c r="PQ4" i="12"/>
  <c r="PP4" i="12"/>
  <c r="PO4" i="12"/>
  <c r="PN4" i="12"/>
  <c r="PM4" i="12"/>
  <c r="PL4" i="12"/>
  <c r="PK4" i="12"/>
  <c r="PJ4" i="12"/>
  <c r="PI4" i="12"/>
  <c r="PH4" i="12"/>
  <c r="PG4" i="12"/>
  <c r="PF4" i="12"/>
  <c r="PE4" i="12"/>
  <c r="OW4" i="12"/>
  <c r="OV4" i="12"/>
  <c r="OU4" i="12"/>
  <c r="OT4" i="12"/>
  <c r="PT3" i="12"/>
  <c r="PS3" i="12"/>
  <c r="PR3" i="12"/>
  <c r="PQ3" i="12"/>
  <c r="PP3" i="12"/>
  <c r="PO3" i="12"/>
  <c r="PN3" i="12"/>
  <c r="PM3" i="12"/>
  <c r="PL3" i="12"/>
  <c r="PK3" i="12"/>
  <c r="PJ3" i="12"/>
  <c r="PI3" i="12"/>
  <c r="PH3" i="12"/>
  <c r="PG3" i="12"/>
  <c r="PF3" i="12"/>
  <c r="PE3" i="12"/>
  <c r="OW3" i="12"/>
  <c r="OV3" i="12"/>
  <c r="OU3" i="12"/>
  <c r="OT3" i="12"/>
  <c r="PT2" i="12"/>
  <c r="PS2" i="12"/>
  <c r="PR2" i="12"/>
  <c r="PQ2" i="12"/>
  <c r="PP2" i="12"/>
  <c r="PO2" i="12"/>
  <c r="PN2" i="12"/>
  <c r="PM2" i="12"/>
  <c r="PL2" i="12"/>
  <c r="PK2" i="12"/>
  <c r="PJ2" i="12"/>
  <c r="PI2" i="12"/>
  <c r="PH2" i="12"/>
  <c r="PG2" i="12"/>
  <c r="PF2" i="12"/>
  <c r="PE2" i="12"/>
  <c r="OW2" i="12"/>
  <c r="OV2" i="12"/>
  <c r="OU2" i="12"/>
  <c r="OT2" i="12"/>
  <c r="NQ23" i="12"/>
  <c r="NQ22" i="12"/>
  <c r="NQ21" i="12"/>
  <c r="NQ16" i="12"/>
  <c r="NQ15" i="12"/>
  <c r="NQ14" i="12"/>
  <c r="NQ9" i="12"/>
  <c r="NQ8" i="12"/>
  <c r="OR4" i="12"/>
  <c r="OQ4" i="12"/>
  <c r="OP4" i="12"/>
  <c r="OO4" i="12"/>
  <c r="ON4" i="12"/>
  <c r="OM4" i="12"/>
  <c r="OL4" i="12"/>
  <c r="OK4" i="12"/>
  <c r="OJ4" i="12"/>
  <c r="OI4" i="12"/>
  <c r="OH4" i="12"/>
  <c r="OG4" i="12"/>
  <c r="OF4" i="12"/>
  <c r="OE4" i="12"/>
  <c r="OD4" i="12"/>
  <c r="OC4" i="12"/>
  <c r="NU4" i="12"/>
  <c r="NT4" i="12"/>
  <c r="NS4" i="12"/>
  <c r="NR4" i="12"/>
  <c r="OR3" i="12"/>
  <c r="OQ3" i="12"/>
  <c r="OP3" i="12"/>
  <c r="OO3" i="12"/>
  <c r="ON3" i="12"/>
  <c r="OM3" i="12"/>
  <c r="OL3" i="12"/>
  <c r="OK3" i="12"/>
  <c r="OJ3" i="12"/>
  <c r="OI3" i="12"/>
  <c r="OH3" i="12"/>
  <c r="OG3" i="12"/>
  <c r="OF3" i="12"/>
  <c r="OE3" i="12"/>
  <c r="OD3" i="12"/>
  <c r="OC3" i="12"/>
  <c r="NU3" i="12"/>
  <c r="NT3" i="12"/>
  <c r="NS3" i="12"/>
  <c r="NR3" i="12"/>
  <c r="OR2" i="12"/>
  <c r="OQ2" i="12"/>
  <c r="OP2" i="12"/>
  <c r="OO2" i="12"/>
  <c r="ON2" i="12"/>
  <c r="OM2" i="12"/>
  <c r="OL2" i="12"/>
  <c r="OK2" i="12"/>
  <c r="OJ2" i="12"/>
  <c r="OI2" i="12"/>
  <c r="OH2" i="12"/>
  <c r="OG2" i="12"/>
  <c r="OF2" i="12"/>
  <c r="OE2" i="12"/>
  <c r="OD2" i="12"/>
  <c r="OC2" i="12"/>
  <c r="NU2" i="12"/>
  <c r="NT2" i="12"/>
  <c r="NS2" i="12"/>
  <c r="NR2" i="12"/>
  <c r="LM23" i="12"/>
  <c r="LM22" i="12"/>
  <c r="LM21" i="12"/>
  <c r="LM16" i="12"/>
  <c r="LM15" i="12"/>
  <c r="LM14" i="12"/>
  <c r="LM9" i="12"/>
  <c r="LM8" i="12"/>
  <c r="LM7" i="12"/>
  <c r="MN4" i="12"/>
  <c r="MM4" i="12"/>
  <c r="ML4" i="12"/>
  <c r="MK4" i="12"/>
  <c r="MJ4" i="12"/>
  <c r="MI4" i="12"/>
  <c r="MH4" i="12"/>
  <c r="MG4" i="12"/>
  <c r="MF4" i="12"/>
  <c r="ME4" i="12"/>
  <c r="MD4" i="12"/>
  <c r="MC4" i="12"/>
  <c r="MB4" i="12"/>
  <c r="MA4" i="12"/>
  <c r="LZ4" i="12"/>
  <c r="LY4" i="12"/>
  <c r="LQ4" i="12"/>
  <c r="LP4" i="12"/>
  <c r="LO4" i="12"/>
  <c r="LN4" i="12"/>
  <c r="MN3" i="12"/>
  <c r="MM3" i="12"/>
  <c r="ML3" i="12"/>
  <c r="MK3" i="12"/>
  <c r="MJ3" i="12"/>
  <c r="MI3" i="12"/>
  <c r="MH3" i="12"/>
  <c r="MG3" i="12"/>
  <c r="MF3" i="12"/>
  <c r="ME3" i="12"/>
  <c r="MD3" i="12"/>
  <c r="MC3" i="12"/>
  <c r="MB3" i="12"/>
  <c r="MA3" i="12"/>
  <c r="LZ3" i="12"/>
  <c r="LY3" i="12"/>
  <c r="LQ3" i="12"/>
  <c r="LP3" i="12"/>
  <c r="LO3" i="12"/>
  <c r="LN3" i="12"/>
  <c r="MN2" i="12"/>
  <c r="MM2" i="12"/>
  <c r="ML2" i="12"/>
  <c r="MK2" i="12"/>
  <c r="MJ2" i="12"/>
  <c r="MI2" i="12"/>
  <c r="MH2" i="12"/>
  <c r="MG2" i="12"/>
  <c r="MF2" i="12"/>
  <c r="ME2" i="12"/>
  <c r="MD2" i="12"/>
  <c r="MC2" i="12"/>
  <c r="MB2" i="12"/>
  <c r="MA2" i="12"/>
  <c r="LZ2" i="12"/>
  <c r="LY2" i="12"/>
  <c r="LQ2" i="12"/>
  <c r="LP2" i="12"/>
  <c r="LO2" i="12"/>
  <c r="LN2" i="12"/>
  <c r="KK23" i="12"/>
  <c r="KK22" i="12"/>
  <c r="KK21" i="12"/>
  <c r="KK16" i="12"/>
  <c r="KK15" i="12"/>
  <c r="KK14" i="12"/>
  <c r="KK9" i="12"/>
  <c r="KK8" i="12"/>
  <c r="KK7" i="12"/>
  <c r="LL4" i="12"/>
  <c r="LK4" i="12"/>
  <c r="LJ4" i="12"/>
  <c r="LI4" i="12"/>
  <c r="LH4" i="12"/>
  <c r="LG4" i="12"/>
  <c r="LF4" i="12"/>
  <c r="LE4" i="12"/>
  <c r="LD4" i="12"/>
  <c r="LC4" i="12"/>
  <c r="LB4" i="12"/>
  <c r="LA4" i="12"/>
  <c r="KZ4" i="12"/>
  <c r="KY4" i="12"/>
  <c r="KX4" i="12"/>
  <c r="KW4" i="12"/>
  <c r="KO4" i="12"/>
  <c r="KN4" i="12"/>
  <c r="KM4" i="12"/>
  <c r="KL4" i="12"/>
  <c r="LL3" i="12"/>
  <c r="LK3" i="12"/>
  <c r="LJ3" i="12"/>
  <c r="LI3" i="12"/>
  <c r="LH3" i="12"/>
  <c r="LG3" i="12"/>
  <c r="LF3" i="12"/>
  <c r="LE3" i="12"/>
  <c r="LD3" i="12"/>
  <c r="LC3" i="12"/>
  <c r="LB3" i="12"/>
  <c r="LA3" i="12"/>
  <c r="KZ3" i="12"/>
  <c r="KY3" i="12"/>
  <c r="KX3" i="12"/>
  <c r="KW3" i="12"/>
  <c r="KO3" i="12"/>
  <c r="KN3" i="12"/>
  <c r="KM3" i="12"/>
  <c r="KL3" i="12"/>
  <c r="LL2" i="12"/>
  <c r="LK2" i="12"/>
  <c r="LJ2" i="12"/>
  <c r="LI2" i="12"/>
  <c r="LH2" i="12"/>
  <c r="LG2" i="12"/>
  <c r="LF2" i="12"/>
  <c r="LE2" i="12"/>
  <c r="LD2" i="12"/>
  <c r="LC2" i="12"/>
  <c r="LB2" i="12"/>
  <c r="LA2" i="12"/>
  <c r="KZ2" i="12"/>
  <c r="KY2" i="12"/>
  <c r="KX2" i="12"/>
  <c r="KW2" i="12"/>
  <c r="KO2" i="12"/>
  <c r="KN2" i="12"/>
  <c r="KM2" i="12"/>
  <c r="KL2" i="12"/>
  <c r="JI23" i="12"/>
  <c r="JI22" i="12"/>
  <c r="JI21" i="12"/>
  <c r="JI16" i="12"/>
  <c r="JI15" i="12"/>
  <c r="JI14" i="12"/>
  <c r="JI9" i="12"/>
  <c r="JI8" i="12"/>
  <c r="JI7" i="12"/>
  <c r="KJ4" i="12"/>
  <c r="KI4" i="12"/>
  <c r="KH4" i="12"/>
  <c r="KG4" i="12"/>
  <c r="KF4" i="12"/>
  <c r="KE4" i="12"/>
  <c r="KD4" i="12"/>
  <c r="KC4" i="12"/>
  <c r="KB4" i="12"/>
  <c r="KA4" i="12"/>
  <c r="JZ4" i="12"/>
  <c r="JY4" i="12"/>
  <c r="JX4" i="12"/>
  <c r="JW4" i="12"/>
  <c r="JV4" i="12"/>
  <c r="JU4" i="12"/>
  <c r="JM4" i="12"/>
  <c r="JL4" i="12"/>
  <c r="JK4" i="12"/>
  <c r="JJ4" i="12"/>
  <c r="KJ3" i="12"/>
  <c r="KI3" i="12"/>
  <c r="KH3" i="12"/>
  <c r="KG3" i="12"/>
  <c r="KF3" i="12"/>
  <c r="KE3" i="12"/>
  <c r="KD3" i="12"/>
  <c r="KC3" i="12"/>
  <c r="KB3" i="12"/>
  <c r="KA3" i="12"/>
  <c r="JZ3" i="12"/>
  <c r="JY3" i="12"/>
  <c r="JX3" i="12"/>
  <c r="JW3" i="12"/>
  <c r="JV3" i="12"/>
  <c r="JU3" i="12"/>
  <c r="JM3" i="12"/>
  <c r="JL3" i="12"/>
  <c r="JK3" i="12"/>
  <c r="JJ3" i="12"/>
  <c r="KJ2" i="12"/>
  <c r="KI2" i="12"/>
  <c r="KH2" i="12"/>
  <c r="KG2" i="12"/>
  <c r="KF2" i="12"/>
  <c r="KE2" i="12"/>
  <c r="KD2" i="12"/>
  <c r="KC2" i="12"/>
  <c r="KB2" i="12"/>
  <c r="KA2" i="12"/>
  <c r="JZ2" i="12"/>
  <c r="JY2" i="12"/>
  <c r="JX2" i="12"/>
  <c r="JW2" i="12"/>
  <c r="JV2" i="12"/>
  <c r="JU2" i="12"/>
  <c r="JM2" i="12"/>
  <c r="JL2" i="12"/>
  <c r="JK2" i="12"/>
  <c r="JJ2" i="12"/>
  <c r="IG23" i="12"/>
  <c r="IG22" i="12"/>
  <c r="IG21" i="12"/>
  <c r="IG16" i="12"/>
  <c r="IG15" i="12"/>
  <c r="IG14" i="12"/>
  <c r="IG9" i="12"/>
  <c r="IG8" i="12"/>
  <c r="IG7" i="12"/>
  <c r="JH4" i="12"/>
  <c r="JG4" i="12"/>
  <c r="JF4" i="12"/>
  <c r="JE4" i="12"/>
  <c r="JD4" i="12"/>
  <c r="JC4" i="12"/>
  <c r="JB4" i="12"/>
  <c r="JA4" i="12"/>
  <c r="IZ4" i="12"/>
  <c r="IY4" i="12"/>
  <c r="IX4" i="12"/>
  <c r="IW4" i="12"/>
  <c r="IV4" i="12"/>
  <c r="IU4" i="12"/>
  <c r="IT4" i="12"/>
  <c r="IS4" i="12"/>
  <c r="IK4" i="12"/>
  <c r="IJ4" i="12"/>
  <c r="II4" i="12"/>
  <c r="IH4" i="12"/>
  <c r="JH3" i="12"/>
  <c r="JG3" i="12"/>
  <c r="JF3" i="12"/>
  <c r="JE3" i="12"/>
  <c r="JD3" i="12"/>
  <c r="JC3" i="12"/>
  <c r="JB3" i="12"/>
  <c r="JA3" i="12"/>
  <c r="IZ3" i="12"/>
  <c r="IY3" i="12"/>
  <c r="IX3" i="12"/>
  <c r="IW3" i="12"/>
  <c r="IV3" i="12"/>
  <c r="IU3" i="12"/>
  <c r="IT3" i="12"/>
  <c r="IS3" i="12"/>
  <c r="IK3" i="12"/>
  <c r="IJ3" i="12"/>
  <c r="II3" i="12"/>
  <c r="IH3" i="12"/>
  <c r="JH2" i="12"/>
  <c r="JG2" i="12"/>
  <c r="JF2" i="12"/>
  <c r="JE2" i="12"/>
  <c r="JD2" i="12"/>
  <c r="JC2" i="12"/>
  <c r="JB2" i="12"/>
  <c r="JA2" i="12"/>
  <c r="IZ2" i="12"/>
  <c r="IY2" i="12"/>
  <c r="IX2" i="12"/>
  <c r="IW2" i="12"/>
  <c r="IV2" i="12"/>
  <c r="IU2" i="12"/>
  <c r="IT2" i="12"/>
  <c r="IS2" i="12"/>
  <c r="IK2" i="12"/>
  <c r="IJ2" i="12"/>
  <c r="II2" i="12"/>
  <c r="IH2" i="12"/>
  <c r="HE23" i="12"/>
  <c r="HE22" i="12"/>
  <c r="HE21" i="12"/>
  <c r="HE16" i="12"/>
  <c r="HE15" i="12"/>
  <c r="HE14" i="12"/>
  <c r="HE9" i="12"/>
  <c r="HE8" i="12"/>
  <c r="HE7" i="12"/>
  <c r="IF4" i="12"/>
  <c r="IE4" i="12"/>
  <c r="ID4" i="12"/>
  <c r="IC4" i="12"/>
  <c r="IB4" i="12"/>
  <c r="IA4" i="12"/>
  <c r="HZ4" i="12"/>
  <c r="HY4" i="12"/>
  <c r="HX4" i="12"/>
  <c r="HW4" i="12"/>
  <c r="HV4" i="12"/>
  <c r="HU4" i="12"/>
  <c r="HT4" i="12"/>
  <c r="HS4" i="12"/>
  <c r="HR4" i="12"/>
  <c r="HQ4" i="12"/>
  <c r="HI4" i="12"/>
  <c r="HH4" i="12"/>
  <c r="HG4" i="12"/>
  <c r="HF4" i="12"/>
  <c r="IF3" i="12"/>
  <c r="IE3" i="12"/>
  <c r="ID3" i="12"/>
  <c r="IC3" i="12"/>
  <c r="IB3" i="12"/>
  <c r="IA3" i="12"/>
  <c r="HZ3" i="12"/>
  <c r="HY3" i="12"/>
  <c r="HX3" i="12"/>
  <c r="HW3" i="12"/>
  <c r="HV3" i="12"/>
  <c r="HU3" i="12"/>
  <c r="HT3" i="12"/>
  <c r="HS3" i="12"/>
  <c r="HR3" i="12"/>
  <c r="HQ3" i="12"/>
  <c r="HI3" i="12"/>
  <c r="HH3" i="12"/>
  <c r="HG3" i="12"/>
  <c r="HF3" i="12"/>
  <c r="IF2" i="12"/>
  <c r="IE2" i="12"/>
  <c r="ID2" i="12"/>
  <c r="IC2" i="12"/>
  <c r="IB2" i="12"/>
  <c r="IA2" i="12"/>
  <c r="HZ2" i="12"/>
  <c r="HY2" i="12"/>
  <c r="HX2" i="12"/>
  <c r="HW2" i="12"/>
  <c r="HV2" i="12"/>
  <c r="HU2" i="12"/>
  <c r="HT2" i="12"/>
  <c r="HS2" i="12"/>
  <c r="HR2" i="12"/>
  <c r="HQ2" i="12"/>
  <c r="HI2" i="12"/>
  <c r="HH2" i="12"/>
  <c r="HG2" i="12"/>
  <c r="HF2" i="12"/>
  <c r="GC23" i="12"/>
  <c r="GC22" i="12"/>
  <c r="GC21" i="12"/>
  <c r="GC16" i="12"/>
  <c r="GC15" i="12"/>
  <c r="GC14" i="12"/>
  <c r="GC9" i="12"/>
  <c r="GC8" i="12"/>
  <c r="GC7" i="12"/>
  <c r="HD4" i="12"/>
  <c r="HC4" i="12"/>
  <c r="HB4" i="12"/>
  <c r="HA4" i="12"/>
  <c r="GZ4" i="12"/>
  <c r="GY4" i="12"/>
  <c r="GX4" i="12"/>
  <c r="GW4" i="12"/>
  <c r="GV4" i="12"/>
  <c r="GU4" i="12"/>
  <c r="GT4" i="12"/>
  <c r="GS4" i="12"/>
  <c r="GR4" i="12"/>
  <c r="GQ4" i="12"/>
  <c r="GP4" i="12"/>
  <c r="GO4" i="12"/>
  <c r="GG4" i="12"/>
  <c r="GF4" i="12"/>
  <c r="GE4" i="12"/>
  <c r="GD4" i="12"/>
  <c r="HD3" i="12"/>
  <c r="HC3" i="12"/>
  <c r="HB3" i="12"/>
  <c r="HA3" i="12"/>
  <c r="GZ3" i="12"/>
  <c r="GY3" i="12"/>
  <c r="GX3" i="12"/>
  <c r="GW3" i="12"/>
  <c r="GV3" i="12"/>
  <c r="GU3" i="12"/>
  <c r="GT3" i="12"/>
  <c r="GS3" i="12"/>
  <c r="GR3" i="12"/>
  <c r="GQ3" i="12"/>
  <c r="GP3" i="12"/>
  <c r="GO3" i="12"/>
  <c r="GG3" i="12"/>
  <c r="GF3" i="12"/>
  <c r="GE3" i="12"/>
  <c r="GD3" i="12"/>
  <c r="HD2" i="12"/>
  <c r="HC2" i="12"/>
  <c r="HB2" i="12"/>
  <c r="HA2" i="12"/>
  <c r="GZ2" i="12"/>
  <c r="GY2" i="12"/>
  <c r="GX2" i="12"/>
  <c r="GW2" i="12"/>
  <c r="GV2" i="12"/>
  <c r="GU2" i="12"/>
  <c r="GT2" i="12"/>
  <c r="GS2" i="12"/>
  <c r="GR2" i="12"/>
  <c r="GQ2" i="12"/>
  <c r="GP2" i="12"/>
  <c r="GO2" i="12"/>
  <c r="GG2" i="12"/>
  <c r="GF2" i="12"/>
  <c r="GE2" i="12"/>
  <c r="GD2" i="12"/>
  <c r="FA23" i="12"/>
  <c r="FA22" i="12"/>
  <c r="FA21" i="12"/>
  <c r="FA16" i="12"/>
  <c r="FA15" i="12"/>
  <c r="FA14" i="12"/>
  <c r="FA9" i="12"/>
  <c r="FA8" i="12"/>
  <c r="FA7" i="12"/>
  <c r="GB4" i="12"/>
  <c r="GA4" i="12"/>
  <c r="FZ4" i="12"/>
  <c r="FY4" i="12"/>
  <c r="FX4" i="12"/>
  <c r="FW4" i="12"/>
  <c r="FV4" i="12"/>
  <c r="FU4" i="12"/>
  <c r="FT4" i="12"/>
  <c r="FS4" i="12"/>
  <c r="FR4" i="12"/>
  <c r="FQ4" i="12"/>
  <c r="FP4" i="12"/>
  <c r="FO4" i="12"/>
  <c r="FN4" i="12"/>
  <c r="FM4" i="12"/>
  <c r="FE4" i="12"/>
  <c r="FD4" i="12"/>
  <c r="FC4" i="12"/>
  <c r="FB4" i="12"/>
  <c r="GB3" i="12"/>
  <c r="GA3" i="12"/>
  <c r="FZ3" i="12"/>
  <c r="FY3" i="12"/>
  <c r="FX3" i="12"/>
  <c r="FW3" i="12"/>
  <c r="FV3" i="12"/>
  <c r="FU3" i="12"/>
  <c r="FT3" i="12"/>
  <c r="FS3" i="12"/>
  <c r="FR3" i="12"/>
  <c r="FQ3" i="12"/>
  <c r="FP3" i="12"/>
  <c r="FO3" i="12"/>
  <c r="FN3" i="12"/>
  <c r="FM3" i="12"/>
  <c r="FE3" i="12"/>
  <c r="FD3" i="12"/>
  <c r="FC3" i="12"/>
  <c r="FB3" i="12"/>
  <c r="GB2" i="12"/>
  <c r="GA2" i="12"/>
  <c r="FZ2" i="12"/>
  <c r="FY2" i="12"/>
  <c r="FX2" i="12"/>
  <c r="FW2" i="12"/>
  <c r="FV2" i="12"/>
  <c r="FU2" i="12"/>
  <c r="FT2" i="12"/>
  <c r="FS2" i="12"/>
  <c r="FR2" i="12"/>
  <c r="FQ2" i="12"/>
  <c r="FP2" i="12"/>
  <c r="FO2" i="12"/>
  <c r="FN2" i="12"/>
  <c r="FM2" i="12"/>
  <c r="FE2" i="12"/>
  <c r="FD2" i="12"/>
  <c r="FC2" i="12"/>
  <c r="FB2" i="12"/>
  <c r="DY23" i="12"/>
  <c r="DY22" i="12"/>
  <c r="DY21" i="12"/>
  <c r="DY16" i="12"/>
  <c r="DY15" i="12"/>
  <c r="DY14" i="12"/>
  <c r="DY9" i="12"/>
  <c r="DY8" i="12"/>
  <c r="DY7" i="12"/>
  <c r="EZ4" i="12"/>
  <c r="EY4" i="12"/>
  <c r="EX4" i="12"/>
  <c r="EW4" i="12"/>
  <c r="EV4" i="12"/>
  <c r="EU4" i="12"/>
  <c r="ET4" i="12"/>
  <c r="ES4" i="12"/>
  <c r="ER4" i="12"/>
  <c r="EQ4" i="12"/>
  <c r="EP4" i="12"/>
  <c r="EO4" i="12"/>
  <c r="EN4" i="12"/>
  <c r="EM4" i="12"/>
  <c r="EL4" i="12"/>
  <c r="EK4" i="12"/>
  <c r="EC4" i="12"/>
  <c r="EB4" i="12"/>
  <c r="EA4" i="12"/>
  <c r="DZ4" i="12"/>
  <c r="EZ3" i="12"/>
  <c r="EY3" i="12"/>
  <c r="EX3" i="12"/>
  <c r="EW3" i="12"/>
  <c r="EV3" i="12"/>
  <c r="EU3" i="12"/>
  <c r="ET3" i="12"/>
  <c r="ES3" i="12"/>
  <c r="ER3" i="12"/>
  <c r="EQ3" i="12"/>
  <c r="EP3" i="12"/>
  <c r="EO3" i="12"/>
  <c r="EN3" i="12"/>
  <c r="EM3" i="12"/>
  <c r="EL3" i="12"/>
  <c r="EK3" i="12"/>
  <c r="EC3" i="12"/>
  <c r="EB3" i="12"/>
  <c r="EA3" i="12"/>
  <c r="DZ3" i="12"/>
  <c r="EZ2" i="12"/>
  <c r="EY2" i="12"/>
  <c r="EX2" i="12"/>
  <c r="EW2" i="12"/>
  <c r="EV2" i="12"/>
  <c r="EU2" i="12"/>
  <c r="ET2" i="12"/>
  <c r="ES2" i="12"/>
  <c r="ER2" i="12"/>
  <c r="EQ2" i="12"/>
  <c r="EP2" i="12"/>
  <c r="EO2" i="12"/>
  <c r="EN2" i="12"/>
  <c r="EM2" i="12"/>
  <c r="EL2" i="12"/>
  <c r="EK2" i="12"/>
  <c r="EC2" i="12"/>
  <c r="EB2" i="12"/>
  <c r="EA2" i="12"/>
  <c r="DZ2" i="12"/>
  <c r="CZ2" i="12"/>
  <c r="DW4" i="12"/>
  <c r="DW3" i="12"/>
  <c r="DV3" i="12"/>
  <c r="DU4" i="12"/>
  <c r="DU3" i="12"/>
  <c r="DT3" i="12"/>
  <c r="DW2" i="12"/>
  <c r="DU2" i="12"/>
  <c r="DT2" i="12"/>
  <c r="DO4" i="12"/>
  <c r="DO3" i="12"/>
  <c r="DN3" i="12"/>
  <c r="DO2" i="12"/>
  <c r="DM2" i="12"/>
  <c r="DM4" i="12"/>
  <c r="DM3" i="12"/>
  <c r="DL3" i="12"/>
  <c r="DL2" i="12"/>
  <c r="DX3" i="12"/>
  <c r="GH2" i="12" l="1"/>
  <c r="OX4" i="12"/>
  <c r="FF4" i="12"/>
  <c r="HJ4" i="12"/>
  <c r="NV2" i="12"/>
  <c r="NW3" i="12"/>
  <c r="NV4" i="12"/>
  <c r="OX2" i="12"/>
  <c r="IL3" i="12"/>
  <c r="LR3" i="12"/>
  <c r="OY2" i="12"/>
  <c r="OY3" i="12"/>
  <c r="OX3" i="12"/>
  <c r="OY4" i="12"/>
  <c r="JN4" i="12"/>
  <c r="HK2" i="12"/>
  <c r="HK4" i="12"/>
  <c r="KP2" i="12"/>
  <c r="KQ3" i="12"/>
  <c r="NW2" i="12"/>
  <c r="FF2" i="12"/>
  <c r="GI4" i="12"/>
  <c r="MT3" i="12"/>
  <c r="NW4" i="12"/>
  <c r="JO3" i="12"/>
  <c r="LR4" i="12"/>
  <c r="GI3" i="12"/>
  <c r="GH4" i="12"/>
  <c r="HJ3" i="12"/>
  <c r="EE2" i="12"/>
  <c r="ED3" i="12"/>
  <c r="IL4" i="12"/>
  <c r="KQ2" i="12"/>
  <c r="LS2" i="12"/>
  <c r="LS3" i="12"/>
  <c r="MT4" i="12"/>
  <c r="MT2" i="12"/>
  <c r="NV3" i="12"/>
  <c r="FG3" i="12"/>
  <c r="JN3" i="12"/>
  <c r="JO2" i="12"/>
  <c r="LR2" i="12"/>
  <c r="LS4" i="12"/>
  <c r="EE4" i="12"/>
  <c r="GI2" i="12"/>
  <c r="GH3" i="12"/>
  <c r="IL2" i="12"/>
  <c r="IM3" i="12"/>
  <c r="KP3" i="12"/>
  <c r="KP4" i="12"/>
  <c r="ED2" i="12"/>
  <c r="EE3" i="12"/>
  <c r="KQ4" i="12"/>
  <c r="MU3" i="12"/>
  <c r="MU4" i="12"/>
  <c r="MU2" i="12"/>
  <c r="JN2" i="12"/>
  <c r="JO4" i="12"/>
  <c r="IM2" i="12"/>
  <c r="IM4" i="12"/>
  <c r="HJ2" i="12"/>
  <c r="HK3" i="12"/>
  <c r="FG2" i="12"/>
  <c r="FF3" i="12"/>
  <c r="FG4" i="12"/>
  <c r="ED4" i="12"/>
  <c r="DX4" i="12"/>
  <c r="DV4" i="12"/>
  <c r="DT4" i="12"/>
  <c r="DS3" i="12"/>
  <c r="DS4" i="12"/>
  <c r="DR3" i="12"/>
  <c r="DR4" i="12"/>
  <c r="DQ3" i="12"/>
  <c r="DQ4" i="12"/>
  <c r="DP3" i="12"/>
  <c r="DP4" i="12"/>
  <c r="DN4" i="12"/>
  <c r="DL4" i="12"/>
  <c r="DK3" i="12"/>
  <c r="DK4" i="12"/>
  <c r="DJ3" i="12"/>
  <c r="DJ4" i="12"/>
  <c r="DI4" i="12"/>
  <c r="DX2" i="12"/>
  <c r="DV2" i="12"/>
  <c r="DR2" i="12"/>
  <c r="DS2" i="12"/>
  <c r="DQ2" i="12"/>
  <c r="DP2" i="12"/>
  <c r="DN2" i="12"/>
  <c r="DJ2" i="12"/>
  <c r="DK2" i="12"/>
  <c r="DI2" i="12"/>
  <c r="DA3" i="12"/>
  <c r="DA4" i="12"/>
  <c r="CZ4" i="12"/>
  <c r="CZ3" i="12"/>
  <c r="CY4" i="12"/>
  <c r="CY3" i="12"/>
  <c r="CX4" i="12"/>
  <c r="CX3" i="12"/>
  <c r="CX2" i="12"/>
  <c r="CW23" i="12"/>
  <c r="CW22" i="12"/>
  <c r="CW21" i="12"/>
  <c r="CW16" i="12"/>
  <c r="CW15" i="12"/>
  <c r="CW14" i="12"/>
  <c r="BU4" i="12"/>
  <c r="BB4" i="12" s="1"/>
  <c r="BT4" i="12"/>
  <c r="BA4" i="12" s="1"/>
  <c r="BS4" i="12"/>
  <c r="AZ4" i="12" s="1"/>
  <c r="BQ4" i="12"/>
  <c r="BP4" i="12"/>
  <c r="AW4" i="12" s="1"/>
  <c r="BO4" i="12"/>
  <c r="AV4" i="12" s="1"/>
  <c r="BN4" i="12"/>
  <c r="AU4" i="12" s="1"/>
  <c r="BM4" i="12"/>
  <c r="AT4" i="12" s="1"/>
  <c r="BL25" i="12"/>
  <c r="BL24" i="12"/>
  <c r="BL23" i="12"/>
  <c r="BI25" i="12"/>
  <c r="BI24" i="12"/>
  <c r="BG25" i="12"/>
  <c r="BG24" i="12"/>
  <c r="BG23" i="12"/>
  <c r="BF25" i="12"/>
  <c r="BF24" i="12"/>
  <c r="BF23" i="12"/>
  <c r="BE25" i="12"/>
  <c r="BE24" i="12"/>
  <c r="BE23" i="12"/>
  <c r="BD25" i="12"/>
  <c r="BD24" i="12"/>
  <c r="BD23" i="12"/>
  <c r="BC25" i="12"/>
  <c r="BC24" i="12"/>
  <c r="BC23" i="12"/>
  <c r="G4" i="12"/>
  <c r="H3" i="12"/>
  <c r="I3" i="12" s="1"/>
  <c r="H4" i="12"/>
  <c r="G3" i="12"/>
  <c r="BM3" i="12"/>
  <c r="AT3" i="12" s="1"/>
  <c r="BU3" i="12"/>
  <c r="BB3" i="12" s="1"/>
  <c r="BT3" i="12"/>
  <c r="BA3" i="12" s="1"/>
  <c r="BS3" i="12"/>
  <c r="AZ3" i="12" s="1"/>
  <c r="BQ3" i="12"/>
  <c r="BP3" i="12"/>
  <c r="AW3" i="12" s="1"/>
  <c r="BO3" i="12"/>
  <c r="AV3" i="12" s="1"/>
  <c r="BN3" i="12"/>
  <c r="AU3" i="12" s="1"/>
  <c r="BL18" i="12"/>
  <c r="BL17" i="12"/>
  <c r="BL16" i="12"/>
  <c r="BI18" i="12"/>
  <c r="BI17" i="12"/>
  <c r="BI16" i="12"/>
  <c r="BG16" i="12"/>
  <c r="BG18" i="12"/>
  <c r="BG17" i="12"/>
  <c r="BF18" i="12"/>
  <c r="BF17" i="12"/>
  <c r="BF16" i="12"/>
  <c r="BE18" i="12"/>
  <c r="BE17" i="12"/>
  <c r="BE16" i="12"/>
  <c r="BD16" i="12"/>
  <c r="BD18" i="12"/>
  <c r="BD17" i="12"/>
  <c r="BC16" i="12"/>
  <c r="BC18" i="12"/>
  <c r="BC17" i="12"/>
  <c r="R4" i="12"/>
  <c r="Q4" i="12"/>
  <c r="E4" i="12"/>
  <c r="F4" i="12"/>
  <c r="R3" i="12"/>
  <c r="Q3" i="12"/>
  <c r="F3" i="12"/>
  <c r="E3" i="12"/>
  <c r="B4" i="12"/>
  <c r="C4" i="12" s="1"/>
  <c r="B3" i="12"/>
  <c r="C3" i="12" s="1"/>
  <c r="C9" i="12"/>
  <c r="AY3" i="12" l="1"/>
  <c r="AX3" i="12"/>
  <c r="AY4" i="12"/>
  <c r="AX4" i="12"/>
  <c r="CJ4" i="12"/>
  <c r="CI4" i="12"/>
  <c r="CJ3" i="12"/>
  <c r="CI3" i="12"/>
  <c r="BZ4" i="12"/>
  <c r="CA4" i="12"/>
  <c r="BZ3" i="12"/>
  <c r="CA3" i="12"/>
  <c r="BR4" i="12"/>
  <c r="BV4" i="12"/>
  <c r="BR3" i="12"/>
  <c r="S3" i="12"/>
  <c r="T3" i="12"/>
  <c r="S4" i="12"/>
  <c r="T4" i="12"/>
  <c r="BC4" i="12"/>
  <c r="BC22" i="12" s="1"/>
  <c r="BC3" i="12"/>
  <c r="CE3" i="12"/>
  <c r="BV3" i="12"/>
  <c r="DC3" i="12"/>
  <c r="DB3" i="12"/>
  <c r="DB4" i="12"/>
  <c r="DC4" i="12"/>
  <c r="CC4" i="12"/>
  <c r="N3" i="12"/>
  <c r="N4" i="12"/>
  <c r="CL4" i="12"/>
  <c r="I4" i="12"/>
  <c r="C11" i="12"/>
  <c r="C10" i="12"/>
  <c r="C12" i="12"/>
  <c r="C15" i="12"/>
  <c r="C7" i="12"/>
  <c r="C8" i="12"/>
  <c r="DA2" i="12"/>
  <c r="CW8" i="12"/>
  <c r="CW9" i="12"/>
  <c r="CW7" i="12"/>
  <c r="BM2" i="12"/>
  <c r="AT2" i="12" s="1"/>
  <c r="BC8" i="12"/>
  <c r="BC9" i="12"/>
  <c r="BC7" i="12"/>
  <c r="BL8" i="12"/>
  <c r="BL9" i="12"/>
  <c r="BL7" i="12"/>
  <c r="BJ8" i="12"/>
  <c r="BJ9" i="12"/>
  <c r="BI8" i="12"/>
  <c r="BI9" i="12"/>
  <c r="BI7" i="12"/>
  <c r="BG8" i="12"/>
  <c r="BG7" i="12"/>
  <c r="BG9" i="12"/>
  <c r="BF8" i="12"/>
  <c r="BF9" i="12"/>
  <c r="BF7" i="12"/>
  <c r="BE8" i="12"/>
  <c r="BE9" i="12"/>
  <c r="BE7" i="12"/>
  <c r="BW2" i="12" s="1"/>
  <c r="C2" i="12"/>
  <c r="BD3" i="12" s="1"/>
  <c r="BD9" i="12"/>
  <c r="BD8" i="12"/>
  <c r="BD7" i="12"/>
  <c r="Q2" i="12"/>
  <c r="R2" i="12"/>
  <c r="G2" i="12"/>
  <c r="BU2" i="12"/>
  <c r="BB2" i="12" s="1"/>
  <c r="BT2" i="12"/>
  <c r="BA2" i="12" s="1"/>
  <c r="BS2" i="12"/>
  <c r="AZ2" i="12" s="1"/>
  <c r="BQ2" i="12"/>
  <c r="BP2" i="12"/>
  <c r="AW2" i="12" s="1"/>
  <c r="BO2" i="12"/>
  <c r="AV2" i="12" s="1"/>
  <c r="BN2" i="12"/>
  <c r="AU2" i="12" s="1"/>
  <c r="F2" i="12"/>
  <c r="E2" i="12"/>
  <c r="W2" i="2"/>
  <c r="B55" i="1"/>
  <c r="R49" i="1"/>
  <c r="B56" i="1"/>
  <c r="R77" i="1"/>
  <c r="W56" i="1"/>
  <c r="R7" i="1"/>
  <c r="R56" i="1"/>
  <c r="R55" i="1"/>
  <c r="R31" i="1"/>
  <c r="W55" i="1"/>
  <c r="R58" i="1"/>
  <c r="R11" i="1"/>
  <c r="R15" i="1"/>
  <c r="R71" i="1"/>
  <c r="R40" i="1"/>
  <c r="W71" i="1" l="1"/>
  <c r="B71" i="1" s="1"/>
  <c r="W15" i="1"/>
  <c r="B15" i="1" s="1"/>
  <c r="R79" i="1"/>
  <c r="W11" i="1"/>
  <c r="B11" i="1" s="1"/>
  <c r="R10" i="1"/>
  <c r="R16" i="1"/>
  <c r="W16" i="1" s="1"/>
  <c r="B16" i="1" s="1"/>
  <c r="R9" i="1"/>
  <c r="W7" i="1"/>
  <c r="R8" i="1"/>
  <c r="R14" i="1"/>
  <c r="W58" i="1"/>
  <c r="R57" i="1"/>
  <c r="W77" i="1"/>
  <c r="B77" i="1" s="1"/>
  <c r="R81" i="1"/>
  <c r="W81" i="1" s="1"/>
  <c r="B81" i="1" s="1"/>
  <c r="W49" i="1"/>
  <c r="B49" i="1" s="1"/>
  <c r="W40" i="1"/>
  <c r="B40" i="1" s="1"/>
  <c r="W31" i="1"/>
  <c r="B31" i="1" s="1"/>
  <c r="R61" i="1"/>
  <c r="R26" i="13"/>
  <c r="R22" i="13"/>
  <c r="W22" i="13" s="1"/>
  <c r="B22" i="13" s="1"/>
  <c r="R14" i="13"/>
  <c r="R8" i="13"/>
  <c r="R6" i="13"/>
  <c r="R18" i="13"/>
  <c r="W18" i="13" s="1"/>
  <c r="B18" i="13" s="1"/>
  <c r="R31" i="13"/>
  <c r="R65" i="9"/>
  <c r="R38" i="9"/>
  <c r="W38" i="9" s="1"/>
  <c r="B38" i="9" s="1"/>
  <c r="R15" i="9"/>
  <c r="W15" i="9" s="1"/>
  <c r="B15" i="9" s="1"/>
  <c r="R11" i="9"/>
  <c r="R7" i="9"/>
  <c r="R85" i="9"/>
  <c r="R56" i="9"/>
  <c r="W56" i="9" s="1"/>
  <c r="B56" i="9" s="1"/>
  <c r="R29" i="9"/>
  <c r="R78" i="9"/>
  <c r="R47" i="9"/>
  <c r="W47" i="9" s="1"/>
  <c r="B47" i="9" s="1"/>
  <c r="R63" i="9"/>
  <c r="R62" i="9"/>
  <c r="W63" i="9"/>
  <c r="W62" i="9"/>
  <c r="B63" i="9"/>
  <c r="B62" i="9"/>
  <c r="BC2" i="12"/>
  <c r="J2" i="12"/>
  <c r="AY2" i="12"/>
  <c r="AX2" i="12"/>
  <c r="BD4" i="12"/>
  <c r="BD22" i="12" s="1"/>
  <c r="CN4" i="12" s="1"/>
  <c r="BD2" i="12"/>
  <c r="BD6" i="12" s="1"/>
  <c r="BR2" i="12"/>
  <c r="CI2" i="12"/>
  <c r="BZ2" i="12"/>
  <c r="CA2" i="12"/>
  <c r="BE4" i="12"/>
  <c r="BE22" i="12" s="1"/>
  <c r="BH4" i="12"/>
  <c r="BH22" i="12" s="1"/>
  <c r="CR4" i="12" s="1"/>
  <c r="BH3" i="12"/>
  <c r="BH15" i="12" s="1"/>
  <c r="CR3" i="12" s="1"/>
  <c r="BH2" i="12"/>
  <c r="BH6" i="12" s="1"/>
  <c r="BV2" i="12"/>
  <c r="CE2" i="12"/>
  <c r="BE2" i="12"/>
  <c r="BE6" i="12" s="1"/>
  <c r="CO2" i="12" s="1"/>
  <c r="MO2" i="12"/>
  <c r="MO6" i="12" s="1"/>
  <c r="MV2" i="12" s="1"/>
  <c r="MO3" i="12"/>
  <c r="MO13" i="12" s="1"/>
  <c r="MV3" i="12" s="1"/>
  <c r="BI2" i="12"/>
  <c r="BI6" i="12" s="1"/>
  <c r="I2" i="12"/>
  <c r="N2" i="12"/>
  <c r="S2" i="12"/>
  <c r="T2" i="12"/>
  <c r="BE3" i="12"/>
  <c r="BE15" i="12" s="1"/>
  <c r="AH4" i="12"/>
  <c r="AD4" i="12"/>
  <c r="AH3" i="12"/>
  <c r="AD3" i="12"/>
  <c r="AH2" i="12"/>
  <c r="AK4" i="12"/>
  <c r="AG4" i="12"/>
  <c r="AK3" i="12"/>
  <c r="AG3" i="12"/>
  <c r="AK2" i="12"/>
  <c r="AG2" i="12"/>
  <c r="AJ4" i="12"/>
  <c r="AF4" i="12"/>
  <c r="AJ3" i="12"/>
  <c r="AF3" i="12"/>
  <c r="AJ2" i="12"/>
  <c r="AF2" i="12"/>
  <c r="AD2" i="12"/>
  <c r="AI4" i="12"/>
  <c r="AE4" i="12"/>
  <c r="AI3" i="12"/>
  <c r="AE3" i="12"/>
  <c r="AI2" i="12"/>
  <c r="AE2" i="12"/>
  <c r="CW3" i="12"/>
  <c r="CW13" i="12" s="1"/>
  <c r="DD3" i="12" s="1"/>
  <c r="OS3" i="12"/>
  <c r="OS13" i="12" s="1"/>
  <c r="OZ3" i="12" s="1"/>
  <c r="OS4" i="12"/>
  <c r="OS20" i="12" s="1"/>
  <c r="OZ4" i="12" s="1"/>
  <c r="OS2" i="12"/>
  <c r="OS6" i="12" s="1"/>
  <c r="OZ2" i="12" s="1"/>
  <c r="DB2" i="12"/>
  <c r="CW2" i="12"/>
  <c r="CW6" i="12" s="1"/>
  <c r="DC2" i="12"/>
  <c r="BK3" i="12"/>
  <c r="BK15" i="12" s="1"/>
  <c r="NQ2" i="12"/>
  <c r="NQ6" i="12" s="1"/>
  <c r="NX2" i="12" s="1"/>
  <c r="NQ3" i="12"/>
  <c r="NQ13" i="12" s="1"/>
  <c r="NX3" i="12" s="1"/>
  <c r="LM2" i="12"/>
  <c r="LM6" i="12" s="1"/>
  <c r="LT2" i="12" s="1"/>
  <c r="FA4" i="12"/>
  <c r="FA20" i="12" s="1"/>
  <c r="FH4" i="12" s="1"/>
  <c r="KK4" i="12"/>
  <c r="KK20" i="12" s="1"/>
  <c r="KR4" i="12" s="1"/>
  <c r="KK2" i="12"/>
  <c r="KK6" i="12" s="1"/>
  <c r="KR2" i="12" s="1"/>
  <c r="JI4" i="12"/>
  <c r="JI20" i="12" s="1"/>
  <c r="JP4" i="12" s="1"/>
  <c r="IG4" i="12"/>
  <c r="IG20" i="12" s="1"/>
  <c r="IN4" i="12" s="1"/>
  <c r="DY3" i="12"/>
  <c r="DY13" i="12" s="1"/>
  <c r="EF3" i="12" s="1"/>
  <c r="MO4" i="12"/>
  <c r="MO20" i="12" s="1"/>
  <c r="MV4" i="12" s="1"/>
  <c r="LM3" i="12"/>
  <c r="LM13" i="12" s="1"/>
  <c r="LT3" i="12" s="1"/>
  <c r="NQ4" i="12"/>
  <c r="NQ20" i="12" s="1"/>
  <c r="NX4" i="12" s="1"/>
  <c r="KK3" i="12"/>
  <c r="KK13" i="12" s="1"/>
  <c r="KR3" i="12" s="1"/>
  <c r="JI3" i="12"/>
  <c r="JI13" i="12" s="1"/>
  <c r="JP3" i="12" s="1"/>
  <c r="IG2" i="12"/>
  <c r="IG6" i="12" s="1"/>
  <c r="IN2" i="12" s="1"/>
  <c r="HE3" i="12"/>
  <c r="HE13" i="12" s="1"/>
  <c r="HL3" i="12" s="1"/>
  <c r="GC4" i="12"/>
  <c r="GC20" i="12" s="1"/>
  <c r="GJ4" i="12" s="1"/>
  <c r="DY4" i="12"/>
  <c r="DY20" i="12" s="1"/>
  <c r="EF4" i="12" s="1"/>
  <c r="DY2" i="12"/>
  <c r="DY6" i="12" s="1"/>
  <c r="EF2" i="12" s="1"/>
  <c r="GC2" i="12"/>
  <c r="GC6" i="12" s="1"/>
  <c r="GJ2" i="12" s="1"/>
  <c r="FA3" i="12"/>
  <c r="FA13" i="12" s="1"/>
  <c r="FH3" i="12" s="1"/>
  <c r="HE2" i="12"/>
  <c r="HE6" i="12" s="1"/>
  <c r="HL2" i="12" s="1"/>
  <c r="GC3" i="12"/>
  <c r="GC13" i="12" s="1"/>
  <c r="GJ3" i="12" s="1"/>
  <c r="HE4" i="12"/>
  <c r="HE20" i="12" s="1"/>
  <c r="HL4" i="12" s="1"/>
  <c r="JI2" i="12"/>
  <c r="JI6" i="12" s="1"/>
  <c r="JP2" i="12" s="1"/>
  <c r="IG3" i="12"/>
  <c r="IG13" i="12" s="1"/>
  <c r="IN3" i="12" s="1"/>
  <c r="FA2" i="12"/>
  <c r="FA6" i="12" s="1"/>
  <c r="FH2" i="12" s="1"/>
  <c r="LM4" i="12"/>
  <c r="LM20" i="12" s="1"/>
  <c r="LT4" i="12" s="1"/>
  <c r="CW4" i="12"/>
  <c r="CW20" i="12" s="1"/>
  <c r="DD4" i="12" s="1"/>
  <c r="BY3" i="12"/>
  <c r="CH3" i="12"/>
  <c r="CE4" i="12"/>
  <c r="BJ4" i="12"/>
  <c r="BJ22" i="12" s="1"/>
  <c r="CM4" i="12"/>
  <c r="CD4" i="12"/>
  <c r="CG3" i="12"/>
  <c r="BX3" i="12"/>
  <c r="BF4" i="12"/>
  <c r="BF22" i="12" s="1"/>
  <c r="BK4" i="12"/>
  <c r="BK22" i="12" s="1"/>
  <c r="CU4" i="12" s="1"/>
  <c r="CD3" i="12"/>
  <c r="CM3" i="12"/>
  <c r="BW3" i="12"/>
  <c r="CF3" i="12"/>
  <c r="CH4" i="12"/>
  <c r="BY4" i="12"/>
  <c r="BG4" i="12"/>
  <c r="BG22" i="12" s="1"/>
  <c r="BL4" i="12"/>
  <c r="BL22" i="12" s="1"/>
  <c r="CL3" i="12"/>
  <c r="CC3" i="12"/>
  <c r="CG4" i="12"/>
  <c r="BX4" i="12"/>
  <c r="CF4" i="12"/>
  <c r="BW4" i="12"/>
  <c r="BI4" i="12"/>
  <c r="CK4" i="12"/>
  <c r="CB4" i="12"/>
  <c r="CK3" i="12"/>
  <c r="CB3" i="12"/>
  <c r="C17" i="12"/>
  <c r="C16" i="12"/>
  <c r="C14" i="12"/>
  <c r="C13" i="12"/>
  <c r="J4" i="12"/>
  <c r="J3" i="12"/>
  <c r="CD2" i="12"/>
  <c r="BY2" i="12"/>
  <c r="CC2" i="12"/>
  <c r="BX2" i="12"/>
  <c r="CB2" i="12"/>
  <c r="BF3" i="12"/>
  <c r="BF15" i="12" s="1"/>
  <c r="BL3" i="12"/>
  <c r="BL15" i="12" s="1"/>
  <c r="P3" i="12"/>
  <c r="O3" i="12" s="1"/>
  <c r="P4" i="12"/>
  <c r="O4" i="12" s="1"/>
  <c r="BC6" i="12"/>
  <c r="BI3" i="12"/>
  <c r="BG3" i="12"/>
  <c r="BG15" i="12" s="1"/>
  <c r="BJ3" i="12"/>
  <c r="BJ15" i="12" s="1"/>
  <c r="BD15" i="12"/>
  <c r="CN3" i="12" s="1"/>
  <c r="BG2" i="12"/>
  <c r="BG6" i="12" s="1"/>
  <c r="BF2" i="12"/>
  <c r="BF6" i="12" s="1"/>
  <c r="BK2" i="12"/>
  <c r="BK6" i="12" s="1"/>
  <c r="BL2" i="12"/>
  <c r="BL6" i="12" s="1"/>
  <c r="BJ2" i="12"/>
  <c r="BJ6" i="12" s="1"/>
  <c r="P2" i="12"/>
  <c r="O2" i="12" s="1"/>
  <c r="W9" i="1" l="1"/>
  <c r="W10" i="1"/>
  <c r="W14" i="1"/>
  <c r="B7" i="1"/>
  <c r="W8" i="1"/>
  <c r="W6" i="13"/>
  <c r="R38" i="13"/>
  <c r="R7" i="13"/>
  <c r="R10" i="9"/>
  <c r="R14" i="9"/>
  <c r="R9" i="9"/>
  <c r="R16" i="9"/>
  <c r="W16" i="9" s="1"/>
  <c r="B16" i="9" s="1"/>
  <c r="R8" i="9"/>
  <c r="W7" i="9"/>
  <c r="W8" i="13"/>
  <c r="B8" i="13" s="1"/>
  <c r="R36" i="13"/>
  <c r="W36" i="13" s="1"/>
  <c r="B36" i="13" s="1"/>
  <c r="R89" i="9"/>
  <c r="W89" i="9" s="1"/>
  <c r="B89" i="9" s="1"/>
  <c r="W85" i="9"/>
  <c r="B85" i="9" s="1"/>
  <c r="B84" i="9" s="1"/>
  <c r="R87" i="9"/>
  <c r="W87" i="9" s="1"/>
  <c r="B87" i="9" s="1"/>
  <c r="W11" i="9"/>
  <c r="B11" i="9" s="1"/>
  <c r="W14" i="13"/>
  <c r="B14" i="13" s="1"/>
  <c r="R28" i="13"/>
  <c r="R25" i="13"/>
  <c r="W26" i="13"/>
  <c r="W57" i="1"/>
  <c r="B58" i="1"/>
  <c r="B57" i="1" s="1"/>
  <c r="W79" i="1"/>
  <c r="B79" i="1" s="1"/>
  <c r="W78" i="9"/>
  <c r="R79" i="9"/>
  <c r="W65" i="9"/>
  <c r="R64" i="9"/>
  <c r="R80" i="1"/>
  <c r="W80" i="1" s="1"/>
  <c r="B80" i="1" s="1"/>
  <c r="W61" i="1"/>
  <c r="B61" i="1" s="1"/>
  <c r="R68" i="9"/>
  <c r="W29" i="9"/>
  <c r="B29" i="9" s="1"/>
  <c r="W31" i="13"/>
  <c r="B31" i="13" s="1"/>
  <c r="R32" i="13"/>
  <c r="L4" i="12"/>
  <c r="L3" i="12"/>
  <c r="L2" i="12"/>
  <c r="K3" i="12"/>
  <c r="CS2" i="12"/>
  <c r="CQ2" i="12"/>
  <c r="CR2" i="12"/>
  <c r="BI15" i="12"/>
  <c r="CS3" i="12" s="1"/>
  <c r="BI22" i="12"/>
  <c r="CS4" i="12" s="1"/>
  <c r="CT2" i="12"/>
  <c r="CV2" i="12"/>
  <c r="CT3" i="12"/>
  <c r="CP4" i="12"/>
  <c r="CQ3" i="12"/>
  <c r="CO3" i="12"/>
  <c r="CP2" i="12"/>
  <c r="CU2" i="12"/>
  <c r="CT4" i="12"/>
  <c r="CO4" i="12"/>
  <c r="CQ4" i="12"/>
  <c r="CP3" i="12"/>
  <c r="CV3" i="12"/>
  <c r="CN2" i="12"/>
  <c r="AS4" i="12"/>
  <c r="AO4" i="12"/>
  <c r="AS3" i="12"/>
  <c r="AO3" i="12"/>
  <c r="AS2" i="12"/>
  <c r="AO2" i="12"/>
  <c r="K2" i="12"/>
  <c r="AR4" i="12"/>
  <c r="AN4" i="12"/>
  <c r="AR3" i="12"/>
  <c r="AN3" i="12"/>
  <c r="AR2" i="12"/>
  <c r="AN2" i="12"/>
  <c r="AQ4" i="12"/>
  <c r="AM4" i="12"/>
  <c r="AQ3" i="12"/>
  <c r="AM3" i="12"/>
  <c r="AQ2" i="12"/>
  <c r="AM2" i="12"/>
  <c r="AP4" i="12"/>
  <c r="AL4" i="12"/>
  <c r="AP3" i="12"/>
  <c r="AL3" i="12"/>
  <c r="AP2" i="12"/>
  <c r="AL2" i="12"/>
  <c r="CU3" i="12"/>
  <c r="DD2" i="12"/>
  <c r="CV4" i="12"/>
  <c r="K4" i="12"/>
  <c r="CM2" i="12"/>
  <c r="CJ2" i="12"/>
  <c r="CH2" i="12"/>
  <c r="CG2" i="12"/>
  <c r="CF2" i="12"/>
  <c r="CL2" i="12"/>
  <c r="CK2" i="12"/>
  <c r="R83" i="1" l="1"/>
  <c r="W83" i="1" s="1"/>
  <c r="B83" i="1" s="1"/>
  <c r="W25" i="13"/>
  <c r="B26" i="13"/>
  <c r="B25" i="13" s="1"/>
  <c r="B65" i="9"/>
  <c r="B64" i="9" s="1"/>
  <c r="W64" i="9"/>
  <c r="R33" i="13"/>
  <c r="W32" i="13"/>
  <c r="W33" i="13" s="1"/>
  <c r="B33" i="13" s="1"/>
  <c r="R37" i="13"/>
  <c r="W37" i="13" s="1"/>
  <c r="B37" i="13" s="1"/>
  <c r="W28" i="13"/>
  <c r="B28" i="13" s="1"/>
  <c r="W8" i="9"/>
  <c r="W10" i="9"/>
  <c r="W14" i="9"/>
  <c r="B7" i="9"/>
  <c r="W9" i="9"/>
  <c r="W7" i="13"/>
  <c r="W38" i="13"/>
  <c r="B6" i="13"/>
  <c r="B78" i="9"/>
  <c r="B8" i="1"/>
  <c r="B9" i="1"/>
  <c r="B10" i="1"/>
  <c r="B14" i="1"/>
  <c r="W68" i="9"/>
  <c r="B68" i="9" s="1"/>
  <c r="R88" i="9"/>
  <c r="BC15" i="12"/>
  <c r="D3" i="5"/>
  <c r="D4" i="5"/>
  <c r="R91" i="9" l="1"/>
  <c r="W91" i="9" s="1"/>
  <c r="B91" i="9" s="1"/>
  <c r="W88" i="9"/>
  <c r="B88" i="9" s="1"/>
  <c r="B7" i="13"/>
  <c r="B38" i="13"/>
  <c r="B79" i="9"/>
  <c r="B10" i="9"/>
  <c r="B9" i="9"/>
  <c r="B14" i="9"/>
  <c r="B8" i="9"/>
  <c r="W79" i="9"/>
  <c r="D5" i="5"/>
</calcChain>
</file>

<file path=xl/sharedStrings.xml><?xml version="1.0" encoding="utf-8"?>
<sst xmlns="http://schemas.openxmlformats.org/spreadsheetml/2006/main" count="1445" uniqueCount="646">
  <si>
    <t>CompanyAccount</t>
  </si>
  <si>
    <t>BOMCustomerGrouping</t>
  </si>
  <si>
    <t>EOMCustomerGrouping</t>
  </si>
  <si>
    <t>SaaSPayType</t>
  </si>
  <si>
    <t>SyncType</t>
  </si>
  <si>
    <t>Channel</t>
  </si>
  <si>
    <t>Platform</t>
  </si>
  <si>
    <t>AgeAtBOM</t>
  </si>
  <si>
    <t>SaaSIncomeAmount</t>
  </si>
  <si>
    <t>SaasExpense</t>
  </si>
  <si>
    <t>SaaSInvoiceCount</t>
  </si>
  <si>
    <t>PackPaidCount</t>
  </si>
  <si>
    <t>UserPaidCount</t>
  </si>
  <si>
    <t>PSIncomeAmount</t>
  </si>
  <si>
    <t>PSExpenseAmount</t>
  </si>
  <si>
    <t>LiabilityPortion</t>
  </si>
  <si>
    <t>Partner</t>
  </si>
  <si>
    <t>IsPartnerManaged</t>
  </si>
  <si>
    <t>IsActive</t>
  </si>
  <si>
    <t>MethodSignUpDate</t>
  </si>
  <si>
    <t>FirstSaaSInvoiceTxnDate</t>
  </si>
  <si>
    <t>MethodCancellationDate</t>
  </si>
  <si>
    <t>IsNewPayer</t>
  </si>
  <si>
    <t>MethodRep</t>
  </si>
  <si>
    <t>Offering</t>
  </si>
  <si>
    <t>Att_Direct</t>
  </si>
  <si>
    <t>Att_SEO</t>
  </si>
  <si>
    <t>Att_OPN_Other_Peoples_Networks</t>
  </si>
  <si>
    <t>Att_Pay_Per_Click</t>
  </si>
  <si>
    <t>Att_Partners</t>
  </si>
  <si>
    <t>Att_Email</t>
  </si>
  <si>
    <t>Att_Remarketing</t>
  </si>
  <si>
    <t>Att_Social</t>
  </si>
  <si>
    <t>Att_Help_Center</t>
  </si>
  <si>
    <t>Att_Online_Chat_Tool</t>
  </si>
  <si>
    <t>Att_Content</t>
  </si>
  <si>
    <t>Att_Banner_Ads</t>
  </si>
  <si>
    <t>Att_Seminar_Conference</t>
  </si>
  <si>
    <t>Att_Referral_Program</t>
  </si>
  <si>
    <t>Att_Referral_Link</t>
  </si>
  <si>
    <t>Att_Backlinks</t>
  </si>
  <si>
    <t>Att_Other</t>
  </si>
  <si>
    <t>Att_None</t>
  </si>
  <si>
    <t>SyncTypeRegion</t>
  </si>
  <si>
    <t>Vertical</t>
  </si>
  <si>
    <t>Sector</t>
  </si>
  <si>
    <t>CustDatIndustry</t>
  </si>
  <si>
    <t>CustDatFirstSyncCompleted</t>
  </si>
  <si>
    <t>CustDatLastRefreshed</t>
  </si>
  <si>
    <t>CustDatCountOfEmployees</t>
  </si>
  <si>
    <t>CustDatAnnualSales</t>
  </si>
  <si>
    <t>CustDatCountOfCustomers</t>
  </si>
  <si>
    <t>LicenseCount</t>
  </si>
  <si>
    <t>CountOfCustomScreens</t>
  </si>
  <si>
    <t>CountOfCustomScreensMN</t>
  </si>
  <si>
    <t>ToDateFilter</t>
  </si>
  <si>
    <t>freedupsolutions</t>
  </si>
  <si>
    <t>Customer</t>
  </si>
  <si>
    <t>Monthly</t>
  </si>
  <si>
    <t>QBDT</t>
  </si>
  <si>
    <t>Direct</t>
  </si>
  <si>
    <t>New</t>
  </si>
  <si>
    <t>MaBin</t>
  </si>
  <si>
    <t>Method CRM Pro for QB Desktop</t>
  </si>
  <si>
    <t>US</t>
  </si>
  <si>
    <t>Accounting and Bookkeeping</t>
  </si>
  <si>
    <t>accounting_bookkeeping</t>
  </si>
  <si>
    <t>Classic</t>
  </si>
  <si>
    <t>Referred</t>
  </si>
  <si>
    <t>Managed</t>
  </si>
  <si>
    <t>QBO</t>
  </si>
  <si>
    <t>All</t>
  </si>
  <si>
    <t>*Trialers*</t>
  </si>
  <si>
    <t>Trials started this month</t>
  </si>
  <si>
    <t>Made their first payment</t>
  </si>
  <si>
    <t>Packs per Account</t>
  </si>
  <si>
    <t>Users per Account</t>
  </si>
  <si>
    <t>ARPC First Invoice</t>
  </si>
  <si>
    <t>Total SaaS from Trialers</t>
  </si>
  <si>
    <t>Trialers Lost in month they paid</t>
  </si>
  <si>
    <t>% who cancel</t>
  </si>
  <si>
    <t>Paid but cancelled before EOM</t>
  </si>
  <si>
    <t>Net: Paid, retained EOM</t>
  </si>
  <si>
    <t>*Paying Customers*</t>
  </si>
  <si>
    <t>Starting Count BOM</t>
  </si>
  <si>
    <t>0-30 day cohort as of BOM</t>
  </si>
  <si>
    <t xml:space="preserve">   Total % of Paying Customers</t>
  </si>
  <si>
    <t xml:space="preserve">   Loss %</t>
  </si>
  <si>
    <t xml:space="preserve">   Lost Count</t>
  </si>
  <si>
    <t xml:space="preserve">   Retained Count</t>
  </si>
  <si>
    <t xml:space="preserve">   Packs per Account</t>
  </si>
  <si>
    <t xml:space="preserve">   Users per Account</t>
  </si>
  <si>
    <t xml:space="preserve">   ARPC</t>
  </si>
  <si>
    <t xml:space="preserve">   SaaS</t>
  </si>
  <si>
    <t>31-60 day cohort as of BOM</t>
  </si>
  <si>
    <t>61-90 day cohort as of BOM</t>
  </si>
  <si>
    <t>91-180 day cohort as of BOM</t>
  </si>
  <si>
    <t>180+ day cohort as of BOM</t>
  </si>
  <si>
    <t>Total Lost Count</t>
  </si>
  <si>
    <t>Total Retained Count</t>
  </si>
  <si>
    <t>SaaS from Retained Customers</t>
  </si>
  <si>
    <t>Prepay % of Paying Customers</t>
  </si>
  <si>
    <t>Prepay Starting Count BOM</t>
  </si>
  <si>
    <t>Prepay Loss %</t>
  </si>
  <si>
    <t>Prepay Total Lost</t>
  </si>
  <si>
    <t>Prepay Retained</t>
  </si>
  <si>
    <t>ARPC Prepay</t>
  </si>
  <si>
    <t>SaaS from Retained Prepay Customers</t>
  </si>
  <si>
    <t>SaaS from Retained Prepay % of Total</t>
  </si>
  <si>
    <t>Total Paying Customers Lost</t>
  </si>
  <si>
    <t>Lost who paid %</t>
  </si>
  <si>
    <t>Lost who paid Count</t>
  </si>
  <si>
    <t>ARPC lost who paid</t>
  </si>
  <si>
    <t>SaaS from Lost Customers</t>
  </si>
  <si>
    <t>SaaS from Trialers</t>
  </si>
  <si>
    <t>Total Saas (Gross)</t>
  </si>
  <si>
    <t>Prepay Affect on Cash</t>
  </si>
  <si>
    <t>Prepay Contracts (cash in)</t>
  </si>
  <si>
    <t>Prepay Applied to Invoices</t>
  </si>
  <si>
    <t>Net</t>
  </si>
  <si>
    <t>Paying customers at BOM</t>
  </si>
  <si>
    <t>Monthly % of Paying Customers</t>
  </si>
  <si>
    <t>Monthly Starting Count BOM</t>
  </si>
  <si>
    <t xml:space="preserve">   Total % of Monthly</t>
  </si>
  <si>
    <t>61-180 day cohort as of BOM</t>
  </si>
  <si>
    <t>Monthly Total Lost Count</t>
  </si>
  <si>
    <t>Monthly Total Retained Count</t>
  </si>
  <si>
    <t>SaaS from Retained Monthly Customers</t>
  </si>
  <si>
    <t>Counts</t>
  </si>
  <si>
    <t>Count of All Accounts</t>
  </si>
  <si>
    <t>Count Of All Invoices</t>
  </si>
  <si>
    <t>Count Of All Credit Memos</t>
  </si>
  <si>
    <t>Trials</t>
  </si>
  <si>
    <t>Total Customers BOM</t>
  </si>
  <si>
    <t>Total Customers EOM</t>
  </si>
  <si>
    <t>Lost Customers</t>
  </si>
  <si>
    <t>Revenue from Trials</t>
  </si>
  <si>
    <t>Trials SEO</t>
  </si>
  <si>
    <t>Trials Intuit</t>
  </si>
  <si>
    <t>Trials Partners</t>
  </si>
  <si>
    <t>Trials Email</t>
  </si>
  <si>
    <t>Trials Direct</t>
  </si>
  <si>
    <t>Trials Social</t>
  </si>
  <si>
    <t>Trials Unknown</t>
  </si>
  <si>
    <t>Trials SEM</t>
  </si>
  <si>
    <t>Saas Revenue from SEO</t>
  </si>
  <si>
    <t>Saas Revenue</t>
  </si>
  <si>
    <t>PS Revenue</t>
  </si>
  <si>
    <t>Saas Revenue from SEM</t>
  </si>
  <si>
    <t>Saas Revenue from Intuit</t>
  </si>
  <si>
    <t>Saas Revenue from Partners</t>
  </si>
  <si>
    <t>Saas Revenue from Email</t>
  </si>
  <si>
    <t>Saas Revenue from Direct</t>
  </si>
  <si>
    <t>Saas Revenue from Social</t>
  </si>
  <si>
    <t>Saas Revenue from Unknown</t>
  </si>
  <si>
    <t>PS Revenue from SEO</t>
  </si>
  <si>
    <t>PS Revenue from SEM</t>
  </si>
  <si>
    <t>PS Revenue from Intuit</t>
  </si>
  <si>
    <t>PS Revenue from Partners</t>
  </si>
  <si>
    <t>PS Revenue from Email</t>
  </si>
  <si>
    <t>PS Revenue from Direct</t>
  </si>
  <si>
    <t>PS Revenue from Social</t>
  </si>
  <si>
    <t>PS Revenue from Unknown</t>
  </si>
  <si>
    <t xml:space="preserve"> </t>
  </si>
  <si>
    <t>ARPC. First Invoice</t>
  </si>
  <si>
    <t>ARPC</t>
  </si>
  <si>
    <t>Accounts BOM</t>
  </si>
  <si>
    <t>Accounts EOM</t>
  </si>
  <si>
    <t>Lost Accounts</t>
  </si>
  <si>
    <t>New  Customers</t>
  </si>
  <si>
    <t>LostNew Customers</t>
  </si>
  <si>
    <t>Date</t>
  </si>
  <si>
    <t>Days in Month</t>
  </si>
  <si>
    <t>Churn Formula taken from:</t>
  </si>
  <si>
    <t>https://blog.recurly.com/better-way-to-calculate-your-churn-rate</t>
  </si>
  <si>
    <t>Customer Life Time (Months)</t>
  </si>
  <si>
    <t>MRR SEO</t>
  </si>
  <si>
    <t>MRR SEM</t>
  </si>
  <si>
    <t>MRR Intuit</t>
  </si>
  <si>
    <t>MRR Partners</t>
  </si>
  <si>
    <t>MRR Email</t>
  </si>
  <si>
    <t>MRR Direct</t>
  </si>
  <si>
    <t>MRR Social</t>
  </si>
  <si>
    <t>MRR Unknown</t>
  </si>
  <si>
    <t>ARPC SEO</t>
  </si>
  <si>
    <t>ARPC SEM</t>
  </si>
  <si>
    <t>ARPC Intuit</t>
  </si>
  <si>
    <t>ARPC Partners</t>
  </si>
  <si>
    <t>ARPC Email</t>
  </si>
  <si>
    <t>ARPC Direct</t>
  </si>
  <si>
    <t>ARPC Social</t>
  </si>
  <si>
    <t>ARPC Unknown</t>
  </si>
  <si>
    <t>Churn Manufacturing</t>
  </si>
  <si>
    <t>Trials  Manufacturing</t>
  </si>
  <si>
    <t>MRR Manufacturing</t>
  </si>
  <si>
    <t>ARPC Manufacturing</t>
  </si>
  <si>
    <t>BOM Manufacturing</t>
  </si>
  <si>
    <t>Saas Revenue Manufacturing</t>
  </si>
  <si>
    <t>PS Revenue Manufacturing</t>
  </si>
  <si>
    <t>Churn Construction</t>
  </si>
  <si>
    <t>Trials  Construction</t>
  </si>
  <si>
    <t>BOM Construction</t>
  </si>
  <si>
    <t>Saas Revenue Construction</t>
  </si>
  <si>
    <t>PS Revenue Construction</t>
  </si>
  <si>
    <t>MRR Construction</t>
  </si>
  <si>
    <t>ARPC Construction</t>
  </si>
  <si>
    <t>Churn Field Services</t>
  </si>
  <si>
    <t>Trials  Field Services</t>
  </si>
  <si>
    <t>BOM Field Services</t>
  </si>
  <si>
    <t>Saas Revenue Field Services</t>
  </si>
  <si>
    <t>PS Revenue Field Services</t>
  </si>
  <si>
    <t>MRR Field Services</t>
  </si>
  <si>
    <t>ARPC Field Services</t>
  </si>
  <si>
    <t>Churn Consulting and Professional Services</t>
  </si>
  <si>
    <t>Trials  Consulting and Professional Services</t>
  </si>
  <si>
    <t>BOM Consulting and Professional Services</t>
  </si>
  <si>
    <t>Saas Revenue Consulting and Professional Services</t>
  </si>
  <si>
    <t>PS Revenue Consulting and Professional Services</t>
  </si>
  <si>
    <t>MRR Consulting and Professional Services</t>
  </si>
  <si>
    <t>ARPC Consulting and Professional Services</t>
  </si>
  <si>
    <t>Churn Retail</t>
  </si>
  <si>
    <t>Trials  Retail</t>
  </si>
  <si>
    <t>BOM Retail</t>
  </si>
  <si>
    <t>Saas Revenue Retail</t>
  </si>
  <si>
    <t>PS Revenue Retail</t>
  </si>
  <si>
    <t>MRR Retail</t>
  </si>
  <si>
    <t>ARPC Retail</t>
  </si>
  <si>
    <t>Churn Non-profit, govt or religious organization</t>
  </si>
  <si>
    <t>Trials  Non-profit, govt or religious organization</t>
  </si>
  <si>
    <t>BOM Non-profit, govt or religious organization</t>
  </si>
  <si>
    <t>Saas Revenue Non-profit, govt or religious organization</t>
  </si>
  <si>
    <t>PS Revenue Non-profit, govt or religious organization</t>
  </si>
  <si>
    <t>MRR Non-profit, govt or religious organization</t>
  </si>
  <si>
    <t>ARPC Non-profit, govt or religious organization</t>
  </si>
  <si>
    <t>Churn Communications, Entertainment and Media</t>
  </si>
  <si>
    <t>Trials  Communications, Entertainment and Media</t>
  </si>
  <si>
    <t>BOM Communications, Entertainment and Media</t>
  </si>
  <si>
    <t>Saas Revenue Communications, Entertainment and Media</t>
  </si>
  <si>
    <t>PS Revenue Communications, Entertainment and Media</t>
  </si>
  <si>
    <t>MRR Communications, Entertainment and Media</t>
  </si>
  <si>
    <t>ARPC Communications, Entertainment and Media</t>
  </si>
  <si>
    <t>Churn IT and computer related</t>
  </si>
  <si>
    <t>Trials  IT and computer related</t>
  </si>
  <si>
    <t>BOM IT and computer related</t>
  </si>
  <si>
    <t>Saas Revenue IT and computer related</t>
  </si>
  <si>
    <t>PS Revenue IT and computer related</t>
  </si>
  <si>
    <t>MRR IT and computer related</t>
  </si>
  <si>
    <t>ARPC IT and computer related</t>
  </si>
  <si>
    <t>Churn General service based</t>
  </si>
  <si>
    <t>Trials  General service based</t>
  </si>
  <si>
    <t>BOM General service based</t>
  </si>
  <si>
    <t>Saas Revenue General service based</t>
  </si>
  <si>
    <t>PS Revenue General service based</t>
  </si>
  <si>
    <t>MRR General service based</t>
  </si>
  <si>
    <t>ARPC General service based</t>
  </si>
  <si>
    <t>Churn Other</t>
  </si>
  <si>
    <t>Trials  Other</t>
  </si>
  <si>
    <t>BOM Other</t>
  </si>
  <si>
    <t>Saas Revenue Other</t>
  </si>
  <si>
    <t>PS Revenue Other</t>
  </si>
  <si>
    <t>MRR Other</t>
  </si>
  <si>
    <t>ARPC Other</t>
  </si>
  <si>
    <t>QBO Saas Revenue from SEO</t>
  </si>
  <si>
    <t>QBDT Saas Revenue from SEO</t>
  </si>
  <si>
    <t>QBO Saas Revenue from SEM</t>
  </si>
  <si>
    <t>QBDT Saas Revenue from SEM</t>
  </si>
  <si>
    <t>QBO Saas Revenue from Intuit</t>
  </si>
  <si>
    <t>QBDT Saas Revenue from Intuit</t>
  </si>
  <si>
    <t>QBO Saas Revenue from Partners</t>
  </si>
  <si>
    <t>QBDT Saas Revenue from Partners</t>
  </si>
  <si>
    <t>Same Month Trials to Customers</t>
  </si>
  <si>
    <t>Same Month Trial to Customer Conversion Rate</t>
  </si>
  <si>
    <t>Previous Period Year</t>
  </si>
  <si>
    <t>Previous Period  Month</t>
  </si>
  <si>
    <t>Curent Period Year</t>
  </si>
  <si>
    <t>Current Peroid Month</t>
  </si>
  <si>
    <t>Previous Period (30) Date</t>
  </si>
  <si>
    <t>30 -Day Conversions</t>
  </si>
  <si>
    <t>60-Day Conversions</t>
  </si>
  <si>
    <t>Linear Conversions</t>
  </si>
  <si>
    <t>Linear Conversion Rate</t>
  </si>
  <si>
    <t>QBO Saas Revenue from Email</t>
  </si>
  <si>
    <t>QBDT Saas Revenue from Email</t>
  </si>
  <si>
    <t>QBO Saas Revenue from Direct</t>
  </si>
  <si>
    <t>QBDT Saas Revenue from Direct</t>
  </si>
  <si>
    <t>QBO Saas Revenue from Social</t>
  </si>
  <si>
    <t>QBO Saas Revenue from Unknown</t>
  </si>
  <si>
    <t>QBDT Saas Revenue from Unknown</t>
  </si>
  <si>
    <t>QBO PS Revenue from SEO</t>
  </si>
  <si>
    <t>QBDT PS Revenue from SEO</t>
  </si>
  <si>
    <t>QBO PS Revenue from SEM</t>
  </si>
  <si>
    <t>QBDT PS Revenue from SEM</t>
  </si>
  <si>
    <t>QBO PS Revenue from Intuit</t>
  </si>
  <si>
    <t>QBDT PS Revenue from Intuit</t>
  </si>
  <si>
    <t>QBO PS Revenue from Partners</t>
  </si>
  <si>
    <t>QBDT PS Revenue from Partners</t>
  </si>
  <si>
    <t>QBO PS Revenue from Email</t>
  </si>
  <si>
    <t>QBDT PS Revenue from Email</t>
  </si>
  <si>
    <t>QBO PS Revenue from Direct</t>
  </si>
  <si>
    <t>QBDT PS Revenue from Direct</t>
  </si>
  <si>
    <t>QBO PS Revenue from Social</t>
  </si>
  <si>
    <t>QBDT PS Revenue from Social</t>
  </si>
  <si>
    <t>QBO PS Revenue from Unknown</t>
  </si>
  <si>
    <t>QBDT PS Revenue from Unknown</t>
  </si>
  <si>
    <t>QBDT Saas Revenue from Social</t>
  </si>
  <si>
    <t>BOM - SEO Manufacturing</t>
  </si>
  <si>
    <t>BOM - SEM Manufacturing</t>
  </si>
  <si>
    <t>BOM - Intuit Manufacturing</t>
  </si>
  <si>
    <t>BOM - Partner Manufacturing</t>
  </si>
  <si>
    <t>BOM - Direct Manufacturing</t>
  </si>
  <si>
    <t>BOM - Unknown Manufacturing</t>
  </si>
  <si>
    <t>Trials - SEO Manufacturing</t>
  </si>
  <si>
    <t>Trials - SEM Manufacturing</t>
  </si>
  <si>
    <t>Trials - Intuit Manufacturing</t>
  </si>
  <si>
    <t>Trials - Partner Manufacturing</t>
  </si>
  <si>
    <t>Trials - Direct Manufacturing</t>
  </si>
  <si>
    <t>Trials - Unknown Manufacturing</t>
  </si>
  <si>
    <t>BOM - SEO Construction</t>
  </si>
  <si>
    <t>BOM - SEM Construction</t>
  </si>
  <si>
    <t>BOM - Intuit Construction</t>
  </si>
  <si>
    <t>BOM - Partner Construction</t>
  </si>
  <si>
    <t>BOM - Direct Construction</t>
  </si>
  <si>
    <t>BOM - Unknown Construction</t>
  </si>
  <si>
    <t>Trials - SEO Construction</t>
  </si>
  <si>
    <t>Trials - SEM Construction</t>
  </si>
  <si>
    <t>Trials - Intuit Construction</t>
  </si>
  <si>
    <t>Trials - Partner Construction</t>
  </si>
  <si>
    <t>Trials - Direct Construction</t>
  </si>
  <si>
    <t>Trials - Unknown Construction</t>
  </si>
  <si>
    <t>BOM - Email Manufacturing</t>
  </si>
  <si>
    <t>BOM -  Social Manufacturing</t>
  </si>
  <si>
    <t>Trials Email Manufacturing</t>
  </si>
  <si>
    <t>Trials Social Manufacturing</t>
  </si>
  <si>
    <t>Churn Wholesale and distribution</t>
  </si>
  <si>
    <t>Trials  Wholesale and distribution</t>
  </si>
  <si>
    <t>BOM Wholesale and distribution</t>
  </si>
  <si>
    <t>Saas Revenue Wholesale and distribution</t>
  </si>
  <si>
    <t>PS Revenue Wholesale and distribution</t>
  </si>
  <si>
    <t>MRR Wholesale and distribution</t>
  </si>
  <si>
    <t>ARPC Wholesale and distribution</t>
  </si>
  <si>
    <t>BOM - SEO Wholesale and distribution</t>
  </si>
  <si>
    <t>BOM - SEM Wholesale and distribution</t>
  </si>
  <si>
    <t>BOM - Intuit Wholesale and distribution</t>
  </si>
  <si>
    <t>BOM - Partner Wholesale and distribution</t>
  </si>
  <si>
    <t>BOM - Email Wholesale and distribution</t>
  </si>
  <si>
    <t>BOM - Direct Wholesale and distribution</t>
  </si>
  <si>
    <t>BOM -  Social Wholesale and distribution</t>
  </si>
  <si>
    <t>BOM - Unknown Wholesale and distribution</t>
  </si>
  <si>
    <t>Trials - SEO Wholesale and distribution</t>
  </si>
  <si>
    <t>Trials - SEM Wholesale and distribution</t>
  </si>
  <si>
    <t>Trials - Intuit Wholesale and distribution</t>
  </si>
  <si>
    <t>Trials - Partner Wholesale and distribution</t>
  </si>
  <si>
    <t>Trials Email Wholesale and distribution</t>
  </si>
  <si>
    <t>Trials - Direct Wholesale and distribution</t>
  </si>
  <si>
    <t>Trials Social Wholesale and distribution</t>
  </si>
  <si>
    <t>Trials - Unknown Wholesale and distribution</t>
  </si>
  <si>
    <t>BOM - Email Construction</t>
  </si>
  <si>
    <t>BOM -  Social Construction</t>
  </si>
  <si>
    <t>Trials Email Construction</t>
  </si>
  <si>
    <t>Trials Social Construction</t>
  </si>
  <si>
    <t>BOM - SEO Field Services</t>
  </si>
  <si>
    <t>BOM - SEM Field Services</t>
  </si>
  <si>
    <t>BOM - Intuit Field Services</t>
  </si>
  <si>
    <t>BOM - Partner Field Services</t>
  </si>
  <si>
    <t>BOM - Email Field Services</t>
  </si>
  <si>
    <t>BOM - Direct Field Services</t>
  </si>
  <si>
    <t>BOM -  Social Field Services</t>
  </si>
  <si>
    <t>BOM - Unknown Field Services</t>
  </si>
  <si>
    <t>Trials - SEO Field Services</t>
  </si>
  <si>
    <t>Trials - SEM Field Services</t>
  </si>
  <si>
    <t>Trials - Intuit Field Services</t>
  </si>
  <si>
    <t>Trials - Partner Field Services</t>
  </si>
  <si>
    <t>Trials Email Field Services</t>
  </si>
  <si>
    <t>Trials - Direct Field Services</t>
  </si>
  <si>
    <t>Trials Social Field Services</t>
  </si>
  <si>
    <t>Trials - Unknown Field Services</t>
  </si>
  <si>
    <t>BOM - SEO Consulting and Professional Services</t>
  </si>
  <si>
    <t>BOM - SEM Consulting and Professional Services</t>
  </si>
  <si>
    <t>BOM - Intuit Consulting and Professional Services</t>
  </si>
  <si>
    <t>BOM - Partner Consulting and Professional Services</t>
  </si>
  <si>
    <t>BOM - Email Consulting and Professional Services</t>
  </si>
  <si>
    <t>BOM - Direct Consulting and Professional Services</t>
  </si>
  <si>
    <t>BOM -  Social Consulting and Professional Services</t>
  </si>
  <si>
    <t>BOM - Unknown Consulting and Professional Services</t>
  </si>
  <si>
    <t>Trials - SEO Consulting and Professional Services</t>
  </si>
  <si>
    <t>Trials - SEM Consulting and Professional Services</t>
  </si>
  <si>
    <t>Trials - Intuit Consulting and Professional Services</t>
  </si>
  <si>
    <t>Trials - Partner Consulting and Professional Services</t>
  </si>
  <si>
    <t>Trials Email Consulting and Professional Services</t>
  </si>
  <si>
    <t>Trials - Direct Consulting and Professional Services</t>
  </si>
  <si>
    <t>Trials Social Consulting and Professional Services</t>
  </si>
  <si>
    <t>Trials - Unknown Consulting and Professional Services</t>
  </si>
  <si>
    <t>BOM - SEO Retail</t>
  </si>
  <si>
    <t>BOM - SEM Retail</t>
  </si>
  <si>
    <t>BOM - Intuit Retail</t>
  </si>
  <si>
    <t>BOM - Partner Retail</t>
  </si>
  <si>
    <t>BOM - Email Retail</t>
  </si>
  <si>
    <t>BOM - Direct Retail</t>
  </si>
  <si>
    <t>BOM -  Social Retail</t>
  </si>
  <si>
    <t>BOM - Unknown Retail</t>
  </si>
  <si>
    <t>Trials - SEO Retail</t>
  </si>
  <si>
    <t>Trials - SEM Retail</t>
  </si>
  <si>
    <t>Trials - Intuit Retail</t>
  </si>
  <si>
    <t>Trials - Partner Retail</t>
  </si>
  <si>
    <t>Trials Email Retail</t>
  </si>
  <si>
    <t>Trials - Direct Retail</t>
  </si>
  <si>
    <t>Trials Social Retail</t>
  </si>
  <si>
    <t>Trials - Unknown Retail</t>
  </si>
  <si>
    <t>BOM - SEO Non-profit, govt or religious organization</t>
  </si>
  <si>
    <t>BOM - SEM Non-profit, govt or religious organization</t>
  </si>
  <si>
    <t>BOM - Intuit Non-profit, govt or religious organization</t>
  </si>
  <si>
    <t>BOM - Partner Non-profit, govt or religious organization</t>
  </si>
  <si>
    <t>BOM - Email Non-profit, govt or religious organization</t>
  </si>
  <si>
    <t>BOM - Direct Non-profit, govt or religious organization</t>
  </si>
  <si>
    <t>BOM -  Social Non-profit, govt or religious organization</t>
  </si>
  <si>
    <t>BOM - Unknown Non-profit, govt or religious organization</t>
  </si>
  <si>
    <t>Trials - SEO Non-profit, govt or religious organization</t>
  </si>
  <si>
    <t>Trials - SEM Non-profit, govt or religious organization</t>
  </si>
  <si>
    <t>Trials - Intuit Non-profit, govt or religious organization</t>
  </si>
  <si>
    <t>Trials - Partner Non-profit, govt or religious organization</t>
  </si>
  <si>
    <t>Trials Email Non-profit, govt or religious organization</t>
  </si>
  <si>
    <t>Trials - Direct Non-profit, govt or religious organization</t>
  </si>
  <si>
    <t>Trials Social Non-profit, govt or religious organization</t>
  </si>
  <si>
    <t>Trials - Unknown Non-profit, govt or religious organization</t>
  </si>
  <si>
    <t>BOM - SEO Communications, Entertainment and Media</t>
  </si>
  <si>
    <t>BOM - SEM Communications, Entertainment and Media</t>
  </si>
  <si>
    <t>BOM - Intuit Communications, Entertainment and Media</t>
  </si>
  <si>
    <t>BOM - Partner Communications, Entertainment and Media</t>
  </si>
  <si>
    <t>BOM - Email Communications, Entertainment and Media</t>
  </si>
  <si>
    <t>BOM - Direct Communications, Entertainment and Media</t>
  </si>
  <si>
    <t>BOM -  Social Communications, Entertainment and Media</t>
  </si>
  <si>
    <t>BOM - Unknown Communications, Entertainment and Media</t>
  </si>
  <si>
    <t>Trials - SEO Communications, Entertainment and Media</t>
  </si>
  <si>
    <t>Trials - SEM Communications, Entertainment and Media</t>
  </si>
  <si>
    <t>Trials - Intuit Communications, Entertainment and Media</t>
  </si>
  <si>
    <t>Trials - Partner Communications, Entertainment and Media</t>
  </si>
  <si>
    <t>Trials Email Communications, Entertainment and Media</t>
  </si>
  <si>
    <t>Trials - Direct Communications, Entertainment and Media</t>
  </si>
  <si>
    <t>Trials Social Communications, Entertainment and Media</t>
  </si>
  <si>
    <t>Trials - Unknown Communications, Entertainment and Media</t>
  </si>
  <si>
    <t>BOM - SEO IT and computer related</t>
  </si>
  <si>
    <t>BOM - SEM IT and computer related</t>
  </si>
  <si>
    <t>BOM - Intuit IT and computer related</t>
  </si>
  <si>
    <t>BOM - Partner IT and computer related</t>
  </si>
  <si>
    <t>BOM - Email IT and computer related</t>
  </si>
  <si>
    <t>BOM - Direct IT and computer related</t>
  </si>
  <si>
    <t>BOM -  Social IT and computer related</t>
  </si>
  <si>
    <t>BOM - Unknown IT and computer related</t>
  </si>
  <si>
    <t>Trials - SEO IT and computer related</t>
  </si>
  <si>
    <t>Trials - SEM IT and computer related</t>
  </si>
  <si>
    <t>Trials - Intuit IT and computer related</t>
  </si>
  <si>
    <t>Trials - Partner IT and computer related</t>
  </si>
  <si>
    <t>Trials Email IT and computer related</t>
  </si>
  <si>
    <t>Trials - Direct IT and computer related</t>
  </si>
  <si>
    <t>Trials Social IT and computer related</t>
  </si>
  <si>
    <t>Trials - Unknown IT and computer related</t>
  </si>
  <si>
    <t>BOM - SEO General service based</t>
  </si>
  <si>
    <t>BOM - SEM General service based</t>
  </si>
  <si>
    <t>BOM - Intuit General service based</t>
  </si>
  <si>
    <t>BOM - Partner General service based</t>
  </si>
  <si>
    <t>BOM - Email General service based</t>
  </si>
  <si>
    <t>BOM - Direct General service based</t>
  </si>
  <si>
    <t>BOM -  Social General service based</t>
  </si>
  <si>
    <t>BOM - Unknown General service based</t>
  </si>
  <si>
    <t>Trials - SEO General service based</t>
  </si>
  <si>
    <t>Trials - SEM General service based</t>
  </si>
  <si>
    <t>Trials - Intuit General service based</t>
  </si>
  <si>
    <t>Trials - Partner General service based</t>
  </si>
  <si>
    <t>Trials Email General service based</t>
  </si>
  <si>
    <t>Trials - Direct General service based</t>
  </si>
  <si>
    <t>Trials Social General service based</t>
  </si>
  <si>
    <t>Trials - Unknown General service based</t>
  </si>
  <si>
    <t>BOM - SEO Other</t>
  </si>
  <si>
    <t>BOM - SEM Other</t>
  </si>
  <si>
    <t>BOM - Intuit Other</t>
  </si>
  <si>
    <t>BOM - Partner Other</t>
  </si>
  <si>
    <t>BOM - Email Other</t>
  </si>
  <si>
    <t>BOM - Direct Other</t>
  </si>
  <si>
    <t>BOM -  Social Other</t>
  </si>
  <si>
    <t>BOM - Unknown Other</t>
  </si>
  <si>
    <t>Trials - SEO Other</t>
  </si>
  <si>
    <t>Trials - SEM Other</t>
  </si>
  <si>
    <t>Trials - Intuit Other</t>
  </si>
  <si>
    <t>Trials - Partner Other</t>
  </si>
  <si>
    <t>Trials Email Other</t>
  </si>
  <si>
    <t>Trials - Direct Other</t>
  </si>
  <si>
    <t>Trials Social Other</t>
  </si>
  <si>
    <t>Trials - Unknown Other</t>
  </si>
  <si>
    <t>Churn Accounting and Bookkeeping</t>
  </si>
  <si>
    <t>Trials  Accounting and Bookkeeping</t>
  </si>
  <si>
    <t>BOM Accounting and Bookkeeping</t>
  </si>
  <si>
    <t>Saas Revenue Accounting and Bookkeeping</t>
  </si>
  <si>
    <t>PS Revenue Accounting and Bookkeeping</t>
  </si>
  <si>
    <t>MRR Accounting and Bookkeeping</t>
  </si>
  <si>
    <t>ARPC Accounting and Bookkeeping</t>
  </si>
  <si>
    <t>BOM - SEO Accounting and Bookkeeping</t>
  </si>
  <si>
    <t>BOM - SEM Accounting and Bookkeeping</t>
  </si>
  <si>
    <t>BOM - Intuit Accounting and Bookkeeping</t>
  </si>
  <si>
    <t>BOM - Partner Accounting and Bookkeeping</t>
  </si>
  <si>
    <t>BOM - Email Accounting and Bookkeeping</t>
  </si>
  <si>
    <t>BOM - Direct Accounting and Bookkeeping</t>
  </si>
  <si>
    <t>BOM -  Social Accounting and Bookkeeping</t>
  </si>
  <si>
    <t>BOM - Unknown Accounting and Bookkeeping</t>
  </si>
  <si>
    <t>Trials - SEO Accounting and Bookkeeping</t>
  </si>
  <si>
    <t>Trials - SEM Accounting and Bookkeeping</t>
  </si>
  <si>
    <t>Trials - Intuit Accounting and Bookkeeping</t>
  </si>
  <si>
    <t>Trials - Partner Accounting and Bookkeeping</t>
  </si>
  <si>
    <t>Trials Email Accounting and Bookkeeping</t>
  </si>
  <si>
    <t>Trials - Direct Accounting and Bookkeeping</t>
  </si>
  <si>
    <t>Trials Social Accounting and Bookkeeping</t>
  </si>
  <si>
    <t>Trials - Unknown Accounting and Bookkeeping</t>
  </si>
  <si>
    <t>Customer Average Annual Revenue -  Manufacturing</t>
  </si>
  <si>
    <t>Customer Average Number of Employees - Manufacturing</t>
  </si>
  <si>
    <t>Trials Average Annual Revenue -  Manufacturing</t>
  </si>
  <si>
    <t>Trials Average Number of Employees - Manufacturing</t>
  </si>
  <si>
    <t>Customer Average Annual Revenue -  Wholesale and distribution</t>
  </si>
  <si>
    <t>Customer Average Number of Employees - Wholesale and distribution</t>
  </si>
  <si>
    <t>Trials Average Annual Revenue -  Wholesale and distribution</t>
  </si>
  <si>
    <t>Trials Average Number of Employees - Wholesale and distribution</t>
  </si>
  <si>
    <t>Customer Average Annual Revenue -  Construction</t>
  </si>
  <si>
    <t>Customer Average Number of Employees - Construction</t>
  </si>
  <si>
    <t>Trials Average Annual Revenue -  Construction</t>
  </si>
  <si>
    <t>Trials Average Number of Employees - Construction</t>
  </si>
  <si>
    <t>Customer Average Annual Revenue -  Field Services</t>
  </si>
  <si>
    <t>Customer Average Number of Employees - Field Services</t>
  </si>
  <si>
    <t>Trials Average Annual Revenue -  Field Services</t>
  </si>
  <si>
    <t>Trials Average Number of Employees - Field Services</t>
  </si>
  <si>
    <t>Customer Average Annual Revenue -  Consulting and Professional Services</t>
  </si>
  <si>
    <t>Customer Average Number of Employees - Consulting and Professional Services</t>
  </si>
  <si>
    <t>Trials Average Annual Revenue -  Consulting and Professional Services</t>
  </si>
  <si>
    <t>Trials Average Number of Employees - Consulting and Professional Services</t>
  </si>
  <si>
    <t>Customer Average Annual Revenue -  Retail</t>
  </si>
  <si>
    <t>Customer Average Number of Employees - Retail</t>
  </si>
  <si>
    <t>Trials Average Annual Revenue -  Retail</t>
  </si>
  <si>
    <t>Trials Average Number of Employees - Retail</t>
  </si>
  <si>
    <t>Customer Average Annual Revenue -  Non-profit, govt or religious organization</t>
  </si>
  <si>
    <t>Customer Average Number of Employees - Non-profit, govt or religious organization</t>
  </si>
  <si>
    <t>Trials Average Annual Revenue -  Non-profit, govt or religious organization</t>
  </si>
  <si>
    <t>Trials Average Number of Employees - Non-profit, govt or religious organization</t>
  </si>
  <si>
    <t>Customer Average Annual Revenue -  Communications, Entertainment and Media</t>
  </si>
  <si>
    <t>Customer Average Number of Employees - Communications, Entertainment and Media</t>
  </si>
  <si>
    <t>Trials Average Annual Revenue -  Communications, Entertainment and Media</t>
  </si>
  <si>
    <t>Trials Average Number of Employees - Communications, Entertainment and Media</t>
  </si>
  <si>
    <t>Customer Average Annual Revenue -  IT and computer related</t>
  </si>
  <si>
    <t>Customer Average Number of Employees - IT and computer related</t>
  </si>
  <si>
    <t>Trials Average Annual Revenue -  IT and computer related</t>
  </si>
  <si>
    <t>Trials Average Number of Employees - IT and computer related</t>
  </si>
  <si>
    <t>Customer Average Annual Revenue -  General service based</t>
  </si>
  <si>
    <t>Customer Average Number of Employees - General service based</t>
  </si>
  <si>
    <t>Trials Average Annual Revenue -  General service based</t>
  </si>
  <si>
    <t>Trials Average Number of Employees - General service based</t>
  </si>
  <si>
    <t>Customer Average Annual Revenue -  Other</t>
  </si>
  <si>
    <t>Customer Average Number of Employees - Other</t>
  </si>
  <si>
    <t>Trials Average Annual Revenue -  Other</t>
  </si>
  <si>
    <t>Trials Average Number of Employees - Other</t>
  </si>
  <si>
    <t>Customer Average Annual Revenue -  Accounting and Bookkeeping</t>
  </si>
  <si>
    <t>Customer Average Number of Employees - Accounting and Bookkeeping</t>
  </si>
  <si>
    <t>Trials Average Annual Revenue -  Accounting and Bookkeeping</t>
  </si>
  <si>
    <t>Trials Average Number of Employees - Accounting and Bookkeeping</t>
  </si>
  <si>
    <t>Overall Monthly Churn</t>
  </si>
  <si>
    <t>Overall Churn SEO</t>
  </si>
  <si>
    <t>Overall Churn SEM</t>
  </si>
  <si>
    <t>Overall Churn Intuit</t>
  </si>
  <si>
    <t>Overall Churn Partner</t>
  </si>
  <si>
    <t>Overall Churn Email</t>
  </si>
  <si>
    <t>Overall Churn Direct</t>
  </si>
  <si>
    <t>Overall Churn Social</t>
  </si>
  <si>
    <t>Overall Churn Unknown</t>
  </si>
  <si>
    <t>Previous Period (90) Date</t>
  </si>
  <si>
    <t>Previous Period (60) Date</t>
  </si>
  <si>
    <t>Linear Conversion Rate SEO</t>
  </si>
  <si>
    <t>Linear Conversion Rate SEM</t>
  </si>
  <si>
    <t>Linear Conversion Rate Intuit</t>
  </si>
  <si>
    <t>Linear Conversion Rate Partner</t>
  </si>
  <si>
    <t>Linear Conversion Rate Email</t>
  </si>
  <si>
    <t>Linear Conversion Rate Direct</t>
  </si>
  <si>
    <t>Linear Conversion Rate Social</t>
  </si>
  <si>
    <t>Linear Conversion Rate Unkown</t>
  </si>
  <si>
    <t>Same Month Conversions SEO</t>
  </si>
  <si>
    <t>Same Month Conversions SEM</t>
  </si>
  <si>
    <t>Same Month Conversions Intuit</t>
  </si>
  <si>
    <t>Same Month Conversions Partner</t>
  </si>
  <si>
    <t>Same Month Conversions Email</t>
  </si>
  <si>
    <t>Same Month Conversions Direct</t>
  </si>
  <si>
    <t>Same Month Conversions Social</t>
  </si>
  <si>
    <t>Same Month Conversions Unkown</t>
  </si>
  <si>
    <t>30-Day Conversions SEO</t>
  </si>
  <si>
    <t>30-Day Conversions SEM</t>
  </si>
  <si>
    <t>30-Day Conversions Intuit</t>
  </si>
  <si>
    <t>30-Day Conversions Partner</t>
  </si>
  <si>
    <t>30-Day Conversions Email</t>
  </si>
  <si>
    <t>30-Day Conversions Direct</t>
  </si>
  <si>
    <t>30-Day Conversions Social</t>
  </si>
  <si>
    <t>30-Day Conversions Unkown</t>
  </si>
  <si>
    <t>60-Day Conversions SEO</t>
  </si>
  <si>
    <t>60-Day Conversions SEM</t>
  </si>
  <si>
    <t>60-Day Conversions Intuit</t>
  </si>
  <si>
    <t>60-Day Conversions Partner</t>
  </si>
  <si>
    <t>60-Day Conversions Email</t>
  </si>
  <si>
    <t>60-Day Conversions Direct</t>
  </si>
  <si>
    <t>60-Day Conversions Social</t>
  </si>
  <si>
    <t>60-Day Conversions Unkown</t>
  </si>
  <si>
    <t>LTR SEO</t>
  </si>
  <si>
    <t>LTR SEM</t>
  </si>
  <si>
    <t>LTR Intuit</t>
  </si>
  <si>
    <t>LTR Partners</t>
  </si>
  <si>
    <t>LTR Email</t>
  </si>
  <si>
    <t>LTR Direct</t>
  </si>
  <si>
    <t>LTR Social</t>
  </si>
  <si>
    <t>LTR Unknown</t>
  </si>
  <si>
    <t>LTR Manufacturing</t>
  </si>
  <si>
    <t>LTR Wholesale and distribution</t>
  </si>
  <si>
    <t>LTR Construction</t>
  </si>
  <si>
    <t>LTR Field Services</t>
  </si>
  <si>
    <t>LTR Consulting and Professional Services</t>
  </si>
  <si>
    <t>LTR Retail</t>
  </si>
  <si>
    <t>LTR Non-profit, govt or religious organization</t>
  </si>
  <si>
    <t>LTR Communications, Entertainment and Media</t>
  </si>
  <si>
    <t>LTR IT and computer related</t>
  </si>
  <si>
    <t>LTR General service based</t>
  </si>
  <si>
    <t>LTR Other</t>
  </si>
  <si>
    <t>LTR Accounting and Bookkeeping</t>
  </si>
  <si>
    <t>MRR</t>
  </si>
  <si>
    <t>Trials Owned</t>
  </si>
  <si>
    <t>MRR Owned</t>
  </si>
  <si>
    <t>ARPC Owned</t>
  </si>
  <si>
    <t>LTR Owned</t>
  </si>
  <si>
    <t>Overall Churn Owned</t>
  </si>
  <si>
    <t>Linear Conversion Rate Owned</t>
  </si>
  <si>
    <t>Same Month Conversions Owned</t>
  </si>
  <si>
    <t>90-Day Conversions</t>
  </si>
  <si>
    <t>FromDateFilter</t>
  </si>
  <si>
    <t>ConversionException</t>
  </si>
  <si>
    <t>ChurnException</t>
  </si>
  <si>
    <t>2020-Apr-01 04:00</t>
  </si>
  <si>
    <t>2020-May-01 04:00</t>
  </si>
  <si>
    <t>Custdatlastsaasamount</t>
  </si>
  <si>
    <t>Custdatpreviouslastsaasamount</t>
  </si>
  <si>
    <t>Total before discount</t>
  </si>
  <si>
    <t>Approximate discount</t>
  </si>
  <si>
    <t>SaaS from Trialers (Gross)</t>
  </si>
  <si>
    <t>SaaS from Retained Customers (Gross)</t>
  </si>
  <si>
    <t>Paying Customers Count</t>
  </si>
  <si>
    <t>SaaSPayTypeCurrent</t>
  </si>
  <si>
    <t>Xero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</si>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</sst>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m\-dd\ hh:mm"/>
    <numFmt numFmtId="165" formatCode="&quot;$&quot;#,##0.00"/>
    <numFmt numFmtId="166" formatCode="mm/dd/yyyy"/>
    <numFmt numFmtId="167" formatCode="mmmm"/>
    <numFmt numFmtId="168" formatCode="yyyy\-mm\-dd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33333"/>
      <name val="Verdana"/>
      <family val="2"/>
    </font>
    <font>
      <sz val="12"/>
      <color rgb="FF0A010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44" fontId="4" fillId="0" borderId="0"/>
    <xf numFmtId="43" fontId="4" fillId="0" borderId="0" applyFont="0" applyFill="0" applyBorder="0" applyAlignment="0" applyProtection="0"/>
    <xf numFmtId="9" fontId="4" fillId="0" borderId="0"/>
    <xf numFmtId="43" fontId="4" fillId="0" borderId="0"/>
  </cellStyleXfs>
  <cellXfs count="6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/>
    </xf>
    <xf numFmtId="2" fontId="0" fillId="0" borderId="0" xfId="0" applyNumberFormat="1"/>
    <xf numFmtId="2" fontId="5" fillId="0" borderId="0" xfId="0" applyNumberFormat="1" applyFont="1"/>
    <xf numFmtId="44" fontId="5" fillId="0" borderId="0" xfId="1" applyFont="1"/>
    <xf numFmtId="0" fontId="5" fillId="0" borderId="1" xfId="0" applyFont="1" applyBorder="1" applyAlignment="1">
      <alignment vertical="center"/>
    </xf>
    <xf numFmtId="10" fontId="0" fillId="0" borderId="0" xfId="3" applyNumberFormat="1" applyFont="1"/>
    <xf numFmtId="0" fontId="0" fillId="2" borderId="0" xfId="0" applyFill="1"/>
    <xf numFmtId="44" fontId="0" fillId="2" borderId="0" xfId="1" applyFont="1" applyFill="1"/>
    <xf numFmtId="10" fontId="0" fillId="2" borderId="0" xfId="3" applyNumberFormat="1" applyFont="1" applyFill="1"/>
    <xf numFmtId="0" fontId="5" fillId="2" borderId="0" xfId="0" applyFont="1" applyFill="1"/>
    <xf numFmtId="2" fontId="0" fillId="2" borderId="0" xfId="0" applyNumberFormat="1" applyFill="1"/>
    <xf numFmtId="44" fontId="4" fillId="2" borderId="0" xfId="1" applyFill="1"/>
    <xf numFmtId="0" fontId="5" fillId="0" borderId="0" xfId="0" applyFont="1"/>
    <xf numFmtId="44" fontId="0" fillId="3" borderId="0" xfId="1" applyFont="1" applyFill="1"/>
    <xf numFmtId="44" fontId="0" fillId="3" borderId="3" xfId="1" applyFont="1" applyFill="1" applyBorder="1"/>
    <xf numFmtId="44" fontId="0" fillId="0" borderId="0" xfId="1" applyFont="1"/>
    <xf numFmtId="10" fontId="4" fillId="0" borderId="0" xfId="3" applyNumberFormat="1"/>
    <xf numFmtId="10" fontId="5" fillId="0" borderId="0" xfId="3" applyNumberFormat="1" applyFont="1"/>
    <xf numFmtId="10" fontId="4" fillId="2" borderId="0" xfId="3" applyNumberForma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5" fontId="5" fillId="0" borderId="0" xfId="0" applyNumberFormat="1" applyFont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1" fontId="6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166" fontId="3" fillId="0" borderId="0" xfId="0" applyNumberFormat="1" applyFont="1"/>
    <xf numFmtId="1" fontId="3" fillId="0" borderId="0" xfId="0" applyNumberFormat="1" applyFont="1"/>
    <xf numFmtId="10" fontId="3" fillId="0" borderId="0" xfId="3" applyNumberFormat="1" applyFont="1"/>
    <xf numFmtId="0" fontId="7" fillId="0" borderId="0" xfId="0" applyFont="1"/>
    <xf numFmtId="9" fontId="3" fillId="0" borderId="0" xfId="3" applyFont="1"/>
    <xf numFmtId="165" fontId="3" fillId="0" borderId="0" xfId="0" applyNumberFormat="1" applyFont="1"/>
    <xf numFmtId="43" fontId="3" fillId="0" borderId="0" xfId="2" applyFont="1" applyFill="1"/>
    <xf numFmtId="2" fontId="3" fillId="0" borderId="0" xfId="0" applyNumberFormat="1" applyFont="1"/>
    <xf numFmtId="0" fontId="3" fillId="2" borderId="0" xfId="0" applyFont="1" applyFill="1"/>
    <xf numFmtId="166" fontId="3" fillId="2" borderId="0" xfId="0" applyNumberFormat="1" applyFont="1" applyFill="1"/>
    <xf numFmtId="14" fontId="3" fillId="2" borderId="0" xfId="0" applyNumberFormat="1" applyFont="1" applyFill="1"/>
    <xf numFmtId="0" fontId="6" fillId="2" borderId="0" xfId="0" applyFont="1" applyFill="1"/>
    <xf numFmtId="2" fontId="3" fillId="2" borderId="0" xfId="0" applyNumberFormat="1" applyFont="1" applyFill="1"/>
    <xf numFmtId="166" fontId="6" fillId="2" borderId="0" xfId="0" applyNumberFormat="1" applyFont="1" applyFill="1"/>
    <xf numFmtId="1" fontId="3" fillId="2" borderId="0" xfId="0" applyNumberFormat="1" applyFont="1" applyFill="1"/>
    <xf numFmtId="2" fontId="6" fillId="2" borderId="0" xfId="0" applyNumberFormat="1" applyFont="1" applyFill="1"/>
    <xf numFmtId="168" fontId="3" fillId="2" borderId="0" xfId="0" applyNumberFormat="1" applyFont="1" applyFill="1"/>
    <xf numFmtId="0" fontId="6" fillId="0" borderId="0" xfId="0" applyFont="1" applyAlignment="1">
      <alignment horizontal="right"/>
    </xf>
    <xf numFmtId="0" fontId="8" fillId="0" borderId="0" xfId="0" applyFont="1"/>
    <xf numFmtId="168" fontId="3" fillId="0" borderId="0" xfId="0" applyNumberFormat="1" applyFont="1"/>
    <xf numFmtId="167" fontId="3" fillId="0" borderId="0" xfId="0" applyNumberFormat="1" applyFont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2" fontId="3" fillId="0" borderId="0" xfId="2" applyNumberFormat="1" applyFont="1" applyFill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2" fontId="3" fillId="2" borderId="0" xfId="2" applyNumberFormat="1" applyFont="1" applyFill="1"/>
    <xf numFmtId="1" fontId="7" fillId="0" borderId="0" xfId="0" applyNumberFormat="1" applyFont="1"/>
    <xf numFmtId="44" fontId="4" fillId="0" borderId="0" xfId="1"/>
    <xf numFmtId="1" fontId="4" fillId="0" borderId="0" xfId="3" applyNumberFormat="1"/>
    <xf numFmtId="0" fontId="2" fillId="0" borderId="0" xfId="0" applyFont="1"/>
    <xf numFmtId="0" fontId="1" fillId="0" borderId="0" xfId="0" applyFont="1"/>
    <xf numFmtId="1" fontId="5" fillId="0" borderId="0" xfId="0" applyNumberFormat="1" applyFont="1"/>
  </cellXfs>
  <cellStyles count="5">
    <cellStyle name="Comma" xfId="2" builtinId="3"/>
    <cellStyle name="Comma 2" xfId="4" xr:uid="{00000000-0005-0000-0000-000001000000}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V6" sqref="V6"/>
    </sheetView>
  </sheetViews>
  <sheetFormatPr baseColWidth="10" defaultColWidth="8.6640625" defaultRowHeight="15" x14ac:dyDescent="0.2"/>
  <cols>
    <col min="1" max="1" width="37" customWidth="1"/>
    <col min="2" max="6" width="12.33203125" bestFit="1" customWidth="1"/>
    <col min="7" max="8" width="12.33203125" customWidth="1"/>
    <col min="9" max="9" width="12.33203125" style="15" bestFit="1" customWidth="1"/>
    <col min="10" max="13" width="12.33203125" bestFit="1" customWidth="1"/>
    <col min="14" max="15" width="12.33203125" customWidth="1"/>
    <col min="16" max="16" width="12.33203125" style="15" bestFit="1" customWidth="1"/>
    <col min="17" max="19" width="12.33203125" bestFit="1" customWidth="1"/>
    <col min="20" max="20" width="12.5" bestFit="1" customWidth="1"/>
    <col min="21" max="22" width="12.5" customWidth="1"/>
    <col min="23" max="23" width="12.5" style="15" bestFit="1" customWidth="1"/>
  </cols>
  <sheetData>
    <row r="1" spans="1:23" x14ac:dyDescent="0.2">
      <c r="A1" s="3" t="s">
        <v>4</v>
      </c>
      <c r="B1" s="15" t="s">
        <v>71</v>
      </c>
      <c r="C1" t="s">
        <v>59</v>
      </c>
      <c r="D1" t="s">
        <v>59</v>
      </c>
      <c r="E1" t="s">
        <v>70</v>
      </c>
      <c r="F1" t="s">
        <v>70</v>
      </c>
      <c r="G1" t="s">
        <v>644</v>
      </c>
      <c r="H1" t="s">
        <v>645</v>
      </c>
      <c r="I1" s="15" t="s">
        <v>71</v>
      </c>
      <c r="J1" t="s">
        <v>59</v>
      </c>
      <c r="K1" t="s">
        <v>59</v>
      </c>
      <c r="L1" t="s">
        <v>70</v>
      </c>
      <c r="M1" t="s">
        <v>70</v>
      </c>
      <c r="N1" t="s">
        <v>644</v>
      </c>
      <c r="O1" t="s">
        <v>645</v>
      </c>
      <c r="P1" s="15" t="s">
        <v>71</v>
      </c>
      <c r="Q1" t="s">
        <v>59</v>
      </c>
      <c r="R1" t="s">
        <v>59</v>
      </c>
      <c r="S1" t="s">
        <v>70</v>
      </c>
      <c r="T1" t="s">
        <v>70</v>
      </c>
      <c r="U1" t="s">
        <v>644</v>
      </c>
      <c r="V1" t="s">
        <v>645</v>
      </c>
      <c r="W1" s="15" t="s">
        <v>71</v>
      </c>
    </row>
    <row r="2" spans="1:23" x14ac:dyDescent="0.2">
      <c r="A2" s="3" t="s">
        <v>6</v>
      </c>
      <c r="B2" s="15" t="s">
        <v>71</v>
      </c>
      <c r="C2" t="s">
        <v>67</v>
      </c>
      <c r="D2" t="s">
        <v>61</v>
      </c>
      <c r="E2" t="s">
        <v>67</v>
      </c>
      <c r="F2" t="s">
        <v>61</v>
      </c>
      <c r="G2" t="s">
        <v>61</v>
      </c>
      <c r="H2" t="s">
        <v>61</v>
      </c>
      <c r="I2" s="15" t="s">
        <v>71</v>
      </c>
      <c r="J2" t="s">
        <v>67</v>
      </c>
      <c r="K2" t="s">
        <v>61</v>
      </c>
      <c r="L2" t="s">
        <v>67</v>
      </c>
      <c r="M2" t="s">
        <v>61</v>
      </c>
      <c r="N2" t="s">
        <v>61</v>
      </c>
      <c r="O2" t="s">
        <v>61</v>
      </c>
      <c r="P2" s="15" t="s">
        <v>71</v>
      </c>
      <c r="Q2" t="s">
        <v>67</v>
      </c>
      <c r="R2" t="s">
        <v>61</v>
      </c>
      <c r="S2" t="s">
        <v>67</v>
      </c>
      <c r="T2" t="s">
        <v>61</v>
      </c>
      <c r="U2" t="s">
        <v>61</v>
      </c>
      <c r="V2" t="s">
        <v>61</v>
      </c>
      <c r="W2" s="15" t="s">
        <v>71</v>
      </c>
    </row>
    <row r="3" spans="1:23" x14ac:dyDescent="0.2">
      <c r="A3" s="3" t="s">
        <v>5</v>
      </c>
      <c r="B3" s="15" t="s">
        <v>71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s="15" t="s">
        <v>68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s="15" t="s">
        <v>69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s="15" t="s">
        <v>60</v>
      </c>
    </row>
    <row r="4" spans="1:23" x14ac:dyDescent="0.2">
      <c r="A4" s="1" t="s">
        <v>72</v>
      </c>
      <c r="D4" s="4"/>
    </row>
    <row r="5" spans="1:23" x14ac:dyDescent="0.2">
      <c r="A5" s="1" t="s">
        <v>73</v>
      </c>
      <c r="B5">
        <f>I5+P5+W5</f>
        <v>0</v>
      </c>
      <c r="C5">
        <f>COUNTIFS(Accounts!$E:$E,'AccountSummary (New)'!C$1,Accounts!$G:$G,'AccountSummary (New)'!C$2,Accounts!$F:$F,'AccountSummary (New)'!C$3,Accounts!$B:$B,"none",Accounts!$BF:$BF,FALSE)</f>
        <v>0</v>
      </c>
      <c r="D5">
        <f>COUNTIFS(Accounts!$E:$E,'AccountSummary (New)'!D$1,Accounts!$G:$G,'AccountSummary (New)'!D$2,Accounts!$F:$F,'AccountSummary (New)'!D$3,Accounts!$B:$B,"none",Accounts!$BF:$BF,FALSE)</f>
        <v>0</v>
      </c>
      <c r="E5">
        <f>COUNTIFS(Accounts!$E:$E,'AccountSummary (New)'!E$1,Accounts!$G:$G,'AccountSummary (New)'!E$2,Accounts!$F:$F,'AccountSummary (New)'!E$3,Accounts!$B:$B,"none",Accounts!$BF:$BF,FALSE)</f>
        <v>0</v>
      </c>
      <c r="F5">
        <f>COUNTIFS(Accounts!$E:$E,'AccountSummary (New)'!F$1,Accounts!$G:$G,'AccountSummary (New)'!F$2,Accounts!$F:$F,'AccountSummary (New)'!F$3,Accounts!$B:$B,"none",Accounts!$BF:$BF,FALSE)</f>
        <v>0</v>
      </c>
      <c r="G5">
        <f>COUNTIFS(Accounts!$E:$E,'AccountSummary (New)'!G$1,Accounts!$G:$G,'AccountSummary (New)'!G$2,Accounts!$F:$F,'AccountSummary (New)'!G$3,Accounts!$B:$B,"none",Accounts!$BF:$BF,FALSE)</f>
        <v>0</v>
      </c>
      <c r="H5">
        <f>COUNTIFS(Accounts!$E:$E,'AccountSummary (New)'!H$1,Accounts!$G:$G,'AccountSummary (New)'!H$2,Accounts!$F:$F,'AccountSummary (New)'!H$3,Accounts!$B:$B,"none",Accounts!$BF:$BF,FALSE)+COUNTIFS(Accounts!$E:$E,"QuickBooks",Accounts!$G:$G,'AccountSummary (New)'!H$2,Accounts!$F:$F,'AccountSummary (New)'!H$3,Accounts!$B:$B,"none",Accounts!$BF:$BF,FALSE)</f>
        <v>0</v>
      </c>
      <c r="I5" s="15">
        <f>SUM(C5:H5)</f>
        <v>0</v>
      </c>
      <c r="J5">
        <f>COUNTIFS(Accounts!$E:$E,'AccountSummary (New)'!J$1,Accounts!$G:$G,'AccountSummary (New)'!J$2,Accounts!$F:$F,'AccountSummary (New)'!J$3,Accounts!$B:$B,"none",Accounts!$BF:$BF,FALSE)</f>
        <v>0</v>
      </c>
      <c r="K5">
        <f>COUNTIFS(Accounts!$E:$E,'AccountSummary (New)'!K$1,Accounts!$G:$G,'AccountSummary (New)'!K$2,Accounts!$F:$F,'AccountSummary (New)'!K$3,Accounts!$B:$B,"none",Accounts!$BF:$BF,FALSE)</f>
        <v>0</v>
      </c>
      <c r="L5">
        <f>COUNTIFS(Accounts!$E:$E,'AccountSummary (New)'!L$1,Accounts!$G:$G,'AccountSummary (New)'!L$2,Accounts!$F:$F,'AccountSummary (New)'!L$3,Accounts!$B:$B,"none",Accounts!$BF:$BF,FALSE)</f>
        <v>0</v>
      </c>
      <c r="M5">
        <f>COUNTIFS(Accounts!$E:$E,'AccountSummary (New)'!M$1,Accounts!$G:$G,'AccountSummary (New)'!M$2,Accounts!$F:$F,'AccountSummary (New)'!M$3,Accounts!$B:$B,"none",Accounts!$BF:$BF,FALSE)</f>
        <v>0</v>
      </c>
      <c r="N5">
        <f>COUNTIFS(Accounts!$E:$E,'AccountSummary (New)'!N$1,Accounts!$G:$G,'AccountSummary (New)'!N$2,Accounts!$F:$F,'AccountSummary (New)'!N$3,Accounts!$B:$B,"none",Accounts!$BF:$BF,FALSE)</f>
        <v>0</v>
      </c>
      <c r="O5">
        <f>COUNTIFS(Accounts!$E:$E,'AccountSummary (New)'!O$1,Accounts!$G:$G,'AccountSummary (New)'!O$2,Accounts!$F:$F,'AccountSummary (New)'!O$3,Accounts!$B:$B,"none",Accounts!$BF:$BF,FALSE)+COUNTIFS(Accounts!$E:$E,"QuickBooks",Accounts!$G:$G,'AccountSummary (New)'!O$2,Accounts!$F:$F,'AccountSummary (New)'!O$3,Accounts!$B:$B,"none",Accounts!$BF:$BF,FALSE)</f>
        <v>0</v>
      </c>
      <c r="P5" s="15">
        <f>SUM(J5:O5)</f>
        <v>0</v>
      </c>
      <c r="Q5">
        <f>COUNTIFS(Accounts!$E:$E,'AccountSummary (New)'!Q$1,Accounts!$G:$G,'AccountSummary (New)'!Q$2,Accounts!$F:$F,'AccountSummary (New)'!Q$3,Accounts!$B:$B,"none",Accounts!$BF:$BF,FALSE)</f>
        <v>0</v>
      </c>
      <c r="R5">
        <f>COUNTIFS(Accounts!$E:$E,'AccountSummary (New)'!R$1,Accounts!$G:$G,'AccountSummary (New)'!R$2,Accounts!$F:$F,'AccountSummary (New)'!R$3,Accounts!$B:$B,"none",Accounts!$BF:$BF,FALSE)</f>
        <v>0</v>
      </c>
      <c r="S5">
        <f>COUNTIFS(Accounts!$E:$E,'AccountSummary (New)'!S$1,Accounts!$G:$G,'AccountSummary (New)'!S$2,Accounts!$F:$F,'AccountSummary (New)'!S$3,Accounts!$B:$B,"none",Accounts!$BF:$BF,FALSE)</f>
        <v>0</v>
      </c>
      <c r="T5">
        <f>COUNTIFS(Accounts!$E:$E,'AccountSummary (New)'!T$1,Accounts!$G:$G,'AccountSummary (New)'!T$2,Accounts!$F:$F,'AccountSummary (New)'!T$3,Accounts!$B:$B,"none",Accounts!$BF:$BF,FALSE)</f>
        <v>0</v>
      </c>
      <c r="U5">
        <f>COUNTIFS(Accounts!$E:$E,'AccountSummary (New)'!U$1,Accounts!$G:$G,'AccountSummary (New)'!U$2,Accounts!$F:$F,'AccountSummary (New)'!U$3,Accounts!$B:$B,"none",Accounts!$BF:$BF,FALSE)</f>
        <v>0</v>
      </c>
      <c r="V5">
        <f>COUNTIFS(Accounts!$E:$E,'AccountSummary (New)'!V$1,Accounts!$G:$G,'AccountSummary (New)'!V$2,Accounts!$F:$F,'AccountSummary (New)'!V$3,Accounts!$B:$B,"none",Accounts!$BF:$BF,FALSE)+COUNTIFS(Accounts!$E:$E,"QuickBooks",Accounts!$G:$G,'AccountSummary (New)'!V$2,Accounts!$F:$F,'AccountSummary (New)'!V$3,Accounts!$B:$B,"none",Accounts!$BF:$BF,FALSE)</f>
        <v>0</v>
      </c>
      <c r="W5" s="15">
        <f>SUM(Q5:V5)</f>
        <v>0</v>
      </c>
    </row>
    <row r="6" spans="1:23" x14ac:dyDescent="0.2">
      <c r="A6" s="1"/>
    </row>
    <row r="7" spans="1:23" x14ac:dyDescent="0.2">
      <c r="A7" s="1" t="s">
        <v>74</v>
      </c>
      <c r="B7" s="9">
        <f>I7+P7+W7</f>
        <v>0</v>
      </c>
      <c r="C7">
        <f>COUNTIFS(Accounts!$E:$E,'AccountSummary (New)'!C$1,Accounts!$G:$G,'AccountSummary (New)'!C$2,Accounts!$F:$F,'AccountSummary (New)'!C$3,Accounts!$W:$W,1)</f>
        <v>0</v>
      </c>
      <c r="D7">
        <f>COUNTIFS(Accounts!$E:$E,'AccountSummary (New)'!D$1,Accounts!$G:$G,'AccountSummary (New)'!D$2,Accounts!$F:$F,'AccountSummary (New)'!D$3,Accounts!$W:$W,1)</f>
        <v>0</v>
      </c>
      <c r="E7">
        <f>COUNTIFS(Accounts!$E:$E,'AccountSummary (New)'!E$1,Accounts!$G:$G,'AccountSummary (New)'!E$2,Accounts!$F:$F,'AccountSummary (New)'!E$3,Accounts!$W:$W,1)</f>
        <v>0</v>
      </c>
      <c r="F7">
        <f>COUNTIFS(Accounts!$E:$E,'AccountSummary (New)'!F$1,Accounts!$G:$G,'AccountSummary (New)'!F$2,Accounts!$F:$F,'AccountSummary (New)'!F$3,Accounts!$W:$W,1)</f>
        <v>0</v>
      </c>
      <c r="G7">
        <f>COUNTIFS(Accounts!$E:$E,'AccountSummary (New)'!G$1,Accounts!$G:$G,'AccountSummary (New)'!G$2,Accounts!$F:$F,'AccountSummary (New)'!G$3,Accounts!$W:$W,1)</f>
        <v>0</v>
      </c>
      <c r="H7">
        <f>COUNTIFS(Accounts!$E:$E,'AccountSummary (New)'!H$1,Accounts!$G:$G,'AccountSummary (New)'!H$2,Accounts!$F:$F,'AccountSummary (New)'!H$3,Accounts!$W:$W,1)</f>
        <v>0</v>
      </c>
      <c r="I7" s="15">
        <f>SUM(C7:H7)</f>
        <v>0</v>
      </c>
      <c r="J7">
        <f>COUNTIFS(Accounts!$E:$E,'AccountSummary (New)'!J$1,Accounts!$G:$G,'AccountSummary (New)'!J$2,Accounts!$F:$F,'AccountSummary (New)'!J$3,Accounts!$W:$W,1)</f>
        <v>0</v>
      </c>
      <c r="K7">
        <f>COUNTIFS(Accounts!$E:$E,'AccountSummary (New)'!K$1,Accounts!$G:$G,'AccountSummary (New)'!K$2,Accounts!$F:$F,'AccountSummary (New)'!K$3,Accounts!$W:$W,1)</f>
        <v>0</v>
      </c>
      <c r="L7">
        <f>COUNTIFS(Accounts!$E:$E,'AccountSummary (New)'!L$1,Accounts!$G:$G,'AccountSummary (New)'!L$2,Accounts!$F:$F,'AccountSummary (New)'!L$3,Accounts!$W:$W,1)</f>
        <v>0</v>
      </c>
      <c r="M7">
        <f>COUNTIFS(Accounts!$E:$E,'AccountSummary (New)'!M$1,Accounts!$G:$G,'AccountSummary (New)'!M$2,Accounts!$F:$F,'AccountSummary (New)'!M$3,Accounts!$W:$W,1)</f>
        <v>0</v>
      </c>
      <c r="N7">
        <f>COUNTIFS(Accounts!$E:$E,'AccountSummary (New)'!N$1,Accounts!$G:$G,'AccountSummary (New)'!N$2,Accounts!$F:$F,'AccountSummary (New)'!N$3,Accounts!$W:$W,1)</f>
        <v>0</v>
      </c>
      <c r="O7">
        <f>COUNTIFS(Accounts!$E:$E,'AccountSummary (New)'!O$1,Accounts!$G:$G,'AccountSummary (New)'!O$2,Accounts!$F:$F,'AccountSummary (New)'!O$3,Accounts!$W:$W,1)</f>
        <v>0</v>
      </c>
      <c r="P7" s="15">
        <f>SUM(J7:O7)</f>
        <v>0</v>
      </c>
      <c r="Q7">
        <f>COUNTIFS(Accounts!$E:$E,'AccountSummary (New)'!Q$1,Accounts!$G:$G,'AccountSummary (New)'!Q$2,Accounts!$F:$F,'AccountSummary (New)'!Q$3,Accounts!$W:$W,1)</f>
        <v>0</v>
      </c>
      <c r="R7">
        <f>COUNTIFS(Accounts!$E:$E,'AccountSummary (New)'!R$1,Accounts!$G:$G,'AccountSummary (New)'!R$2,Accounts!$F:$F,'AccountSummary (New)'!R$3,Accounts!$W:$W,1)</f>
        <v>0</v>
      </c>
      <c r="S7">
        <f>COUNTIFS(Accounts!$E:$E,'AccountSummary (New)'!S$1,Accounts!$G:$G,'AccountSummary (New)'!S$2,Accounts!$F:$F,'AccountSummary (New)'!S$3,Accounts!$W:$W,1)</f>
        <v>0</v>
      </c>
      <c r="T7">
        <f>COUNTIFS(Accounts!$E:$E,'AccountSummary (New)'!T$1,Accounts!$G:$G,'AccountSummary (New)'!T$2,Accounts!$F:$F,'AccountSummary (New)'!T$3,Accounts!$W:$W,1)</f>
        <v>0</v>
      </c>
      <c r="U7">
        <f>COUNTIFS(Accounts!$E:$E,'AccountSummary (New)'!U$1,Accounts!$G:$G,'AccountSummary (New)'!U$2,Accounts!$F:$F,'AccountSummary (New)'!U$3,Accounts!$W:$W,1)</f>
        <v>0</v>
      </c>
      <c r="V7">
        <f>COUNTIFS(Accounts!$E:$E,'AccountSummary (New)'!V$1,Accounts!$G:$G,'AccountSummary (New)'!V$2,Accounts!$F:$F,'AccountSummary (New)'!V$3,Accounts!$W:$W,1)</f>
        <v>0</v>
      </c>
      <c r="W7" s="15">
        <f>SUM(Q7:V7)</f>
        <v>0</v>
      </c>
    </row>
    <row r="8" spans="1:23" x14ac:dyDescent="0.2">
      <c r="A8" s="2" t="s">
        <v>75</v>
      </c>
      <c r="B8" s="13">
        <f>IF(B7=0,0,SUMIFS(Accounts!$L:$L,Accounts!$W:$W,1)/B7)</f>
        <v>0</v>
      </c>
      <c r="C8" s="4">
        <f>IF(C7=0,0,SUMIFS(Accounts!$L:$L,Accounts!$E:$E,'AccountSummary (New)'!C$1,Accounts!$G:$G,'AccountSummary (New)'!C$2,Accounts!$F:$F,'AccountSummary (New)'!C$3,Accounts!$W:$W,1)/C7)</f>
        <v>0</v>
      </c>
      <c r="D8" s="4">
        <f>IF(D7=0,0,SUMIFS(Accounts!$L:$L,Accounts!$E:$E,'AccountSummary (New)'!D$1,Accounts!$G:$G,'AccountSummary (New)'!D$2,Accounts!$F:$F,'AccountSummary (New)'!D$3,Accounts!$W:$W,1)/D7)</f>
        <v>0</v>
      </c>
      <c r="E8" s="4">
        <f>IF(E7=0,0,SUMIFS(Accounts!$L:$L,Accounts!$E:$E,'AccountSummary (New)'!E$1,Accounts!$G:$G,'AccountSummary (New)'!E$2,Accounts!$F:$F,'AccountSummary (New)'!E$3,Accounts!$W:$W,1)/E7)</f>
        <v>0</v>
      </c>
      <c r="F8" s="4">
        <f>IF(F7=0,0,SUMIFS(Accounts!$L:$L,Accounts!$E:$E,'AccountSummary (New)'!F$1,Accounts!$G:$G,'AccountSummary (New)'!F$2,Accounts!$F:$F,'AccountSummary (New)'!F$3,Accounts!$W:$W,1)/F7)</f>
        <v>0</v>
      </c>
      <c r="G8" s="4">
        <f>IF(G7=0,0,SUMIFS(Accounts!$L:$L,Accounts!$E:$E,'AccountSummary (New)'!G$1,Accounts!$G:$G,'AccountSummary (New)'!G$2,Accounts!$F:$F,'AccountSummary (New)'!G$3,Accounts!$W:$W,1)/G7)</f>
        <v>0</v>
      </c>
      <c r="H8" s="4">
        <f>IF(H7=0,0,SUMIFS(Accounts!$L:$L,Accounts!$E:$E,'AccountSummary (New)'!H$1,Accounts!$G:$G,'AccountSummary (New)'!H$2,Accounts!$F:$F,'AccountSummary (New)'!H$3,Accounts!$W:$W,1)/H7)</f>
        <v>0</v>
      </c>
      <c r="I8" s="5">
        <f>IF(I7=0,0,SUMIFS(Accounts!$L:$L,Accounts!$F:$F,'AccountSummary (New)'!I$3,Accounts!$W:$W,1)/I7)</f>
        <v>0</v>
      </c>
      <c r="J8" s="4">
        <f>IF(J7=0,0,SUMIFS(Accounts!$L:$L,Accounts!$E:$E,'AccountSummary (New)'!J$1,Accounts!$G:$G,'AccountSummary (New)'!J$2,Accounts!$F:$F,'AccountSummary (New)'!J$3,Accounts!$W:$W,1)/J7)</f>
        <v>0</v>
      </c>
      <c r="K8" s="4">
        <f>IF(K7=0,0,SUMIFS(Accounts!$L:$L,Accounts!$E:$E,'AccountSummary (New)'!K$1,Accounts!$G:$G,'AccountSummary (New)'!K$2,Accounts!$F:$F,'AccountSummary (New)'!K$3,Accounts!$W:$W,1)/K7)</f>
        <v>0</v>
      </c>
      <c r="L8" s="4">
        <f>IF(L7=0,0,SUMIFS(Accounts!$L:$L,Accounts!$E:$E,'AccountSummary (New)'!L$1,Accounts!$G:$G,'AccountSummary (New)'!L$2,Accounts!$F:$F,'AccountSummary (New)'!L$3,Accounts!$W:$W,1)/L7)</f>
        <v>0</v>
      </c>
      <c r="M8" s="4">
        <f>IF(M7=0,0,SUMIFS(Accounts!$L:$L,Accounts!$E:$E,'AccountSummary (New)'!M$1,Accounts!$G:$G,'AccountSummary (New)'!M$2,Accounts!$F:$F,'AccountSummary (New)'!M$3,Accounts!$W:$W,1)/M7)</f>
        <v>0</v>
      </c>
      <c r="N8" s="4">
        <f>IF(N7=0,0,SUMIFS(Accounts!$L:$L,Accounts!$E:$E,'AccountSummary (New)'!N$1,Accounts!$G:$G,'AccountSummary (New)'!N$2,Accounts!$F:$F,'AccountSummary (New)'!N$3,Accounts!$W:$W,1)/N7)</f>
        <v>0</v>
      </c>
      <c r="O8" s="4">
        <f>IF(O7=0,0,SUMIFS(Accounts!$L:$L,Accounts!$E:$E,'AccountSummary (New)'!O$1,Accounts!$G:$G,'AccountSummary (New)'!O$2,Accounts!$F:$F,'AccountSummary (New)'!O$3,Accounts!$W:$W,1)/O7)</f>
        <v>0</v>
      </c>
      <c r="P8" s="5">
        <f>IF(P7=0,0,SUMIFS(Accounts!$L:$L,Accounts!$F:$F,'AccountSummary (New)'!P$3,Accounts!$W:$W,1)/P7)</f>
        <v>0</v>
      </c>
      <c r="Q8" s="4">
        <f>IF(Q7=0,0,SUMIFS(Accounts!$L:$L,Accounts!$E:$E,'AccountSummary (New)'!Q$1,Accounts!$G:$G,'AccountSummary (New)'!Q$2,Accounts!$F:$F,'AccountSummary (New)'!Q$3,Accounts!$W:$W,1)/Q7)</f>
        <v>0</v>
      </c>
      <c r="R8" s="4">
        <f>IF(R7=0,0,SUMIFS(Accounts!$L:$L,Accounts!$E:$E,'AccountSummary (New)'!R$1,Accounts!$G:$G,'AccountSummary (New)'!R$2,Accounts!$F:$F,'AccountSummary (New)'!R$3,Accounts!$W:$W,1)/R7)</f>
        <v>0</v>
      </c>
      <c r="S8" s="4">
        <f>IF(S7=0,0,SUMIFS(Accounts!$L:$L,Accounts!$E:$E,'AccountSummary (New)'!S$1,Accounts!$G:$G,'AccountSummary (New)'!S$2,Accounts!$F:$F,'AccountSummary (New)'!S$3,Accounts!$W:$W,1)/S7)</f>
        <v>0</v>
      </c>
      <c r="T8" s="4">
        <f>IF(T7=0,0,SUMIFS(Accounts!$L:$L,Accounts!$E:$E,'AccountSummary (New)'!T$1,Accounts!$G:$G,'AccountSummary (New)'!T$2,Accounts!$F:$F,'AccountSummary (New)'!T$3,Accounts!$W:$W,1)/T7)</f>
        <v>0</v>
      </c>
      <c r="U8" s="4">
        <f>IF(U7=0,0,SUMIFS(Accounts!$L:$L,Accounts!$E:$E,'AccountSummary (New)'!U$1,Accounts!$G:$G,'AccountSummary (New)'!U$2,Accounts!$F:$F,'AccountSummary (New)'!U$3,Accounts!$W:$W,1)/U7)</f>
        <v>0</v>
      </c>
      <c r="V8" s="4">
        <f>IF(V7=0,0,SUMIFS(Accounts!$L:$L,Accounts!$E:$E,'AccountSummary (New)'!V$1,Accounts!$G:$G,'AccountSummary (New)'!V$2,Accounts!$F:$F,'AccountSummary (New)'!V$3,Accounts!$W:$W,1)/V7)</f>
        <v>0</v>
      </c>
      <c r="W8" s="5">
        <f>IF(W7=0,0,SUMIFS(Accounts!$L:$L,Accounts!$F:$F,'AccountSummary (New)'!W$3,Accounts!$W:$W,1)/W7)</f>
        <v>0</v>
      </c>
    </row>
    <row r="9" spans="1:23" x14ac:dyDescent="0.2">
      <c r="A9" s="2" t="s">
        <v>76</v>
      </c>
      <c r="B9" s="13">
        <f>IF(B7=0,0,SUMIFS(Accounts!$M:$M,Accounts!$W:$W,1)/B7)</f>
        <v>0</v>
      </c>
      <c r="C9" s="4">
        <f>IF(C7=0,0,SUMIFS(Accounts!$M:$M,Accounts!$E:$E,'AccountSummary (New)'!C$1,Accounts!$G:$G,'AccountSummary (New)'!C$2,Accounts!$F:$F,'AccountSummary (New)'!C$3,Accounts!$W:$W,1)/C7)</f>
        <v>0</v>
      </c>
      <c r="D9" s="4">
        <f>IF(D7=0,0,SUMIFS(Accounts!$M:$M,Accounts!$E:$E,'AccountSummary (New)'!D$1,Accounts!$G:$G,'AccountSummary (New)'!D$2,Accounts!$F:$F,'AccountSummary (New)'!D$3,Accounts!$W:$W,1)/D7)</f>
        <v>0</v>
      </c>
      <c r="E9" s="4">
        <f>IF(E7=0,0,SUMIFS(Accounts!$M:$M,Accounts!$E:$E,'AccountSummary (New)'!E$1,Accounts!$G:$G,'AccountSummary (New)'!E$2,Accounts!$F:$F,'AccountSummary (New)'!E$3,Accounts!$W:$W,1)/E7)</f>
        <v>0</v>
      </c>
      <c r="F9" s="4">
        <f>IF(F7=0,0,SUMIFS(Accounts!$M:$M,Accounts!$E:$E,'AccountSummary (New)'!F$1,Accounts!$G:$G,'AccountSummary (New)'!F$2,Accounts!$F:$F,'AccountSummary (New)'!F$3,Accounts!$W:$W,1)/F7)</f>
        <v>0</v>
      </c>
      <c r="G9" s="4">
        <f>IF(G7=0,0,SUMIFS(Accounts!$M:$M,Accounts!$E:$E,'AccountSummary (New)'!G$1,Accounts!$G:$G,'AccountSummary (New)'!G$2,Accounts!$F:$F,'AccountSummary (New)'!G$3,Accounts!$W:$W,1)/G7)</f>
        <v>0</v>
      </c>
      <c r="H9" s="4">
        <f>IF(H7=0,0,SUMIFS(Accounts!$M:$M,Accounts!$E:$E,'AccountSummary (New)'!H$1,Accounts!$G:$G,'AccountSummary (New)'!H$2,Accounts!$F:$F,'AccountSummary (New)'!H$3,Accounts!$W:$W,1)/H7)</f>
        <v>0</v>
      </c>
      <c r="I9" s="5">
        <f>IF(I7=0,0,SUMIFS(Accounts!$M:$M,Accounts!$F:$F,'AccountSummary (New)'!I$3,Accounts!$W:$W,1)/I7)</f>
        <v>0</v>
      </c>
      <c r="J9" s="4">
        <f>IF(J7=0,0,SUMIFS(Accounts!$M:$M,Accounts!$E:$E,'AccountSummary (New)'!J$1,Accounts!$G:$G,'AccountSummary (New)'!J$2,Accounts!$F:$F,'AccountSummary (New)'!J$3,Accounts!$W:$W,1)/J7)</f>
        <v>0</v>
      </c>
      <c r="K9" s="4">
        <f>IF(K7=0,0,SUMIFS(Accounts!$M:$M,Accounts!$E:$E,'AccountSummary (New)'!K$1,Accounts!$G:$G,'AccountSummary (New)'!K$2,Accounts!$F:$F,'AccountSummary (New)'!K$3,Accounts!$W:$W,1)/K7)</f>
        <v>0</v>
      </c>
      <c r="L9" s="4">
        <f>IF(L7=0,0,SUMIFS(Accounts!$M:$M,Accounts!$E:$E,'AccountSummary (New)'!L$1,Accounts!$G:$G,'AccountSummary (New)'!L$2,Accounts!$F:$F,'AccountSummary (New)'!L$3,Accounts!$W:$W,1)/L7)</f>
        <v>0</v>
      </c>
      <c r="M9" s="4">
        <f>IF(M7=0,0,SUMIFS(Accounts!$M:$M,Accounts!$E:$E,'AccountSummary (New)'!M$1,Accounts!$G:$G,'AccountSummary (New)'!M$2,Accounts!$F:$F,'AccountSummary (New)'!M$3,Accounts!$W:$W,1)/M7)</f>
        <v>0</v>
      </c>
      <c r="N9" s="4">
        <f>IF(N7=0,0,SUMIFS(Accounts!$M:$M,Accounts!$E:$E,'AccountSummary (New)'!N$1,Accounts!$G:$G,'AccountSummary (New)'!N$2,Accounts!$F:$F,'AccountSummary (New)'!N$3,Accounts!$W:$W,1)/N7)</f>
        <v>0</v>
      </c>
      <c r="O9" s="4">
        <f>IF(O7=0,0,SUMIFS(Accounts!$M:$M,Accounts!$E:$E,'AccountSummary (New)'!O$1,Accounts!$G:$G,'AccountSummary (New)'!O$2,Accounts!$F:$F,'AccountSummary (New)'!O$3,Accounts!$W:$W,1)/O7)</f>
        <v>0</v>
      </c>
      <c r="P9" s="5">
        <f>IF(P7=0,0,SUMIFS(Accounts!$M:$M,Accounts!$F:$F,'AccountSummary (New)'!P$3,Accounts!$W:$W,1)/P7)</f>
        <v>0</v>
      </c>
      <c r="Q9" s="4">
        <f>IF(Q7=0,0,SUMIFS(Accounts!$M:$M,Accounts!$E:$E,'AccountSummary (New)'!Q$1,Accounts!$G:$G,'AccountSummary (New)'!Q$2,Accounts!$F:$F,'AccountSummary (New)'!Q$3,Accounts!$W:$W,1)/Q7)</f>
        <v>0</v>
      </c>
      <c r="R9" s="4">
        <f>IF(R7=0,0,SUMIFS(Accounts!$M:$M,Accounts!$E:$E,'AccountSummary (New)'!R$1,Accounts!$G:$G,'AccountSummary (New)'!R$2,Accounts!$F:$F,'AccountSummary (New)'!R$3,Accounts!$W:$W,1)/R7)</f>
        <v>0</v>
      </c>
      <c r="S9" s="4">
        <f>IF(S7=0,0,SUMIFS(Accounts!$M:$M,Accounts!$E:$E,'AccountSummary (New)'!S$1,Accounts!$G:$G,'AccountSummary (New)'!S$2,Accounts!$F:$F,'AccountSummary (New)'!S$3,Accounts!$W:$W,1)/S7)</f>
        <v>0</v>
      </c>
      <c r="T9" s="4">
        <f>IF(T7=0,0,SUMIFS(Accounts!$M:$M,Accounts!$E:$E,'AccountSummary (New)'!T$1,Accounts!$G:$G,'AccountSummary (New)'!T$2,Accounts!$F:$F,'AccountSummary (New)'!T$3,Accounts!$W:$W,1)/T7)</f>
        <v>0</v>
      </c>
      <c r="U9" s="4">
        <f>IF(U7=0,0,SUMIFS(Accounts!$M:$M,Accounts!$E:$E,'AccountSummary (New)'!U$1,Accounts!$G:$G,'AccountSummary (New)'!U$2,Accounts!$F:$F,'AccountSummary (New)'!U$3,Accounts!$W:$W,1)/U7)</f>
        <v>0</v>
      </c>
      <c r="V9" s="4">
        <f>IF(V7=0,0,SUMIFS(Accounts!$M:$M,Accounts!$E:$E,'AccountSummary (New)'!V$1,Accounts!$G:$G,'AccountSummary (New)'!V$2,Accounts!$F:$F,'AccountSummary (New)'!V$3,Accounts!$W:$W,1)/V7)</f>
        <v>0</v>
      </c>
      <c r="W9" s="5">
        <f>IF(W7=0,0,SUMIFS(Accounts!$M:$M,Accounts!$F:$F,'AccountSummary (New)'!W$3,Accounts!$W:$W,1)/W7)</f>
        <v>0</v>
      </c>
    </row>
    <row r="10" spans="1:23" x14ac:dyDescent="0.2">
      <c r="A10" s="1" t="s">
        <v>77</v>
      </c>
      <c r="B10" s="10">
        <f>IF(B7=0,0,B11/B7)</f>
        <v>0</v>
      </c>
      <c r="C10" s="18">
        <f t="shared" ref="C10:W10" si="0">IF(C7=0,0,C11/C7)</f>
        <v>0</v>
      </c>
      <c r="D10" s="18">
        <f t="shared" si="0"/>
        <v>0</v>
      </c>
      <c r="E10" s="18">
        <f t="shared" si="0"/>
        <v>0</v>
      </c>
      <c r="F10" s="18">
        <f t="shared" si="0"/>
        <v>0</v>
      </c>
      <c r="G10" s="18">
        <f t="shared" si="0"/>
        <v>0</v>
      </c>
      <c r="H10" s="18">
        <f t="shared" si="0"/>
        <v>0</v>
      </c>
      <c r="I10" s="6">
        <f t="shared" si="0"/>
        <v>0</v>
      </c>
      <c r="J10" s="18">
        <f t="shared" si="0"/>
        <v>0</v>
      </c>
      <c r="K10" s="18">
        <f t="shared" si="0"/>
        <v>0</v>
      </c>
      <c r="L10" s="18">
        <f t="shared" si="0"/>
        <v>0</v>
      </c>
      <c r="M10" s="18">
        <f t="shared" si="0"/>
        <v>0</v>
      </c>
      <c r="N10" s="18">
        <f t="shared" si="0"/>
        <v>0</v>
      </c>
      <c r="O10" s="18">
        <f t="shared" si="0"/>
        <v>0</v>
      </c>
      <c r="P10" s="6">
        <f t="shared" si="0"/>
        <v>0</v>
      </c>
      <c r="Q10" s="18">
        <f t="shared" si="0"/>
        <v>0</v>
      </c>
      <c r="R10" s="18">
        <f t="shared" si="0"/>
        <v>0</v>
      </c>
      <c r="S10" s="18">
        <f t="shared" si="0"/>
        <v>0</v>
      </c>
      <c r="T10" s="18">
        <f t="shared" si="0"/>
        <v>0</v>
      </c>
      <c r="U10" s="18">
        <f t="shared" si="0"/>
        <v>0</v>
      </c>
      <c r="V10" s="18">
        <f t="shared" si="0"/>
        <v>0</v>
      </c>
      <c r="W10" s="6">
        <f t="shared" si="0"/>
        <v>0</v>
      </c>
    </row>
    <row r="11" spans="1:23" x14ac:dyDescent="0.2">
      <c r="A11" s="7" t="s">
        <v>78</v>
      </c>
      <c r="B11" s="10">
        <f>I11+P11+W11</f>
        <v>0</v>
      </c>
      <c r="C11" s="18">
        <f>SUMIFS(Accounts!$I:$I,Accounts!$E:$E,'AccountSummary (New)'!C$1,Accounts!$G:$G,'AccountSummary (New)'!C$2,Accounts!$F:$F,'AccountSummary (New)'!C$3,Accounts!$W:$W,1)</f>
        <v>0</v>
      </c>
      <c r="D11" s="18">
        <f>SUMIFS(Accounts!$I:$I,Accounts!$E:$E,'AccountSummary (New)'!D$1,Accounts!$G:$G,'AccountSummary (New)'!D$2,Accounts!$F:$F,'AccountSummary (New)'!D$3,Accounts!$W:$W,1)</f>
        <v>0</v>
      </c>
      <c r="E11" s="18">
        <f>SUMIFS(Accounts!$I:$I,Accounts!$E:$E,'AccountSummary (New)'!E$1,Accounts!$G:$G,'AccountSummary (New)'!E$2,Accounts!$F:$F,'AccountSummary (New)'!E$3,Accounts!$W:$W,1)</f>
        <v>0</v>
      </c>
      <c r="F11" s="18">
        <f>SUMIFS(Accounts!$I:$I,Accounts!$E:$E,'AccountSummary (New)'!F$1,Accounts!$G:$G,'AccountSummary (New)'!F$2,Accounts!$F:$F,'AccountSummary (New)'!F$3,Accounts!$W:$W,1)</f>
        <v>0</v>
      </c>
      <c r="G11" s="18">
        <f>SUMIFS(Accounts!$I:$I,Accounts!$E:$E,'AccountSummary (New)'!G$1,Accounts!$G:$G,'AccountSummary (New)'!G$2,Accounts!$F:$F,'AccountSummary (New)'!G$3,Accounts!$W:$W,1)</f>
        <v>0</v>
      </c>
      <c r="H11" s="18">
        <f>SUMIFS(Accounts!$I:$I,Accounts!$E:$E,'AccountSummary (New)'!H$1,Accounts!$G:$G,'AccountSummary (New)'!H$2,Accounts!$F:$F,'AccountSummary (New)'!H$3,Accounts!$W:$W,1)</f>
        <v>0</v>
      </c>
      <c r="I11" s="6">
        <f>SUM(C11:F11)</f>
        <v>0</v>
      </c>
      <c r="J11" s="18">
        <f>SUMIFS(Accounts!$I:$I,Accounts!$E:$E,'AccountSummary (New)'!J$1,Accounts!$G:$G,'AccountSummary (New)'!J$2,Accounts!$F:$F,'AccountSummary (New)'!J$3,Accounts!$W:$W,1)</f>
        <v>0</v>
      </c>
      <c r="K11" s="18">
        <f>SUMIFS(Accounts!$I:$I,Accounts!$E:$E,'AccountSummary (New)'!K$1,Accounts!$G:$G,'AccountSummary (New)'!K$2,Accounts!$F:$F,'AccountSummary (New)'!K$3,Accounts!$W:$W,1)</f>
        <v>0</v>
      </c>
      <c r="L11" s="18">
        <f>SUMIFS(Accounts!$I:$I,Accounts!$E:$E,'AccountSummary (New)'!L$1,Accounts!$G:$G,'AccountSummary (New)'!L$2,Accounts!$F:$F,'AccountSummary (New)'!L$3,Accounts!$W:$W,1)</f>
        <v>0</v>
      </c>
      <c r="M11" s="18">
        <f>SUMIFS(Accounts!$I:$I,Accounts!$E:$E,'AccountSummary (New)'!M$1,Accounts!$G:$G,'AccountSummary (New)'!M$2,Accounts!$F:$F,'AccountSummary (New)'!M$3,Accounts!$W:$W,1)</f>
        <v>0</v>
      </c>
      <c r="N11" s="18">
        <f>SUMIFS(Accounts!$I:$I,Accounts!$E:$E,'AccountSummary (New)'!N$1,Accounts!$G:$G,'AccountSummary (New)'!N$2,Accounts!$F:$F,'AccountSummary (New)'!N$3,Accounts!$W:$W,1)</f>
        <v>0</v>
      </c>
      <c r="O11" s="18">
        <f>SUMIFS(Accounts!$I:$I,Accounts!$E:$E,'AccountSummary (New)'!O$1,Accounts!$G:$G,'AccountSummary (New)'!O$2,Accounts!$F:$F,'AccountSummary (New)'!O$3,Accounts!$W:$W,1)</f>
        <v>0</v>
      </c>
      <c r="P11" s="6">
        <f>SUM(J11:M11)</f>
        <v>0</v>
      </c>
      <c r="Q11" s="18">
        <f>SUMIFS(Accounts!$I:$I,Accounts!$E:$E,'AccountSummary (New)'!Q$1,Accounts!$G:$G,'AccountSummary (New)'!Q$2,Accounts!$F:$F,'AccountSummary (New)'!Q$3,Accounts!$W:$W,1)</f>
        <v>0</v>
      </c>
      <c r="R11" s="18">
        <f>SUMIFS(Accounts!$I:$I,Accounts!$E:$E,'AccountSummary (New)'!R$1,Accounts!$G:$G,'AccountSummary (New)'!R$2,Accounts!$F:$F,'AccountSummary (New)'!R$3,Accounts!$W:$W,1)</f>
        <v>0</v>
      </c>
      <c r="S11" s="18">
        <f>SUMIFS(Accounts!$I:$I,Accounts!$E:$E,'AccountSummary (New)'!S$1,Accounts!$G:$G,'AccountSummary (New)'!S$2,Accounts!$F:$F,'AccountSummary (New)'!S$3,Accounts!$W:$W,1)</f>
        <v>0</v>
      </c>
      <c r="T11" s="18">
        <f>SUMIFS(Accounts!$I:$I,Accounts!$E:$E,'AccountSummary (New)'!T$1,Accounts!$G:$G,'AccountSummary (New)'!T$2,Accounts!$F:$F,'AccountSummary (New)'!T$3,Accounts!$W:$W,1)</f>
        <v>0</v>
      </c>
      <c r="U11" s="18">
        <f>SUMIFS(Accounts!$I:$I,Accounts!$E:$E,'AccountSummary (New)'!U$1,Accounts!$G:$G,'AccountSummary (New)'!U$2,Accounts!$F:$F,'AccountSummary (New)'!U$3,Accounts!$W:$W,1)</f>
        <v>0</v>
      </c>
      <c r="V11" s="18">
        <f>SUMIFS(Accounts!$I:$I,Accounts!$E:$E,'AccountSummary (New)'!V$1,Accounts!$G:$G,'AccountSummary (New)'!V$2,Accounts!$F:$F,'AccountSummary (New)'!V$3,Accounts!$W:$W,1)</f>
        <v>0</v>
      </c>
      <c r="W11" s="6">
        <f>SUM(Q11:V11)</f>
        <v>0</v>
      </c>
    </row>
    <row r="12" spans="1:23" x14ac:dyDescent="0.2">
      <c r="A12" s="7"/>
      <c r="B12" s="9"/>
    </row>
    <row r="13" spans="1:23" x14ac:dyDescent="0.2">
      <c r="A13" s="1" t="s">
        <v>79</v>
      </c>
      <c r="B13" s="9"/>
    </row>
    <row r="14" spans="1:23" x14ac:dyDescent="0.2">
      <c r="A14" s="1" t="s">
        <v>80</v>
      </c>
      <c r="B14" s="11">
        <f>IF(B7=0,0,B15/B7)</f>
        <v>0</v>
      </c>
      <c r="C14" s="8">
        <f t="shared" ref="C14:W14" si="1">IF(C7=0,0,C15/C7)</f>
        <v>0</v>
      </c>
      <c r="D14" s="8">
        <f t="shared" si="1"/>
        <v>0</v>
      </c>
      <c r="E14" s="8">
        <f t="shared" si="1"/>
        <v>0</v>
      </c>
      <c r="F14" s="8">
        <f t="shared" si="1"/>
        <v>0</v>
      </c>
      <c r="G14" s="8">
        <f t="shared" si="1"/>
        <v>0</v>
      </c>
      <c r="H14" s="8">
        <f t="shared" si="1"/>
        <v>0</v>
      </c>
      <c r="I14" s="20">
        <f t="shared" si="1"/>
        <v>0</v>
      </c>
      <c r="J14" s="8">
        <f t="shared" si="1"/>
        <v>0</v>
      </c>
      <c r="K14" s="8">
        <f t="shared" si="1"/>
        <v>0</v>
      </c>
      <c r="L14" s="8">
        <f t="shared" si="1"/>
        <v>0</v>
      </c>
      <c r="M14" s="8">
        <f t="shared" si="1"/>
        <v>0</v>
      </c>
      <c r="N14" s="8">
        <f t="shared" si="1"/>
        <v>0</v>
      </c>
      <c r="O14" s="8">
        <f t="shared" si="1"/>
        <v>0</v>
      </c>
      <c r="P14" s="20">
        <f t="shared" si="1"/>
        <v>0</v>
      </c>
      <c r="Q14" s="8">
        <f t="shared" si="1"/>
        <v>0</v>
      </c>
      <c r="R14" s="8">
        <f t="shared" si="1"/>
        <v>0</v>
      </c>
      <c r="S14" s="8">
        <f t="shared" si="1"/>
        <v>0</v>
      </c>
      <c r="T14" s="8">
        <f t="shared" si="1"/>
        <v>0</v>
      </c>
      <c r="U14" s="8">
        <f t="shared" si="1"/>
        <v>0</v>
      </c>
      <c r="V14" s="8">
        <f t="shared" si="1"/>
        <v>0</v>
      </c>
      <c r="W14" s="20">
        <f t="shared" si="1"/>
        <v>0</v>
      </c>
    </row>
    <row r="15" spans="1:23" x14ac:dyDescent="0.2">
      <c r="A15" s="1" t="s">
        <v>81</v>
      </c>
      <c r="B15" s="9">
        <f>I15+P15+W15</f>
        <v>0</v>
      </c>
      <c r="C15">
        <f>COUNTIFS(Accounts!$E:$E,'AccountSummary (New)'!C$1,Accounts!$G:$G,'AccountSummary (New)'!C$2,Accounts!$F:$F,'AccountSummary (New)'!C$3,Accounts!$W:$W,1,Accounts!$C:$C,"Lost")</f>
        <v>0</v>
      </c>
      <c r="D15">
        <f>COUNTIFS(Accounts!$E:$E,'AccountSummary (New)'!D$1,Accounts!$G:$G,'AccountSummary (New)'!D$2,Accounts!$F:$F,'AccountSummary (New)'!D$3,Accounts!$W:$W,1,Accounts!$C:$C,"Lost")</f>
        <v>0</v>
      </c>
      <c r="E15">
        <f>COUNTIFS(Accounts!$E:$E,'AccountSummary (New)'!E$1,Accounts!$G:$G,'AccountSummary (New)'!E$2,Accounts!$F:$F,'AccountSummary (New)'!E$3,Accounts!$W:$W,1,Accounts!$C:$C,"Lost")</f>
        <v>0</v>
      </c>
      <c r="F15">
        <f>COUNTIFS(Accounts!$E:$E,'AccountSummary (New)'!F$1,Accounts!$G:$G,'AccountSummary (New)'!F$2,Accounts!$F:$F,'AccountSummary (New)'!F$3,Accounts!$W:$W,1,Accounts!$C:$C,"Lost")</f>
        <v>0</v>
      </c>
      <c r="G15">
        <f>COUNTIFS(Accounts!$E:$E,'AccountSummary (New)'!G$1,Accounts!$G:$G,'AccountSummary (New)'!G$2,Accounts!$F:$F,'AccountSummary (New)'!G$3,Accounts!$W:$W,1,Accounts!$C:$C,"Lost")</f>
        <v>0</v>
      </c>
      <c r="H15">
        <f>COUNTIFS(Accounts!$E:$E,'AccountSummary (New)'!H$1,Accounts!$G:$G,'AccountSummary (New)'!H$2,Accounts!$F:$F,'AccountSummary (New)'!H$3,Accounts!$W:$W,1,Accounts!$C:$C,"Lost")</f>
        <v>0</v>
      </c>
      <c r="I15" s="15">
        <f>SUM(C15:H15)</f>
        <v>0</v>
      </c>
      <c r="J15">
        <f>COUNTIFS(Accounts!$E:$E,'AccountSummary (New)'!J$1,Accounts!$G:$G,'AccountSummary (New)'!J$2,Accounts!$F:$F,'AccountSummary (New)'!J$3,Accounts!$W:$W,1,Accounts!$C:$C,"Lost")</f>
        <v>0</v>
      </c>
      <c r="K15">
        <f>COUNTIFS(Accounts!$E:$E,'AccountSummary (New)'!K$1,Accounts!$G:$G,'AccountSummary (New)'!K$2,Accounts!$F:$F,'AccountSummary (New)'!K$3,Accounts!$W:$W,1,Accounts!$C:$C,"Lost")</f>
        <v>0</v>
      </c>
      <c r="L15">
        <f>COUNTIFS(Accounts!$E:$E,'AccountSummary (New)'!L$1,Accounts!$G:$G,'AccountSummary (New)'!L$2,Accounts!$F:$F,'AccountSummary (New)'!L$3,Accounts!$W:$W,1,Accounts!$C:$C,"Lost")</f>
        <v>0</v>
      </c>
      <c r="M15">
        <f>COUNTIFS(Accounts!$E:$E,'AccountSummary (New)'!M$1,Accounts!$G:$G,'AccountSummary (New)'!M$2,Accounts!$F:$F,'AccountSummary (New)'!M$3,Accounts!$W:$W,1,Accounts!$C:$C,"Lost")</f>
        <v>0</v>
      </c>
      <c r="N15">
        <f>COUNTIFS(Accounts!$E:$E,'AccountSummary (New)'!N$1,Accounts!$G:$G,'AccountSummary (New)'!N$2,Accounts!$F:$F,'AccountSummary (New)'!N$3,Accounts!$W:$W,1,Accounts!$C:$C,"Lost")</f>
        <v>0</v>
      </c>
      <c r="O15">
        <f>COUNTIFS(Accounts!$E:$E,'AccountSummary (New)'!O$1,Accounts!$G:$G,'AccountSummary (New)'!O$2,Accounts!$F:$F,'AccountSummary (New)'!O$3,Accounts!$W:$W,1,Accounts!$C:$C,"Lost")</f>
        <v>0</v>
      </c>
      <c r="P15" s="15">
        <f>SUM(J15:O15)</f>
        <v>0</v>
      </c>
      <c r="Q15">
        <f>COUNTIFS(Accounts!$E:$E,'AccountSummary (New)'!Q$1,Accounts!$G:$G,'AccountSummary (New)'!Q$2,Accounts!$F:$F,'AccountSummary (New)'!Q$3,Accounts!$W:$W,1,Accounts!$C:$C,"Lost")</f>
        <v>0</v>
      </c>
      <c r="R15">
        <f>COUNTIFS(Accounts!$E:$E,'AccountSummary (New)'!R$1,Accounts!$G:$G,'AccountSummary (New)'!R$2,Accounts!$F:$F,'AccountSummary (New)'!R$3,Accounts!$W:$W,1,Accounts!$C:$C,"Lost")</f>
        <v>0</v>
      </c>
      <c r="S15">
        <f>COUNTIFS(Accounts!$E:$E,'AccountSummary (New)'!S$1,Accounts!$G:$G,'AccountSummary (New)'!S$2,Accounts!$F:$F,'AccountSummary (New)'!S$3,Accounts!$W:$W,1,Accounts!$C:$C,"Lost")</f>
        <v>0</v>
      </c>
      <c r="T15">
        <f>COUNTIFS(Accounts!$E:$E,'AccountSummary (New)'!T$1,Accounts!$G:$G,'AccountSummary (New)'!T$2,Accounts!$F:$F,'AccountSummary (New)'!T$3,Accounts!$W:$W,1,Accounts!$C:$C,"Lost")</f>
        <v>0</v>
      </c>
      <c r="U15">
        <f>COUNTIFS(Accounts!$E:$E,'AccountSummary (New)'!U$1,Accounts!$G:$G,'AccountSummary (New)'!U$2,Accounts!$F:$F,'AccountSummary (New)'!U$3,Accounts!$W:$W,1,Accounts!$C:$C,"Lost")</f>
        <v>0</v>
      </c>
      <c r="V15">
        <f>COUNTIFS(Accounts!$E:$E,'AccountSummary (New)'!V$1,Accounts!$G:$G,'AccountSummary (New)'!V$2,Accounts!$F:$F,'AccountSummary (New)'!V$3,Accounts!$W:$W,1,Accounts!$C:$C,"Lost")</f>
        <v>0</v>
      </c>
      <c r="W15" s="15">
        <f>SUM(Q15:V15)</f>
        <v>0</v>
      </c>
    </row>
    <row r="16" spans="1:23" x14ac:dyDescent="0.2">
      <c r="A16" s="1" t="s">
        <v>82</v>
      </c>
      <c r="B16" s="9">
        <f>I16+P16+W16</f>
        <v>0</v>
      </c>
      <c r="C16">
        <f t="shared" ref="C16:H16" si="2">C7-C15</f>
        <v>0</v>
      </c>
      <c r="D16">
        <f t="shared" si="2"/>
        <v>0</v>
      </c>
      <c r="E16">
        <f t="shared" si="2"/>
        <v>0</v>
      </c>
      <c r="F16">
        <f t="shared" si="2"/>
        <v>0</v>
      </c>
      <c r="G16">
        <f t="shared" si="2"/>
        <v>0</v>
      </c>
      <c r="H16">
        <f t="shared" si="2"/>
        <v>0</v>
      </c>
      <c r="I16" s="15">
        <f>SUM(C16:H16)</f>
        <v>0</v>
      </c>
      <c r="J16">
        <f t="shared" ref="J16:O16" si="3">J7-J15</f>
        <v>0</v>
      </c>
      <c r="K16">
        <f t="shared" si="3"/>
        <v>0</v>
      </c>
      <c r="L16">
        <f t="shared" si="3"/>
        <v>0</v>
      </c>
      <c r="M16">
        <f t="shared" si="3"/>
        <v>0</v>
      </c>
      <c r="N16">
        <f t="shared" si="3"/>
        <v>0</v>
      </c>
      <c r="O16">
        <f t="shared" si="3"/>
        <v>0</v>
      </c>
      <c r="P16" s="15">
        <f>SUM(J16:O16)</f>
        <v>0</v>
      </c>
      <c r="Q16">
        <f t="shared" ref="Q16:V16" si="4">Q7-Q15</f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 s="15">
        <f>SUM(Q16:V16)</f>
        <v>0</v>
      </c>
    </row>
    <row r="17" spans="1:23" x14ac:dyDescent="0.2">
      <c r="A17" s="1"/>
      <c r="B17" s="9"/>
    </row>
    <row r="18" spans="1:23" x14ac:dyDescent="0.2">
      <c r="A18" s="1" t="s">
        <v>83</v>
      </c>
      <c r="B18" s="9"/>
    </row>
    <row r="19" spans="1:23" x14ac:dyDescent="0.2">
      <c r="A19" s="1" t="s">
        <v>84</v>
      </c>
      <c r="B19" s="9">
        <f>I19+P19+W19</f>
        <v>1</v>
      </c>
      <c r="C19">
        <f>COUNTIFS(Accounts!$E:$E,'AccountSummary (New)'!C$1,Accounts!$G:$G,'AccountSummary (New)'!C$2,Accounts!$F:$F,'AccountSummary (New)'!C$3,Accounts!$B:$B,"Customer")</f>
        <v>0</v>
      </c>
      <c r="D19">
        <f>COUNTIFS(Accounts!$E:$E,'AccountSummary (New)'!D$1,Accounts!$G:$G,'AccountSummary (New)'!D$2,Accounts!$F:$F,'AccountSummary (New)'!D$3,Accounts!$B:$B,"Customer")</f>
        <v>0</v>
      </c>
      <c r="E19">
        <f>COUNTIFS(Accounts!$E:$E,'AccountSummary (New)'!E$1,Accounts!$G:$G,'AccountSummary (New)'!E$2,Accounts!$F:$F,'AccountSummary (New)'!E$3,Accounts!$B:$B,"Customer")</f>
        <v>0</v>
      </c>
      <c r="F19">
        <f>COUNTIFS(Accounts!$E:$E,'AccountSummary (New)'!F$1,Accounts!$G:$G,'AccountSummary (New)'!F$2,Accounts!$F:$F,'AccountSummary (New)'!F$3,Accounts!$B:$B,"Customer")</f>
        <v>0</v>
      </c>
      <c r="G19">
        <f>COUNTIFS(Accounts!$E:$E,'AccountSummary (New)'!G$1,Accounts!$G:$G,'AccountSummary (New)'!G$2,Accounts!$F:$F,'AccountSummary (New)'!G$3,Accounts!$B:$B,"Customer")</f>
        <v>0</v>
      </c>
      <c r="H19">
        <f>COUNTIFS(Accounts!$E:$E,'AccountSummary (New)'!H$1,Accounts!$G:$G,'AccountSummary (New)'!H$2,Accounts!$F:$F,'AccountSummary (New)'!H$3,Accounts!$B:$B,"Customer")</f>
        <v>0</v>
      </c>
      <c r="I19" s="15">
        <f>SUM(C19:H19)</f>
        <v>0</v>
      </c>
      <c r="J19">
        <f>COUNTIFS(Accounts!$E:$E,'AccountSummary (New)'!J$1,Accounts!$G:$G,'AccountSummary (New)'!J$2,Accounts!$F:$F,'AccountSummary (New)'!J$3,Accounts!$B:$B,"Customer")</f>
        <v>0</v>
      </c>
      <c r="K19">
        <f>COUNTIFS(Accounts!$E:$E,'AccountSummary (New)'!K$1,Accounts!$G:$G,'AccountSummary (New)'!K$2,Accounts!$F:$F,'AccountSummary (New)'!K$3,Accounts!$B:$B,"Customer")</f>
        <v>0</v>
      </c>
      <c r="L19">
        <f>COUNTIFS(Accounts!$E:$E,'AccountSummary (New)'!L$1,Accounts!$G:$G,'AccountSummary (New)'!L$2,Accounts!$F:$F,'AccountSummary (New)'!L$3,Accounts!$B:$B,"Customer")</f>
        <v>0</v>
      </c>
      <c r="M19">
        <f>COUNTIFS(Accounts!$E:$E,'AccountSummary (New)'!M$1,Accounts!$G:$G,'AccountSummary (New)'!M$2,Accounts!$F:$F,'AccountSummary (New)'!M$3,Accounts!$B:$B,"Customer")</f>
        <v>0</v>
      </c>
      <c r="N19">
        <f>COUNTIFS(Accounts!$E:$E,'AccountSummary (New)'!N$1,Accounts!$G:$G,'AccountSummary (New)'!N$2,Accounts!$F:$F,'AccountSummary (New)'!N$3,Accounts!$B:$B,"Customer")</f>
        <v>0</v>
      </c>
      <c r="O19">
        <f>COUNTIFS(Accounts!$E:$E,'AccountSummary (New)'!O$1,Accounts!$G:$G,'AccountSummary (New)'!O$2,Accounts!$F:$F,'AccountSummary (New)'!O$3,Accounts!$B:$B,"Customer")</f>
        <v>0</v>
      </c>
      <c r="P19" s="15">
        <f>SUM(J19:O19)</f>
        <v>0</v>
      </c>
      <c r="Q19">
        <f>COUNTIFS(Accounts!$E:$E,'AccountSummary (New)'!Q$1,Accounts!$G:$G,'AccountSummary (New)'!Q$2,Accounts!$F:$F,'AccountSummary (New)'!Q$3,Accounts!$B:$B,"Customer")</f>
        <v>0</v>
      </c>
      <c r="R19">
        <f>COUNTIFS(Accounts!$E:$E,'AccountSummary (New)'!R$1,Accounts!$G:$G,'AccountSummary (New)'!R$2,Accounts!$F:$F,'AccountSummary (New)'!R$3,Accounts!$B:$B,"Customer")</f>
        <v>1</v>
      </c>
      <c r="S19">
        <f>COUNTIFS(Accounts!$E:$E,'AccountSummary (New)'!S$1,Accounts!$G:$G,'AccountSummary (New)'!S$2,Accounts!$F:$F,'AccountSummary (New)'!S$3,Accounts!$B:$B,"Customer")</f>
        <v>0</v>
      </c>
      <c r="T19">
        <f>COUNTIFS(Accounts!$E:$E,'AccountSummary (New)'!T$1,Accounts!$G:$G,'AccountSummary (New)'!T$2,Accounts!$F:$F,'AccountSummary (New)'!T$3,Accounts!$B:$B,"Customer")</f>
        <v>0</v>
      </c>
      <c r="U19">
        <f>COUNTIFS(Accounts!$E:$E,'AccountSummary (New)'!U$1,Accounts!$G:$G,'AccountSummary (New)'!U$2,Accounts!$F:$F,'AccountSummary (New)'!U$3,Accounts!$B:$B,"Customer")</f>
        <v>0</v>
      </c>
      <c r="V19">
        <f>COUNTIFS(Accounts!$E:$E,'AccountSummary (New)'!V$1,Accounts!$G:$G,'AccountSummary (New)'!V$2,Accounts!$F:$F,'AccountSummary (New)'!V$3,Accounts!$B:$B,"Customer")</f>
        <v>0</v>
      </c>
      <c r="W19" s="15">
        <f>SUM(Q19:V19)</f>
        <v>1</v>
      </c>
    </row>
    <row r="20" spans="1:23" x14ac:dyDescent="0.2">
      <c r="A20" s="1"/>
      <c r="B20" s="9"/>
    </row>
    <row r="21" spans="1:23" x14ac:dyDescent="0.2">
      <c r="A21" s="1" t="s">
        <v>85</v>
      </c>
      <c r="B21" s="9"/>
    </row>
    <row r="22" spans="1:23" x14ac:dyDescent="0.2">
      <c r="A22" s="1" t="s">
        <v>86</v>
      </c>
      <c r="B22" s="11">
        <f t="shared" ref="B22:W22" si="5">IF(B$19=0,0,(B24+B25)/B$19)</f>
        <v>0</v>
      </c>
      <c r="C22" s="8">
        <f>IF(C$19=0,0,(C24+C25)/C$19)</f>
        <v>0</v>
      </c>
      <c r="D22" s="8">
        <f t="shared" si="5"/>
        <v>0</v>
      </c>
      <c r="E22" s="8">
        <f t="shared" si="5"/>
        <v>0</v>
      </c>
      <c r="F22" s="8">
        <f t="shared" si="5"/>
        <v>0</v>
      </c>
      <c r="G22" s="8">
        <f t="shared" si="5"/>
        <v>0</v>
      </c>
      <c r="H22" s="8">
        <f t="shared" si="5"/>
        <v>0</v>
      </c>
      <c r="I22" s="20">
        <f t="shared" si="5"/>
        <v>0</v>
      </c>
      <c r="J22" s="8">
        <f t="shared" si="5"/>
        <v>0</v>
      </c>
      <c r="K22" s="8">
        <f t="shared" si="5"/>
        <v>0</v>
      </c>
      <c r="L22" s="8">
        <f t="shared" si="5"/>
        <v>0</v>
      </c>
      <c r="M22" s="8">
        <f t="shared" si="5"/>
        <v>0</v>
      </c>
      <c r="N22" s="8">
        <f t="shared" si="5"/>
        <v>0</v>
      </c>
      <c r="O22" s="8">
        <f t="shared" si="5"/>
        <v>0</v>
      </c>
      <c r="P22" s="20">
        <f t="shared" si="5"/>
        <v>0</v>
      </c>
      <c r="Q22" s="8">
        <f t="shared" si="5"/>
        <v>0</v>
      </c>
      <c r="R22" s="8">
        <f t="shared" si="5"/>
        <v>0</v>
      </c>
      <c r="S22" s="8">
        <f t="shared" si="5"/>
        <v>0</v>
      </c>
      <c r="T22" s="8">
        <f t="shared" si="5"/>
        <v>0</v>
      </c>
      <c r="U22" s="8">
        <f t="shared" si="5"/>
        <v>0</v>
      </c>
      <c r="V22" s="8">
        <f t="shared" si="5"/>
        <v>0</v>
      </c>
      <c r="W22" s="20">
        <f t="shared" si="5"/>
        <v>0</v>
      </c>
    </row>
    <row r="23" spans="1:23" x14ac:dyDescent="0.2">
      <c r="A23" s="1" t="s">
        <v>87</v>
      </c>
      <c r="B23" s="11">
        <f t="shared" ref="B23:W23" si="6">IF((B24+B25)=0,0,B24/(B24+B25))</f>
        <v>0</v>
      </c>
      <c r="C23" s="8">
        <f t="shared" si="6"/>
        <v>0</v>
      </c>
      <c r="D23" s="8">
        <f t="shared" si="6"/>
        <v>0</v>
      </c>
      <c r="E23" s="8">
        <f t="shared" si="6"/>
        <v>0</v>
      </c>
      <c r="F23" s="8">
        <f t="shared" si="6"/>
        <v>0</v>
      </c>
      <c r="G23" s="8">
        <f t="shared" si="6"/>
        <v>0</v>
      </c>
      <c r="H23" s="8">
        <f t="shared" si="6"/>
        <v>0</v>
      </c>
      <c r="I23" s="20">
        <f t="shared" si="6"/>
        <v>0</v>
      </c>
      <c r="J23" s="8">
        <f t="shared" si="6"/>
        <v>0</v>
      </c>
      <c r="K23" s="8">
        <f t="shared" si="6"/>
        <v>0</v>
      </c>
      <c r="L23" s="8">
        <f t="shared" si="6"/>
        <v>0</v>
      </c>
      <c r="M23" s="8">
        <f t="shared" si="6"/>
        <v>0</v>
      </c>
      <c r="N23" s="8">
        <f t="shared" si="6"/>
        <v>0</v>
      </c>
      <c r="O23" s="8">
        <f t="shared" si="6"/>
        <v>0</v>
      </c>
      <c r="P23" s="20">
        <f t="shared" si="6"/>
        <v>0</v>
      </c>
      <c r="Q23" s="8">
        <f t="shared" si="6"/>
        <v>0</v>
      </c>
      <c r="R23" s="8">
        <f t="shared" si="6"/>
        <v>0</v>
      </c>
      <c r="S23" s="8">
        <f t="shared" si="6"/>
        <v>0</v>
      </c>
      <c r="T23" s="8">
        <f t="shared" si="6"/>
        <v>0</v>
      </c>
      <c r="U23" s="8">
        <f t="shared" si="6"/>
        <v>0</v>
      </c>
      <c r="V23" s="8">
        <f t="shared" si="6"/>
        <v>0</v>
      </c>
      <c r="W23" s="20">
        <f t="shared" si="6"/>
        <v>0</v>
      </c>
    </row>
    <row r="24" spans="1:23" x14ac:dyDescent="0.2">
      <c r="A24" s="1" t="s">
        <v>88</v>
      </c>
      <c r="B24" s="9">
        <f>I24+P24+W24</f>
        <v>0</v>
      </c>
      <c r="C24">
        <f>COUNTIFS(Accounts!$E:$E,'AccountSummary (New)'!C$1,Accounts!$G:$G,'AccountSummary (New)'!C$2,Accounts!$F:$F,'AccountSummary (New)'!C$3,Accounts!$B:$B,"Customer",Accounts!$C:$C,"Lost",Accounts!$H:$H,"&lt;="&amp;30)</f>
        <v>0</v>
      </c>
      <c r="D24">
        <f>COUNTIFS(Accounts!$E:$E,'AccountSummary (New)'!D$1,Accounts!$G:$G,'AccountSummary (New)'!D$2,Accounts!$F:$F,'AccountSummary (New)'!D$3,Accounts!$B:$B,"Customer",Accounts!$C:$C,"Lost",Accounts!$H:$H,"&lt;="&amp;30)</f>
        <v>0</v>
      </c>
      <c r="E24">
        <f>COUNTIFS(Accounts!$E:$E,'AccountSummary (New)'!E$1,Accounts!$G:$G,'AccountSummary (New)'!E$2,Accounts!$F:$F,'AccountSummary (New)'!E$3,Accounts!$B:$B,"Customer",Accounts!$C:$C,"Lost",Accounts!$H:$H,"&lt;="&amp;30)</f>
        <v>0</v>
      </c>
      <c r="F24">
        <f>COUNTIFS(Accounts!$E:$E,'AccountSummary (New)'!F$1,Accounts!$G:$G,'AccountSummary (New)'!F$2,Accounts!$F:$F,'AccountSummary (New)'!F$3,Accounts!$B:$B,"Customer",Accounts!$C:$C,"Lost",Accounts!$H:$H,"&lt;="&amp;30)</f>
        <v>0</v>
      </c>
      <c r="G24">
        <f>COUNTIFS(Accounts!$E:$E,'AccountSummary (New)'!G$1,Accounts!$G:$G,'AccountSummary (New)'!G$2,Accounts!$F:$F,'AccountSummary (New)'!G$3,Accounts!$B:$B,"Customer",Accounts!$C:$C,"Lost",Accounts!$H:$H,"&lt;="&amp;30)</f>
        <v>0</v>
      </c>
      <c r="H24">
        <f>COUNTIFS(Accounts!$E:$E,'AccountSummary (New)'!H$1,Accounts!$G:$G,'AccountSummary (New)'!H$2,Accounts!$F:$F,'AccountSummary (New)'!H$3,Accounts!$B:$B,"Customer",Accounts!$C:$C,"Lost",Accounts!$H:$H,"&lt;="&amp;30)</f>
        <v>0</v>
      </c>
      <c r="I24" s="15">
        <f>SUM(C24:H24)</f>
        <v>0</v>
      </c>
      <c r="J24">
        <f>COUNTIFS(Accounts!$E:$E,'AccountSummary (New)'!J$1,Accounts!$G:$G,'AccountSummary (New)'!J$2,Accounts!$F:$F,'AccountSummary (New)'!J$3,Accounts!$B:$B,"Customer",Accounts!$C:$C,"Lost",Accounts!$H:$H,"&lt;="&amp;30)</f>
        <v>0</v>
      </c>
      <c r="K24">
        <f>COUNTIFS(Accounts!$E:$E,'AccountSummary (New)'!K$1,Accounts!$G:$G,'AccountSummary (New)'!K$2,Accounts!$F:$F,'AccountSummary (New)'!K$3,Accounts!$B:$B,"Customer",Accounts!$C:$C,"Lost",Accounts!$H:$H,"&lt;="&amp;30)</f>
        <v>0</v>
      </c>
      <c r="L24">
        <f>COUNTIFS(Accounts!$E:$E,'AccountSummary (New)'!L$1,Accounts!$G:$G,'AccountSummary (New)'!L$2,Accounts!$F:$F,'AccountSummary (New)'!L$3,Accounts!$B:$B,"Customer",Accounts!$C:$C,"Lost",Accounts!$H:$H,"&lt;="&amp;30)</f>
        <v>0</v>
      </c>
      <c r="M24">
        <f>COUNTIFS(Accounts!$E:$E,'AccountSummary (New)'!M$1,Accounts!$G:$G,'AccountSummary (New)'!M$2,Accounts!$F:$F,'AccountSummary (New)'!M$3,Accounts!$B:$B,"Customer",Accounts!$C:$C,"Lost",Accounts!$H:$H,"&lt;="&amp;30)</f>
        <v>0</v>
      </c>
      <c r="N24">
        <f>COUNTIFS(Accounts!$E:$E,'AccountSummary (New)'!N$1,Accounts!$G:$G,'AccountSummary (New)'!N$2,Accounts!$F:$F,'AccountSummary (New)'!N$3,Accounts!$B:$B,"Customer",Accounts!$C:$C,"Lost",Accounts!$H:$H,"&lt;="&amp;30)</f>
        <v>0</v>
      </c>
      <c r="O24">
        <f>COUNTIFS(Accounts!$E:$E,'AccountSummary (New)'!O$1,Accounts!$G:$G,'AccountSummary (New)'!O$2,Accounts!$F:$F,'AccountSummary (New)'!O$3,Accounts!$B:$B,"Customer",Accounts!$C:$C,"Lost",Accounts!$H:$H,"&lt;="&amp;30)</f>
        <v>0</v>
      </c>
      <c r="P24" s="15">
        <f>SUM(J24:O24)</f>
        <v>0</v>
      </c>
      <c r="Q24">
        <f>COUNTIFS(Accounts!$E:$E,'AccountSummary (New)'!Q$1,Accounts!$G:$G,'AccountSummary (New)'!Q$2,Accounts!$F:$F,'AccountSummary (New)'!Q$3,Accounts!$B:$B,"Customer",Accounts!$C:$C,"Lost",Accounts!$H:$H,"&lt;="&amp;30)</f>
        <v>0</v>
      </c>
      <c r="R24">
        <f>COUNTIFS(Accounts!$E:$E,'AccountSummary (New)'!R$1,Accounts!$G:$G,'AccountSummary (New)'!R$2,Accounts!$F:$F,'AccountSummary (New)'!R$3,Accounts!$B:$B,"Customer",Accounts!$C:$C,"Lost",Accounts!$H:$H,"&lt;="&amp;30)</f>
        <v>0</v>
      </c>
      <c r="S24">
        <f>COUNTIFS(Accounts!$E:$E,'AccountSummary (New)'!S$1,Accounts!$G:$G,'AccountSummary (New)'!S$2,Accounts!$F:$F,'AccountSummary (New)'!S$3,Accounts!$B:$B,"Customer",Accounts!$C:$C,"Lost",Accounts!$H:$H,"&lt;="&amp;30)</f>
        <v>0</v>
      </c>
      <c r="T24">
        <f>COUNTIFS(Accounts!$E:$E,'AccountSummary (New)'!T$1,Accounts!$G:$G,'AccountSummary (New)'!T$2,Accounts!$F:$F,'AccountSummary (New)'!T$3,Accounts!$B:$B,"Customer",Accounts!$C:$C,"Lost",Accounts!$H:$H,"&lt;="&amp;30)</f>
        <v>0</v>
      </c>
      <c r="U24">
        <f>COUNTIFS(Accounts!$E:$E,'AccountSummary (New)'!U$1,Accounts!$G:$G,'AccountSummary (New)'!U$2,Accounts!$F:$F,'AccountSummary (New)'!U$3,Accounts!$B:$B,"Customer",Accounts!$C:$C,"Lost",Accounts!$H:$H,"&lt;="&amp;30)</f>
        <v>0</v>
      </c>
      <c r="V24">
        <f>COUNTIFS(Accounts!$E:$E,'AccountSummary (New)'!V$1,Accounts!$G:$G,'AccountSummary (New)'!V$2,Accounts!$F:$F,'AccountSummary (New)'!V$3,Accounts!$B:$B,"Customer",Accounts!$C:$C,"Lost",Accounts!$H:$H,"&lt;="&amp;30)</f>
        <v>0</v>
      </c>
      <c r="W24" s="15">
        <f>SUM(Q24:V24)</f>
        <v>0</v>
      </c>
    </row>
    <row r="25" spans="1:23" x14ac:dyDescent="0.2">
      <c r="A25" s="1" t="s">
        <v>89</v>
      </c>
      <c r="B25" s="9">
        <f>I25+P25+W25</f>
        <v>0</v>
      </c>
      <c r="C25">
        <f>COUNTIFS(Accounts!$E:$E,'AccountSummary (New)'!C$1,Accounts!$G:$G,'AccountSummary (New)'!C$2,Accounts!$F:$F,'AccountSummary (New)'!C$3,Accounts!$B:$B,"Customer",Accounts!$C:$C,"Customer",Accounts!$H:$H,"&lt;="&amp;30)</f>
        <v>0</v>
      </c>
      <c r="D25">
        <f>COUNTIFS(Accounts!$E:$E,'AccountSummary (New)'!D$1,Accounts!$G:$G,'AccountSummary (New)'!D$2,Accounts!$F:$F,'AccountSummary (New)'!D$3,Accounts!$B:$B,"Customer",Accounts!$C:$C,"Customer",Accounts!$H:$H,"&lt;="&amp;30)</f>
        <v>0</v>
      </c>
      <c r="E25">
        <f>COUNTIFS(Accounts!$E:$E,'AccountSummary (New)'!E$1,Accounts!$G:$G,'AccountSummary (New)'!E$2,Accounts!$F:$F,'AccountSummary (New)'!E$3,Accounts!$B:$B,"Customer",Accounts!$C:$C,"Customer",Accounts!$H:$H,"&lt;="&amp;30)</f>
        <v>0</v>
      </c>
      <c r="F25">
        <f>COUNTIFS(Accounts!$E:$E,'AccountSummary (New)'!F$1,Accounts!$G:$G,'AccountSummary (New)'!F$2,Accounts!$F:$F,'AccountSummary (New)'!F$3,Accounts!$B:$B,"Customer",Accounts!$C:$C,"Customer",Accounts!$H:$H,"&lt;="&amp;30)</f>
        <v>0</v>
      </c>
      <c r="G25">
        <f>COUNTIFS(Accounts!$E:$E,'AccountSummary (New)'!G$1,Accounts!$G:$G,'AccountSummary (New)'!G$2,Accounts!$F:$F,'AccountSummary (New)'!G$3,Accounts!$B:$B,"Customer",Accounts!$C:$C,"Customer",Accounts!$H:$H,"&lt;="&amp;30)</f>
        <v>0</v>
      </c>
      <c r="H25">
        <f>COUNTIFS(Accounts!$E:$E,'AccountSummary (New)'!H$1,Accounts!$G:$G,'AccountSummary (New)'!H$2,Accounts!$F:$F,'AccountSummary (New)'!H$3,Accounts!$B:$B,"Customer",Accounts!$C:$C,"Customer",Accounts!$H:$H,"&lt;="&amp;30)</f>
        <v>0</v>
      </c>
      <c r="I25" s="15">
        <f>SUM(C25:H25)</f>
        <v>0</v>
      </c>
      <c r="J25">
        <f>COUNTIFS(Accounts!$E:$E,'AccountSummary (New)'!J$1,Accounts!$G:$G,'AccountSummary (New)'!J$2,Accounts!$F:$F,'AccountSummary (New)'!J$3,Accounts!$B:$B,"Customer",Accounts!$C:$C,"Customer",Accounts!$H:$H,"&lt;="&amp;30)</f>
        <v>0</v>
      </c>
      <c r="K25">
        <f>COUNTIFS(Accounts!$E:$E,'AccountSummary (New)'!K$1,Accounts!$G:$G,'AccountSummary (New)'!K$2,Accounts!$F:$F,'AccountSummary (New)'!K$3,Accounts!$B:$B,"Customer",Accounts!$C:$C,"Customer",Accounts!$H:$H,"&lt;="&amp;30)</f>
        <v>0</v>
      </c>
      <c r="L25">
        <f>COUNTIFS(Accounts!$E:$E,'AccountSummary (New)'!L$1,Accounts!$G:$G,'AccountSummary (New)'!L$2,Accounts!$F:$F,'AccountSummary (New)'!L$3,Accounts!$B:$B,"Customer",Accounts!$C:$C,"Customer",Accounts!$H:$H,"&lt;="&amp;30)</f>
        <v>0</v>
      </c>
      <c r="M25">
        <f>COUNTIFS(Accounts!$E:$E,'AccountSummary (New)'!M$1,Accounts!$G:$G,'AccountSummary (New)'!M$2,Accounts!$F:$F,'AccountSummary (New)'!M$3,Accounts!$B:$B,"Customer",Accounts!$C:$C,"Customer",Accounts!$H:$H,"&lt;="&amp;30)</f>
        <v>0</v>
      </c>
      <c r="N25">
        <f>COUNTIFS(Accounts!$E:$E,'AccountSummary (New)'!N$1,Accounts!$G:$G,'AccountSummary (New)'!N$2,Accounts!$F:$F,'AccountSummary (New)'!N$3,Accounts!$B:$B,"Customer",Accounts!$C:$C,"Customer",Accounts!$H:$H,"&lt;="&amp;30)</f>
        <v>0</v>
      </c>
      <c r="O25">
        <f>COUNTIFS(Accounts!$E:$E,'AccountSummary (New)'!O$1,Accounts!$G:$G,'AccountSummary (New)'!O$2,Accounts!$F:$F,'AccountSummary (New)'!O$3,Accounts!$B:$B,"Customer",Accounts!$C:$C,"Customer",Accounts!$H:$H,"&lt;="&amp;30)</f>
        <v>0</v>
      </c>
      <c r="P25" s="15">
        <f>SUM(J25:O25)</f>
        <v>0</v>
      </c>
      <c r="Q25">
        <f>COUNTIFS(Accounts!$E:$E,'AccountSummary (New)'!Q$1,Accounts!$G:$G,'AccountSummary (New)'!Q$2,Accounts!$F:$F,'AccountSummary (New)'!Q$3,Accounts!$B:$B,"Customer",Accounts!$C:$C,"Customer",Accounts!$H:$H,"&lt;="&amp;30)</f>
        <v>0</v>
      </c>
      <c r="R25">
        <f>COUNTIFS(Accounts!$E:$E,'AccountSummary (New)'!R$1,Accounts!$G:$G,'AccountSummary (New)'!R$2,Accounts!$F:$F,'AccountSummary (New)'!R$3,Accounts!$B:$B,"Customer",Accounts!$C:$C,"Customer",Accounts!$H:$H,"&lt;="&amp;30)</f>
        <v>0</v>
      </c>
      <c r="S25">
        <f>COUNTIFS(Accounts!$E:$E,'AccountSummary (New)'!S$1,Accounts!$G:$G,'AccountSummary (New)'!S$2,Accounts!$F:$F,'AccountSummary (New)'!S$3,Accounts!$B:$B,"Customer",Accounts!$C:$C,"Customer",Accounts!$H:$H,"&lt;="&amp;30)</f>
        <v>0</v>
      </c>
      <c r="T25">
        <f>COUNTIFS(Accounts!$E:$E,'AccountSummary (New)'!T$1,Accounts!$G:$G,'AccountSummary (New)'!T$2,Accounts!$F:$F,'AccountSummary (New)'!T$3,Accounts!$B:$B,"Customer",Accounts!$C:$C,"Customer",Accounts!$H:$H,"&lt;="&amp;30)</f>
        <v>0</v>
      </c>
      <c r="U25">
        <f>COUNTIFS(Accounts!$E:$E,'AccountSummary (New)'!U$1,Accounts!$G:$G,'AccountSummary (New)'!U$2,Accounts!$F:$F,'AccountSummary (New)'!U$3,Accounts!$B:$B,"Customer",Accounts!$C:$C,"Customer",Accounts!$H:$H,"&lt;="&amp;30)</f>
        <v>0</v>
      </c>
      <c r="V25">
        <f>COUNTIFS(Accounts!$E:$E,'AccountSummary (New)'!V$1,Accounts!$G:$G,'AccountSummary (New)'!V$2,Accounts!$F:$F,'AccountSummary (New)'!V$3,Accounts!$B:$B,"Customer",Accounts!$C:$C,"Customer",Accounts!$H:$H,"&lt;="&amp;30)</f>
        <v>0</v>
      </c>
      <c r="W25" s="15">
        <f>SUM(Q25:V25)</f>
        <v>0</v>
      </c>
    </row>
    <row r="26" spans="1:23" x14ac:dyDescent="0.2">
      <c r="A26" s="2" t="s">
        <v>90</v>
      </c>
      <c r="B26" s="12">
        <f>IF(B25=0,0,SUMIFS(Accounts!$L:$L,Accounts!$W:$W,0,Accounts!$C:$C,"Customer",Accounts!$H:$H,"&lt;="&amp;30)/B25)</f>
        <v>0</v>
      </c>
      <c r="C26">
        <f>IF(C25=0,0,SUMIFS(Accounts!$L:$L,Accounts!$E:$E,'AccountSummary (New)'!C$1,Accounts!$G:$G,'AccountSummary (New)'!C$2,Accounts!$F:$F,'AccountSummary (New)'!C$3,Accounts!$W:$W,0,Accounts!$C:$C,"Customer",Accounts!$H:$H,"&lt;="&amp;30)/C25)</f>
        <v>0</v>
      </c>
      <c r="D26">
        <f>IF(D25=0,0,SUMIFS(Accounts!$L:$L,Accounts!$E:$E,'AccountSummary (New)'!D$1,Accounts!$G:$G,'AccountSummary (New)'!D$2,Accounts!$F:$F,'AccountSummary (New)'!D$3,Accounts!$W:$W,0,Accounts!$C:$C,"Customer",Accounts!$H:$H,"&lt;="&amp;30)/D25)</f>
        <v>0</v>
      </c>
      <c r="E26">
        <f>IF(E25=0,0,SUMIFS(Accounts!$L:$L,Accounts!$E:$E,'AccountSummary (New)'!E$1,Accounts!$G:$G,'AccountSummary (New)'!E$2,Accounts!$F:$F,'AccountSummary (New)'!E$3,Accounts!$W:$W,0,Accounts!$C:$C,"Customer",Accounts!$H:$H,"&lt;="&amp;30)/E25)</f>
        <v>0</v>
      </c>
      <c r="F26">
        <f>IF(F25=0,0,SUMIFS(Accounts!$L:$L,Accounts!$E:$E,'AccountSummary (New)'!F$1,Accounts!$G:$G,'AccountSummary (New)'!F$2,Accounts!$F:$F,'AccountSummary (New)'!F$3,Accounts!$W:$W,0,Accounts!$C:$C,"Customer",Accounts!$H:$H,"&lt;="&amp;30)/F25)</f>
        <v>0</v>
      </c>
      <c r="G26">
        <f>IF(G25=0,0,SUMIFS(Accounts!$L:$L,Accounts!$E:$E,'AccountSummary (New)'!G$1,Accounts!$G:$G,'AccountSummary (New)'!G$2,Accounts!$F:$F,'AccountSummary (New)'!G$3,Accounts!$W:$W,0,Accounts!$C:$C,"Customer",Accounts!$H:$H,"&lt;="&amp;30)/G25)</f>
        <v>0</v>
      </c>
      <c r="H26">
        <f>IF(H25=0,0,SUMIFS(Accounts!$L:$L,Accounts!$E:$E,'AccountSummary (New)'!H$1,Accounts!$G:$G,'AccountSummary (New)'!H$2,Accounts!$F:$F,'AccountSummary (New)'!H$3,Accounts!$W:$W,0,Accounts!$C:$C,"Customer",Accounts!$H:$H,"&lt;="&amp;30)/H25)</f>
        <v>0</v>
      </c>
      <c r="I26" s="15">
        <f>IF(I25=0,0,SUMIFS(Accounts!$L:$L,Accounts!$F:$F,'AccountSummary (New)'!I$3,Accounts!$W:$W,0,Accounts!$C:$C,"Customer",Accounts!$H:$H,"&lt;="&amp;30)/I25)</f>
        <v>0</v>
      </c>
      <c r="J26">
        <f>IF(J25=0,0,SUMIFS(Accounts!$L:$L,Accounts!$E:$E,'AccountSummary (New)'!J$1,Accounts!$G:$G,'AccountSummary (New)'!J$2,Accounts!$F:$F,'AccountSummary (New)'!J$3,Accounts!$W:$W,0,Accounts!$C:$C,"Customer",Accounts!$H:$H,"&lt;="&amp;30)/J25)</f>
        <v>0</v>
      </c>
      <c r="K26">
        <f>IF(K25=0,0,SUMIFS(Accounts!$L:$L,Accounts!$E:$E,'AccountSummary (New)'!K$1,Accounts!$G:$G,'AccountSummary (New)'!K$2,Accounts!$F:$F,'AccountSummary (New)'!K$3,Accounts!$W:$W,0,Accounts!$C:$C,"Customer",Accounts!$H:$H,"&lt;="&amp;30)/K25)</f>
        <v>0</v>
      </c>
      <c r="L26">
        <f>IF(L25=0,0,SUMIFS(Accounts!$L:$L,Accounts!$E:$E,'AccountSummary (New)'!L$1,Accounts!$G:$G,'AccountSummary (New)'!L$2,Accounts!$F:$F,'AccountSummary (New)'!L$3,Accounts!$W:$W,0,Accounts!$C:$C,"Customer",Accounts!$H:$H,"&lt;="&amp;30)/L25)</f>
        <v>0</v>
      </c>
      <c r="M26">
        <f>IF(M25=0,0,SUMIFS(Accounts!$L:$L,Accounts!$E:$E,'AccountSummary (New)'!M$1,Accounts!$G:$G,'AccountSummary (New)'!M$2,Accounts!$F:$F,'AccountSummary (New)'!M$3,Accounts!$W:$W,0,Accounts!$C:$C,"Customer",Accounts!$H:$H,"&lt;="&amp;30)/M25)</f>
        <v>0</v>
      </c>
      <c r="N26">
        <f>IF(N25=0,0,SUMIFS(Accounts!$L:$L,Accounts!$E:$E,'AccountSummary (New)'!N$1,Accounts!$G:$G,'AccountSummary (New)'!N$2,Accounts!$F:$F,'AccountSummary (New)'!N$3,Accounts!$W:$W,0,Accounts!$C:$C,"Customer",Accounts!$H:$H,"&lt;="&amp;30)/N25)</f>
        <v>0</v>
      </c>
      <c r="O26">
        <f>IF(O25=0,0,SUMIFS(Accounts!$L:$L,Accounts!$E:$E,'AccountSummary (New)'!O$1,Accounts!$G:$G,'AccountSummary (New)'!O$2,Accounts!$F:$F,'AccountSummary (New)'!O$3,Accounts!$W:$W,0,Accounts!$C:$C,"Customer",Accounts!$H:$H,"&lt;="&amp;30)/O25)</f>
        <v>0</v>
      </c>
      <c r="P26" s="15">
        <f>IF(P25=0,0,SUMIFS(Accounts!$L:$L,Accounts!$F:$F,'AccountSummary (New)'!P$3,Accounts!$W:$W,0,Accounts!$C:$C,"Customer",Accounts!$H:$H,"&lt;="&amp;30)/P25)</f>
        <v>0</v>
      </c>
      <c r="Q26">
        <f>IF(Q25=0,0,SUMIFS(Accounts!$L:$L,Accounts!$E:$E,'AccountSummary (New)'!Q$1,Accounts!$G:$G,'AccountSummary (New)'!Q$2,Accounts!$F:$F,'AccountSummary (New)'!Q$3,Accounts!$W:$W,0,Accounts!$C:$C,"Customer",Accounts!$H:$H,"&lt;="&amp;30)/Q25)</f>
        <v>0</v>
      </c>
      <c r="R26">
        <f>IF(R25=0,0,SUMIFS(Accounts!$L:$L,Accounts!$E:$E,'AccountSummary (New)'!R$1,Accounts!$G:$G,'AccountSummary (New)'!R$2,Accounts!$F:$F,'AccountSummary (New)'!R$3,Accounts!$W:$W,0,Accounts!$C:$C,"Customer",Accounts!$H:$H,"&lt;="&amp;30)/R25)</f>
        <v>0</v>
      </c>
      <c r="S26">
        <f>IF(S25=0,0,SUMIFS(Accounts!$L:$L,Accounts!$E:$E,'AccountSummary (New)'!S$1,Accounts!$G:$G,'AccountSummary (New)'!S$2,Accounts!$F:$F,'AccountSummary (New)'!S$3,Accounts!$W:$W,0,Accounts!$C:$C,"Customer",Accounts!$H:$H,"&lt;="&amp;30)/S25)</f>
        <v>0</v>
      </c>
      <c r="T26">
        <f>IF(T25=0,0,SUMIFS(Accounts!$L:$L,Accounts!$E:$E,'AccountSummary (New)'!T$1,Accounts!$G:$G,'AccountSummary (New)'!T$2,Accounts!$F:$F,'AccountSummary (New)'!T$3,Accounts!$W:$W,0,Accounts!$C:$C,"Customer",Accounts!$H:$H,"&lt;="&amp;30)/T25)</f>
        <v>0</v>
      </c>
      <c r="U26">
        <f>IF(U25=0,0,SUMIFS(Accounts!$L:$L,Accounts!$E:$E,'AccountSummary (New)'!U$1,Accounts!$G:$G,'AccountSummary (New)'!U$2,Accounts!$F:$F,'AccountSummary (New)'!U$3,Accounts!$W:$W,0,Accounts!$C:$C,"Customer",Accounts!$H:$H,"&lt;="&amp;30)/U25)</f>
        <v>0</v>
      </c>
      <c r="V26">
        <f>IF(V25=0,0,SUMIFS(Accounts!$L:$L,Accounts!$E:$E,'AccountSummary (New)'!V$1,Accounts!$G:$G,'AccountSummary (New)'!V$2,Accounts!$F:$F,'AccountSummary (New)'!V$3,Accounts!$W:$W,0,Accounts!$C:$C,"Customer",Accounts!$H:$H,"&lt;="&amp;30)/V25)</f>
        <v>0</v>
      </c>
      <c r="W26" s="15">
        <f>IF(W25=0,0,SUMIFS(Accounts!$L:$L,Accounts!$F:$F,'AccountSummary (New)'!W$3,Accounts!$W:$W,0,Accounts!$C:$C,"Customer",Accounts!$H:$H,"&lt;="&amp;30)/W25)</f>
        <v>0</v>
      </c>
    </row>
    <row r="27" spans="1:23" x14ac:dyDescent="0.2">
      <c r="A27" s="2" t="s">
        <v>91</v>
      </c>
      <c r="B27" s="12">
        <f>IF(B25=0,0,SUMIFS(Accounts!$M:$M,Accounts!$W:$W,0,Accounts!$C:$C,"Customer",Accounts!$H:$H,"&lt;="&amp;30)/B25)</f>
        <v>0</v>
      </c>
      <c r="C27">
        <f>IF(C25=0,0,SUMIFS(Accounts!$M:$M,Accounts!$E:$E,'AccountSummary (New)'!C$1,Accounts!$G:$G,'AccountSummary (New)'!C$2,Accounts!$F:$F,'AccountSummary (New)'!C$3,Accounts!$W:$W,0,Accounts!$C:$C,"Customer",Accounts!$H:$H,"&lt;="&amp;30)/C25)</f>
        <v>0</v>
      </c>
      <c r="D27">
        <f>IF(D25=0,0,SUMIFS(Accounts!$M:$M,Accounts!$E:$E,'AccountSummary (New)'!D$1,Accounts!$G:$G,'AccountSummary (New)'!D$2,Accounts!$F:$F,'AccountSummary (New)'!D$3,Accounts!$W:$W,0,Accounts!$C:$C,"Customer",Accounts!$H:$H,"&lt;="&amp;30)/D25)</f>
        <v>0</v>
      </c>
      <c r="E27">
        <f>IF(E25=0,0,SUMIFS(Accounts!$M:$M,Accounts!$E:$E,'AccountSummary (New)'!E$1,Accounts!$G:$G,'AccountSummary (New)'!E$2,Accounts!$F:$F,'AccountSummary (New)'!E$3,Accounts!$W:$W,0,Accounts!$C:$C,"Customer",Accounts!$H:$H,"&lt;="&amp;30)/E25)</f>
        <v>0</v>
      </c>
      <c r="F27">
        <f>IF(F25=0,0,SUMIFS(Accounts!$M:$M,Accounts!$E:$E,'AccountSummary (New)'!F$1,Accounts!$G:$G,'AccountSummary (New)'!F$2,Accounts!$F:$F,'AccountSummary (New)'!F$3,Accounts!$W:$W,0,Accounts!$C:$C,"Customer",Accounts!$H:$H,"&lt;="&amp;30)/F25)</f>
        <v>0</v>
      </c>
      <c r="G27">
        <f>IF(G25=0,0,SUMIFS(Accounts!$M:$M,Accounts!$E:$E,'AccountSummary (New)'!G$1,Accounts!$G:$G,'AccountSummary (New)'!G$2,Accounts!$F:$F,'AccountSummary (New)'!G$3,Accounts!$W:$W,0,Accounts!$C:$C,"Customer",Accounts!$H:$H,"&lt;="&amp;30)/G25)</f>
        <v>0</v>
      </c>
      <c r="H27">
        <f>IF(H25=0,0,SUMIFS(Accounts!$M:$M,Accounts!$E:$E,'AccountSummary (New)'!H$1,Accounts!$G:$G,'AccountSummary (New)'!H$2,Accounts!$F:$F,'AccountSummary (New)'!H$3,Accounts!$W:$W,0,Accounts!$C:$C,"Customer",Accounts!$H:$H,"&lt;="&amp;30)/H25)</f>
        <v>0</v>
      </c>
      <c r="I27" s="15">
        <f>IF(I25=0,0,SUMIFS(Accounts!$M:$M,Accounts!$F:$F,'AccountSummary (New)'!I$3,Accounts!$W:$W,0,Accounts!$C:$C,"Customer",Accounts!$H:$H,"&lt;="&amp;30)/I25)</f>
        <v>0</v>
      </c>
      <c r="J27">
        <f>IF(J25=0,0,SUMIFS(Accounts!$M:$M,Accounts!$E:$E,'AccountSummary (New)'!J$1,Accounts!$G:$G,'AccountSummary (New)'!J$2,Accounts!$F:$F,'AccountSummary (New)'!J$3,Accounts!$W:$W,0,Accounts!$C:$C,"Customer",Accounts!$H:$H,"&lt;="&amp;30)/J25)</f>
        <v>0</v>
      </c>
      <c r="K27">
        <f>IF(K25=0,0,SUMIFS(Accounts!$M:$M,Accounts!$E:$E,'AccountSummary (New)'!K$1,Accounts!$G:$G,'AccountSummary (New)'!K$2,Accounts!$F:$F,'AccountSummary (New)'!K$3,Accounts!$W:$W,0,Accounts!$C:$C,"Customer",Accounts!$H:$H,"&lt;="&amp;30)/K25)</f>
        <v>0</v>
      </c>
      <c r="L27">
        <f>IF(L25=0,0,SUMIFS(Accounts!$M:$M,Accounts!$E:$E,'AccountSummary (New)'!L$1,Accounts!$G:$G,'AccountSummary (New)'!L$2,Accounts!$F:$F,'AccountSummary (New)'!L$3,Accounts!$W:$W,0,Accounts!$C:$C,"Customer",Accounts!$H:$H,"&lt;="&amp;30)/L25)</f>
        <v>0</v>
      </c>
      <c r="M27">
        <f>IF(M25=0,0,SUMIFS(Accounts!$M:$M,Accounts!$E:$E,'AccountSummary (New)'!M$1,Accounts!$G:$G,'AccountSummary (New)'!M$2,Accounts!$F:$F,'AccountSummary (New)'!M$3,Accounts!$W:$W,0,Accounts!$C:$C,"Customer",Accounts!$H:$H,"&lt;="&amp;30)/M25)</f>
        <v>0</v>
      </c>
      <c r="N27">
        <f>IF(N25=0,0,SUMIFS(Accounts!$M:$M,Accounts!$E:$E,'AccountSummary (New)'!N$1,Accounts!$G:$G,'AccountSummary (New)'!N$2,Accounts!$F:$F,'AccountSummary (New)'!N$3,Accounts!$W:$W,0,Accounts!$C:$C,"Customer",Accounts!$H:$H,"&lt;="&amp;30)/N25)</f>
        <v>0</v>
      </c>
      <c r="O27">
        <f>IF(O25=0,0,SUMIFS(Accounts!$M:$M,Accounts!$E:$E,'AccountSummary (New)'!O$1,Accounts!$G:$G,'AccountSummary (New)'!O$2,Accounts!$F:$F,'AccountSummary (New)'!O$3,Accounts!$W:$W,0,Accounts!$C:$C,"Customer",Accounts!$H:$H,"&lt;="&amp;30)/O25)</f>
        <v>0</v>
      </c>
      <c r="P27" s="15">
        <f>IF(P25=0,0,SUMIFS(Accounts!$M:$M,Accounts!$F:$F,'AccountSummary (New)'!P$3,Accounts!$W:$W,0,Accounts!$C:$C,"Customer",Accounts!$H:$H,"&lt;="&amp;30)/P25)</f>
        <v>0</v>
      </c>
      <c r="Q27">
        <f>IF(Q25=0,0,SUMIFS(Accounts!$M:$M,Accounts!$E:$E,'AccountSummary (New)'!Q$1,Accounts!$G:$G,'AccountSummary (New)'!Q$2,Accounts!$F:$F,'AccountSummary (New)'!Q$3,Accounts!$W:$W,0,Accounts!$C:$C,"Customer",Accounts!$H:$H,"&lt;="&amp;30)/Q25)</f>
        <v>0</v>
      </c>
      <c r="R27">
        <f>IF(R25=0,0,SUMIFS(Accounts!$M:$M,Accounts!$E:$E,'AccountSummary (New)'!R$1,Accounts!$G:$G,'AccountSummary (New)'!R$2,Accounts!$F:$F,'AccountSummary (New)'!R$3,Accounts!$W:$W,0,Accounts!$C:$C,"Customer",Accounts!$H:$H,"&lt;="&amp;30)/R25)</f>
        <v>0</v>
      </c>
      <c r="S27">
        <f>IF(S25=0,0,SUMIFS(Accounts!$M:$M,Accounts!$E:$E,'AccountSummary (New)'!S$1,Accounts!$G:$G,'AccountSummary (New)'!S$2,Accounts!$F:$F,'AccountSummary (New)'!S$3,Accounts!$W:$W,0,Accounts!$C:$C,"Customer",Accounts!$H:$H,"&lt;="&amp;30)/S25)</f>
        <v>0</v>
      </c>
      <c r="T27">
        <f>IF(T25=0,0,SUMIFS(Accounts!$M:$M,Accounts!$E:$E,'AccountSummary (New)'!T$1,Accounts!$G:$G,'AccountSummary (New)'!T$2,Accounts!$F:$F,'AccountSummary (New)'!T$3,Accounts!$W:$W,0,Accounts!$C:$C,"Customer",Accounts!$H:$H,"&lt;="&amp;30)/T25)</f>
        <v>0</v>
      </c>
      <c r="U27">
        <f>IF(U25=0,0,SUMIFS(Accounts!$M:$M,Accounts!$E:$E,'AccountSummary (New)'!U$1,Accounts!$G:$G,'AccountSummary (New)'!U$2,Accounts!$F:$F,'AccountSummary (New)'!U$3,Accounts!$W:$W,0,Accounts!$C:$C,"Customer",Accounts!$H:$H,"&lt;="&amp;30)/U25)</f>
        <v>0</v>
      </c>
      <c r="V27">
        <f>IF(V25=0,0,SUMIFS(Accounts!$M:$M,Accounts!$E:$E,'AccountSummary (New)'!V$1,Accounts!$G:$G,'AccountSummary (New)'!V$2,Accounts!$F:$F,'AccountSummary (New)'!V$3,Accounts!$W:$W,0,Accounts!$C:$C,"Customer",Accounts!$H:$H,"&lt;="&amp;30)/V25)</f>
        <v>0</v>
      </c>
      <c r="W27" s="15">
        <f>IF(W25=0,0,SUMIFS(Accounts!$M:$M,Accounts!$F:$F,'AccountSummary (New)'!W$3,Accounts!$W:$W,0,Accounts!$C:$C,"Customer",Accounts!$H:$H,"&lt;="&amp;30)/W25)</f>
        <v>0</v>
      </c>
    </row>
    <row r="28" spans="1:23" x14ac:dyDescent="0.2">
      <c r="A28" s="1" t="s">
        <v>92</v>
      </c>
      <c r="B28" s="10">
        <f t="shared" ref="B28:W28" si="7">IF(B25=0,0,B29/B25)</f>
        <v>0</v>
      </c>
      <c r="C28" s="18">
        <f t="shared" si="7"/>
        <v>0</v>
      </c>
      <c r="D28" s="18">
        <f t="shared" si="7"/>
        <v>0</v>
      </c>
      <c r="E28" s="18">
        <f t="shared" si="7"/>
        <v>0</v>
      </c>
      <c r="F28" s="18">
        <f t="shared" si="7"/>
        <v>0</v>
      </c>
      <c r="G28" s="18">
        <f t="shared" si="7"/>
        <v>0</v>
      </c>
      <c r="H28" s="18">
        <f t="shared" si="7"/>
        <v>0</v>
      </c>
      <c r="I28" s="6">
        <f t="shared" si="7"/>
        <v>0</v>
      </c>
      <c r="J28" s="18">
        <f t="shared" si="7"/>
        <v>0</v>
      </c>
      <c r="K28" s="18">
        <f t="shared" si="7"/>
        <v>0</v>
      </c>
      <c r="L28" s="18">
        <f t="shared" si="7"/>
        <v>0</v>
      </c>
      <c r="M28" s="18">
        <f t="shared" si="7"/>
        <v>0</v>
      </c>
      <c r="N28" s="18">
        <f t="shared" si="7"/>
        <v>0</v>
      </c>
      <c r="O28" s="18">
        <f t="shared" si="7"/>
        <v>0</v>
      </c>
      <c r="P28" s="6">
        <f t="shared" si="7"/>
        <v>0</v>
      </c>
      <c r="Q28" s="18">
        <f t="shared" si="7"/>
        <v>0</v>
      </c>
      <c r="R28" s="18">
        <f t="shared" si="7"/>
        <v>0</v>
      </c>
      <c r="S28" s="18">
        <f t="shared" si="7"/>
        <v>0</v>
      </c>
      <c r="T28" s="18">
        <f t="shared" si="7"/>
        <v>0</v>
      </c>
      <c r="U28" s="18">
        <f t="shared" si="7"/>
        <v>0</v>
      </c>
      <c r="V28" s="18">
        <f t="shared" si="7"/>
        <v>0</v>
      </c>
      <c r="W28" s="6">
        <f t="shared" si="7"/>
        <v>0</v>
      </c>
    </row>
    <row r="29" spans="1:23" x14ac:dyDescent="0.2">
      <c r="A29" s="1" t="s">
        <v>93</v>
      </c>
      <c r="B29" s="10">
        <f>I29+P29+W29</f>
        <v>0</v>
      </c>
      <c r="C29" s="18">
        <f>SUMIFS(Accounts!$I:$I,Accounts!$E:$E,'AccountSummary (New)'!C$1,Accounts!$G:$G,'AccountSummary (New)'!C$2,Accounts!$F:$F,'AccountSummary (New)'!C$3,Accounts!$W:$W,0,Accounts!$C:$C,"Customer",Accounts!$H:$H,"&lt;="&amp;30)</f>
        <v>0</v>
      </c>
      <c r="D29" s="18">
        <f>SUMIFS(Accounts!$I:$I,Accounts!$E:$E,'AccountSummary (New)'!D$1,Accounts!$G:$G,'AccountSummary (New)'!D$2,Accounts!$F:$F,'AccountSummary (New)'!D$3,Accounts!$W:$W,0,Accounts!$C:$C,"Customer",Accounts!$H:$H,"&lt;="&amp;30)</f>
        <v>0</v>
      </c>
      <c r="E29" s="18">
        <f>SUMIFS(Accounts!$I:$I,Accounts!$E:$E,'AccountSummary (New)'!E$1,Accounts!$G:$G,'AccountSummary (New)'!E$2,Accounts!$F:$F,'AccountSummary (New)'!E$3,Accounts!$W:$W,0,Accounts!$C:$C,"Customer",Accounts!$H:$H,"&lt;="&amp;30)</f>
        <v>0</v>
      </c>
      <c r="F29" s="18">
        <f>SUMIFS(Accounts!$I:$I,Accounts!$E:$E,'AccountSummary (New)'!F$1,Accounts!$G:$G,'AccountSummary (New)'!F$2,Accounts!$F:$F,'AccountSummary (New)'!F$3,Accounts!$W:$W,0,Accounts!$C:$C,"Customer",Accounts!$H:$H,"&lt;="&amp;30)</f>
        <v>0</v>
      </c>
      <c r="G29" s="18">
        <f>SUMIFS(Accounts!$I:$I,Accounts!$E:$E,'AccountSummary (New)'!G$1,Accounts!$G:$G,'AccountSummary (New)'!G$2,Accounts!$F:$F,'AccountSummary (New)'!G$3,Accounts!$W:$W,0,Accounts!$C:$C,"Customer",Accounts!$H:$H,"&lt;="&amp;30)</f>
        <v>0</v>
      </c>
      <c r="H29" s="18">
        <f>SUMIFS(Accounts!$I:$I,Accounts!$E:$E,'AccountSummary (New)'!H$1,Accounts!$G:$G,'AccountSummary (New)'!H$2,Accounts!$F:$F,'AccountSummary (New)'!H$3,Accounts!$W:$W,0,Accounts!$C:$C,"Customer",Accounts!$H:$H,"&lt;="&amp;30)</f>
        <v>0</v>
      </c>
      <c r="I29" s="6">
        <f>SUM(C29:H29)</f>
        <v>0</v>
      </c>
      <c r="J29" s="18">
        <f>SUMIFS(Accounts!$I:$I,Accounts!$E:$E,'AccountSummary (New)'!J$1,Accounts!$G:$G,'AccountSummary (New)'!J$2,Accounts!$F:$F,'AccountSummary (New)'!J$3,Accounts!$W:$W,0,Accounts!$C:$C,"Customer",Accounts!$H:$H,"&lt;="&amp;30)</f>
        <v>0</v>
      </c>
      <c r="K29" s="18">
        <f>SUMIFS(Accounts!$I:$I,Accounts!$E:$E,'AccountSummary (New)'!K$1,Accounts!$G:$G,'AccountSummary (New)'!K$2,Accounts!$F:$F,'AccountSummary (New)'!K$3,Accounts!$W:$W,0,Accounts!$C:$C,"Customer",Accounts!$H:$H,"&lt;="&amp;30)</f>
        <v>0</v>
      </c>
      <c r="L29" s="18">
        <f>SUMIFS(Accounts!$I:$I,Accounts!$E:$E,'AccountSummary (New)'!L$1,Accounts!$G:$G,'AccountSummary (New)'!L$2,Accounts!$F:$F,'AccountSummary (New)'!L$3,Accounts!$W:$W,0,Accounts!$C:$C,"Customer",Accounts!$H:$H,"&lt;="&amp;30)</f>
        <v>0</v>
      </c>
      <c r="M29" s="18">
        <f>SUMIFS(Accounts!$I:$I,Accounts!$E:$E,'AccountSummary (New)'!M$1,Accounts!$G:$G,'AccountSummary (New)'!M$2,Accounts!$F:$F,'AccountSummary (New)'!M$3,Accounts!$W:$W,0,Accounts!$C:$C,"Customer",Accounts!$H:$H,"&lt;="&amp;30)</f>
        <v>0</v>
      </c>
      <c r="N29" s="18">
        <f>SUMIFS(Accounts!$I:$I,Accounts!$E:$E,'AccountSummary (New)'!N$1,Accounts!$G:$G,'AccountSummary (New)'!N$2,Accounts!$F:$F,'AccountSummary (New)'!N$3,Accounts!$W:$W,0,Accounts!$C:$C,"Customer",Accounts!$H:$H,"&lt;="&amp;30)</f>
        <v>0</v>
      </c>
      <c r="O29" s="18">
        <f>SUMIFS(Accounts!$I:$I,Accounts!$E:$E,'AccountSummary (New)'!O$1,Accounts!$G:$G,'AccountSummary (New)'!O$2,Accounts!$F:$F,'AccountSummary (New)'!O$3,Accounts!$W:$W,0,Accounts!$C:$C,"Customer",Accounts!$H:$H,"&lt;="&amp;30)</f>
        <v>0</v>
      </c>
      <c r="P29" s="6">
        <f>SUM(J29:O29)</f>
        <v>0</v>
      </c>
      <c r="Q29" s="18">
        <f>SUMIFS(Accounts!$I:$I,Accounts!$E:$E,'AccountSummary (New)'!Q$1,Accounts!$G:$G,'AccountSummary (New)'!Q$2,Accounts!$F:$F,'AccountSummary (New)'!Q$3,Accounts!$W:$W,0,Accounts!$C:$C,"Customer",Accounts!$H:$H,"&lt;="&amp;30)</f>
        <v>0</v>
      </c>
      <c r="R29" s="18">
        <f>SUMIFS(Accounts!$I:$I,Accounts!$E:$E,'AccountSummary (New)'!R$1,Accounts!$G:$G,'AccountSummary (New)'!R$2,Accounts!$F:$F,'AccountSummary (New)'!R$3,Accounts!$W:$W,0,Accounts!$C:$C,"Customer",Accounts!$H:$H,"&lt;="&amp;30)</f>
        <v>0</v>
      </c>
      <c r="S29" s="18">
        <f>SUMIFS(Accounts!$I:$I,Accounts!$E:$E,'AccountSummary (New)'!S$1,Accounts!$G:$G,'AccountSummary (New)'!S$2,Accounts!$F:$F,'AccountSummary (New)'!S$3,Accounts!$W:$W,0,Accounts!$C:$C,"Customer",Accounts!$H:$H,"&lt;="&amp;30)</f>
        <v>0</v>
      </c>
      <c r="T29" s="18">
        <f>SUMIFS(Accounts!$I:$I,Accounts!$E:$E,'AccountSummary (New)'!T$1,Accounts!$G:$G,'AccountSummary (New)'!T$2,Accounts!$F:$F,'AccountSummary (New)'!T$3,Accounts!$W:$W,0,Accounts!$C:$C,"Customer",Accounts!$H:$H,"&lt;="&amp;30)</f>
        <v>0</v>
      </c>
      <c r="U29" s="18">
        <f>SUMIFS(Accounts!$I:$I,Accounts!$E:$E,'AccountSummary (New)'!U$1,Accounts!$G:$G,'AccountSummary (New)'!U$2,Accounts!$F:$F,'AccountSummary (New)'!U$3,Accounts!$W:$W,0,Accounts!$C:$C,"Customer",Accounts!$H:$H,"&lt;="&amp;30)</f>
        <v>0</v>
      </c>
      <c r="V29" s="18">
        <f>SUMIFS(Accounts!$I:$I,Accounts!$E:$E,'AccountSummary (New)'!V$1,Accounts!$G:$G,'AccountSummary (New)'!V$2,Accounts!$F:$F,'AccountSummary (New)'!V$3,Accounts!$W:$W,0,Accounts!$C:$C,"Customer",Accounts!$H:$H,"&lt;="&amp;30)</f>
        <v>0</v>
      </c>
      <c r="W29" s="6">
        <f>SUM(Q29:V29)</f>
        <v>0</v>
      </c>
    </row>
    <row r="30" spans="1:23" x14ac:dyDescent="0.2">
      <c r="A30" s="1" t="s">
        <v>94</v>
      </c>
      <c r="B30" s="10"/>
      <c r="C30" s="18"/>
      <c r="D30" s="18"/>
      <c r="E30" s="18"/>
      <c r="F30" s="18"/>
      <c r="G30" s="18"/>
      <c r="H30" s="18"/>
      <c r="I30" s="6"/>
      <c r="J30" s="18"/>
      <c r="K30" s="18"/>
      <c r="L30" s="18"/>
      <c r="M30" s="18"/>
      <c r="N30" s="18"/>
      <c r="O30" s="18"/>
      <c r="P30" s="6"/>
      <c r="Q30" s="18"/>
      <c r="R30" s="18"/>
      <c r="S30" s="18"/>
      <c r="T30" s="18"/>
      <c r="U30" s="18"/>
      <c r="V30" s="18"/>
      <c r="W30" s="6"/>
    </row>
    <row r="31" spans="1:23" x14ac:dyDescent="0.2">
      <c r="A31" s="1" t="s">
        <v>86</v>
      </c>
      <c r="B31" s="11">
        <f t="shared" ref="B31:W31" si="8">IF(B$19=0,0,(B33+B34)/B$19)</f>
        <v>0</v>
      </c>
      <c r="C31" s="8">
        <f t="shared" si="8"/>
        <v>0</v>
      </c>
      <c r="D31" s="8">
        <f t="shared" si="8"/>
        <v>0</v>
      </c>
      <c r="E31" s="8">
        <f t="shared" si="8"/>
        <v>0</v>
      </c>
      <c r="F31" s="8">
        <f t="shared" si="8"/>
        <v>0</v>
      </c>
      <c r="G31" s="8">
        <f t="shared" si="8"/>
        <v>0</v>
      </c>
      <c r="H31" s="8">
        <f t="shared" si="8"/>
        <v>0</v>
      </c>
      <c r="I31" s="20">
        <f t="shared" si="8"/>
        <v>0</v>
      </c>
      <c r="J31" s="8">
        <f t="shared" si="8"/>
        <v>0</v>
      </c>
      <c r="K31" s="8">
        <f t="shared" si="8"/>
        <v>0</v>
      </c>
      <c r="L31" s="8">
        <f t="shared" si="8"/>
        <v>0</v>
      </c>
      <c r="M31" s="8">
        <f t="shared" si="8"/>
        <v>0</v>
      </c>
      <c r="N31" s="8">
        <f t="shared" si="8"/>
        <v>0</v>
      </c>
      <c r="O31" s="8">
        <f t="shared" si="8"/>
        <v>0</v>
      </c>
      <c r="P31" s="20">
        <f t="shared" si="8"/>
        <v>0</v>
      </c>
      <c r="Q31" s="8">
        <f t="shared" si="8"/>
        <v>0</v>
      </c>
      <c r="R31" s="8">
        <f t="shared" si="8"/>
        <v>0</v>
      </c>
      <c r="S31" s="8">
        <f t="shared" si="8"/>
        <v>0</v>
      </c>
      <c r="T31" s="8">
        <f t="shared" si="8"/>
        <v>0</v>
      </c>
      <c r="U31" s="8">
        <f t="shared" si="8"/>
        <v>0</v>
      </c>
      <c r="V31" s="8">
        <f t="shared" si="8"/>
        <v>0</v>
      </c>
      <c r="W31" s="20">
        <f t="shared" si="8"/>
        <v>0</v>
      </c>
    </row>
    <row r="32" spans="1:23" x14ac:dyDescent="0.2">
      <c r="A32" s="1" t="s">
        <v>87</v>
      </c>
      <c r="B32" s="11">
        <f t="shared" ref="B32:W32" si="9">IF((B33+B34)=0,0,B33/(B33+B34))</f>
        <v>0</v>
      </c>
      <c r="C32" s="8">
        <f t="shared" si="9"/>
        <v>0</v>
      </c>
      <c r="D32" s="8">
        <f t="shared" si="9"/>
        <v>0</v>
      </c>
      <c r="E32" s="8">
        <f t="shared" si="9"/>
        <v>0</v>
      </c>
      <c r="F32" s="8">
        <f t="shared" si="9"/>
        <v>0</v>
      </c>
      <c r="G32" s="8">
        <f t="shared" si="9"/>
        <v>0</v>
      </c>
      <c r="H32" s="8">
        <f t="shared" si="9"/>
        <v>0</v>
      </c>
      <c r="I32" s="20">
        <f t="shared" si="9"/>
        <v>0</v>
      </c>
      <c r="J32" s="8">
        <f t="shared" si="9"/>
        <v>0</v>
      </c>
      <c r="K32" s="8">
        <f t="shared" si="9"/>
        <v>0</v>
      </c>
      <c r="L32" s="8">
        <f t="shared" si="9"/>
        <v>0</v>
      </c>
      <c r="M32" s="8">
        <f t="shared" si="9"/>
        <v>0</v>
      </c>
      <c r="N32" s="8">
        <f t="shared" si="9"/>
        <v>0</v>
      </c>
      <c r="O32" s="8">
        <f t="shared" si="9"/>
        <v>0</v>
      </c>
      <c r="P32" s="20">
        <f t="shared" si="9"/>
        <v>0</v>
      </c>
      <c r="Q32" s="8">
        <f t="shared" si="9"/>
        <v>0</v>
      </c>
      <c r="R32" s="8">
        <f t="shared" si="9"/>
        <v>0</v>
      </c>
      <c r="S32" s="8">
        <f t="shared" si="9"/>
        <v>0</v>
      </c>
      <c r="T32" s="8">
        <f t="shared" si="9"/>
        <v>0</v>
      </c>
      <c r="U32" s="8">
        <f t="shared" si="9"/>
        <v>0</v>
      </c>
      <c r="V32" s="8">
        <f t="shared" si="9"/>
        <v>0</v>
      </c>
      <c r="W32" s="20">
        <f t="shared" si="9"/>
        <v>0</v>
      </c>
    </row>
    <row r="33" spans="1:23" x14ac:dyDescent="0.2">
      <c r="A33" s="1" t="s">
        <v>88</v>
      </c>
      <c r="B33" s="9">
        <f>I33+P33+W33</f>
        <v>0</v>
      </c>
      <c r="C33">
        <f>COUNTIFS(Accounts!$E:$E,'AccountSummary (New)'!C$1,Accounts!$G:$G,'AccountSummary (New)'!C$2,Accounts!$F:$F,'AccountSummary (New)'!C$3,Accounts!$B:$B,"Customer",Accounts!$C:$C,"Lost",Accounts!$H:$H,"&gt;"&amp;30,Accounts!$H:$H,"&lt;="&amp;60)</f>
        <v>0</v>
      </c>
      <c r="D33">
        <f>COUNTIFS(Accounts!$E:$E,'AccountSummary (New)'!D$1,Accounts!$G:$G,'AccountSummary (New)'!D$2,Accounts!$F:$F,'AccountSummary (New)'!D$3,Accounts!$B:$B,"Customer",Accounts!$C:$C,"Lost",Accounts!$H:$H,"&gt;"&amp;30,Accounts!$H:$H,"&lt;="&amp;60)</f>
        <v>0</v>
      </c>
      <c r="E33">
        <f>COUNTIFS(Accounts!$E:$E,'AccountSummary (New)'!E$1,Accounts!$G:$G,'AccountSummary (New)'!E$2,Accounts!$F:$F,'AccountSummary (New)'!E$3,Accounts!$B:$B,"Customer",Accounts!$C:$C,"Lost",Accounts!$H:$H,"&gt;"&amp;30,Accounts!$H:$H,"&lt;="&amp;60)</f>
        <v>0</v>
      </c>
      <c r="F33">
        <f>COUNTIFS(Accounts!$E:$E,'AccountSummary (New)'!F$1,Accounts!$G:$G,'AccountSummary (New)'!F$2,Accounts!$F:$F,'AccountSummary (New)'!F$3,Accounts!$B:$B,"Customer",Accounts!$C:$C,"Lost",Accounts!$H:$H,"&gt;"&amp;30,Accounts!$H:$H,"&lt;="&amp;60)</f>
        <v>0</v>
      </c>
      <c r="G33">
        <f>COUNTIFS(Accounts!$E:$E,'AccountSummary (New)'!G$1,Accounts!$G:$G,'AccountSummary (New)'!G$2,Accounts!$F:$F,'AccountSummary (New)'!G$3,Accounts!$B:$B,"Customer",Accounts!$C:$C,"Lost",Accounts!$H:$H,"&gt;"&amp;30,Accounts!$H:$H,"&lt;="&amp;60)</f>
        <v>0</v>
      </c>
      <c r="H33">
        <f>COUNTIFS(Accounts!$E:$E,'AccountSummary (New)'!H$1,Accounts!$G:$G,'AccountSummary (New)'!H$2,Accounts!$F:$F,'AccountSummary (New)'!H$3,Accounts!$B:$B,"Customer",Accounts!$C:$C,"Lost",Accounts!$H:$H,"&gt;"&amp;30,Accounts!$H:$H,"&lt;="&amp;60)</f>
        <v>0</v>
      </c>
      <c r="I33" s="15">
        <f>SUM(C33:H33)</f>
        <v>0</v>
      </c>
      <c r="J33">
        <f>COUNTIFS(Accounts!$E:$E,'AccountSummary (New)'!J$1,Accounts!$G:$G,'AccountSummary (New)'!J$2,Accounts!$F:$F,'AccountSummary (New)'!J$3,Accounts!$B:$B,"Customer",Accounts!$C:$C,"Lost",Accounts!$H:$H,"&gt;"&amp;30,Accounts!$H:$H,"&lt;="&amp;60)</f>
        <v>0</v>
      </c>
      <c r="K33">
        <f>COUNTIFS(Accounts!$E:$E,'AccountSummary (New)'!K$1,Accounts!$G:$G,'AccountSummary (New)'!K$2,Accounts!$F:$F,'AccountSummary (New)'!K$3,Accounts!$B:$B,"Customer",Accounts!$C:$C,"Lost",Accounts!$H:$H,"&gt;"&amp;30,Accounts!$H:$H,"&lt;="&amp;60)</f>
        <v>0</v>
      </c>
      <c r="L33">
        <f>COUNTIFS(Accounts!$E:$E,'AccountSummary (New)'!L$1,Accounts!$G:$G,'AccountSummary (New)'!L$2,Accounts!$F:$F,'AccountSummary (New)'!L$3,Accounts!$B:$B,"Customer",Accounts!$C:$C,"Lost",Accounts!$H:$H,"&gt;"&amp;30,Accounts!$H:$H,"&lt;="&amp;60)</f>
        <v>0</v>
      </c>
      <c r="M33">
        <f>COUNTIFS(Accounts!$E:$E,'AccountSummary (New)'!M$1,Accounts!$G:$G,'AccountSummary (New)'!M$2,Accounts!$F:$F,'AccountSummary (New)'!M$3,Accounts!$B:$B,"Customer",Accounts!$C:$C,"Lost",Accounts!$H:$H,"&gt;"&amp;30,Accounts!$H:$H,"&lt;="&amp;60)</f>
        <v>0</v>
      </c>
      <c r="N33">
        <f>COUNTIFS(Accounts!$E:$E,'AccountSummary (New)'!N$1,Accounts!$G:$G,'AccountSummary (New)'!N$2,Accounts!$F:$F,'AccountSummary (New)'!N$3,Accounts!$B:$B,"Customer",Accounts!$C:$C,"Lost",Accounts!$H:$H,"&gt;"&amp;30,Accounts!$H:$H,"&lt;="&amp;60)</f>
        <v>0</v>
      </c>
      <c r="O33">
        <f>COUNTIFS(Accounts!$E:$E,'AccountSummary (New)'!O$1,Accounts!$G:$G,'AccountSummary (New)'!O$2,Accounts!$F:$F,'AccountSummary (New)'!O$3,Accounts!$B:$B,"Customer",Accounts!$C:$C,"Lost",Accounts!$H:$H,"&gt;"&amp;30,Accounts!$H:$H,"&lt;="&amp;60)</f>
        <v>0</v>
      </c>
      <c r="P33" s="15">
        <f>SUM(J33:O33)</f>
        <v>0</v>
      </c>
      <c r="Q33">
        <f>COUNTIFS(Accounts!$E:$E,'AccountSummary (New)'!Q$1,Accounts!$G:$G,'AccountSummary (New)'!Q$2,Accounts!$F:$F,'AccountSummary (New)'!Q$3,Accounts!$B:$B,"Customer",Accounts!$C:$C,"Lost",Accounts!$H:$H,"&gt;"&amp;30,Accounts!$H:$H,"&lt;="&amp;60)</f>
        <v>0</v>
      </c>
      <c r="R33">
        <f>COUNTIFS(Accounts!$E:$E,'AccountSummary (New)'!R$1,Accounts!$G:$G,'AccountSummary (New)'!R$2,Accounts!$F:$F,'AccountSummary (New)'!R$3,Accounts!$B:$B,"Customer",Accounts!$C:$C,"Lost",Accounts!$H:$H,"&gt;"&amp;30,Accounts!$H:$H,"&lt;="&amp;60)</f>
        <v>0</v>
      </c>
      <c r="S33">
        <f>COUNTIFS(Accounts!$E:$E,'AccountSummary (New)'!S$1,Accounts!$G:$G,'AccountSummary (New)'!S$2,Accounts!$F:$F,'AccountSummary (New)'!S$3,Accounts!$B:$B,"Customer",Accounts!$C:$C,"Lost",Accounts!$H:$H,"&gt;"&amp;30,Accounts!$H:$H,"&lt;="&amp;60)</f>
        <v>0</v>
      </c>
      <c r="T33">
        <f>COUNTIFS(Accounts!$E:$E,'AccountSummary (New)'!T$1,Accounts!$G:$G,'AccountSummary (New)'!T$2,Accounts!$F:$F,'AccountSummary (New)'!T$3,Accounts!$B:$B,"Customer",Accounts!$C:$C,"Lost",Accounts!$H:$H,"&gt;"&amp;30,Accounts!$H:$H,"&lt;="&amp;60)</f>
        <v>0</v>
      </c>
      <c r="U33">
        <f>COUNTIFS(Accounts!$E:$E,'AccountSummary (New)'!U$1,Accounts!$G:$G,'AccountSummary (New)'!U$2,Accounts!$F:$F,'AccountSummary (New)'!U$3,Accounts!$B:$B,"Customer",Accounts!$C:$C,"Lost",Accounts!$H:$H,"&gt;"&amp;30,Accounts!$H:$H,"&lt;="&amp;60)</f>
        <v>0</v>
      </c>
      <c r="V33">
        <f>COUNTIFS(Accounts!$E:$E,'AccountSummary (New)'!V$1,Accounts!$G:$G,'AccountSummary (New)'!V$2,Accounts!$F:$F,'AccountSummary (New)'!V$3,Accounts!$B:$B,"Customer",Accounts!$C:$C,"Lost",Accounts!$H:$H,"&gt;"&amp;30,Accounts!$H:$H,"&lt;="&amp;60)</f>
        <v>0</v>
      </c>
      <c r="W33" s="15">
        <f>SUM(Q33:V33)</f>
        <v>0</v>
      </c>
    </row>
    <row r="34" spans="1:23" x14ac:dyDescent="0.2">
      <c r="A34" s="1" t="s">
        <v>89</v>
      </c>
      <c r="B34" s="9">
        <f>I34+P34+W34</f>
        <v>0</v>
      </c>
      <c r="C34">
        <f>COUNTIFS(Accounts!$E:$E,'AccountSummary (New)'!C$1,Accounts!$G:$G,'AccountSummary (New)'!C$2,Accounts!$F:$F,'AccountSummary (New)'!C$3,Accounts!$B:$B,"Customer",Accounts!$C:$C,"Customer",Accounts!$H:$H,"&gt;"&amp;30,Accounts!$H:$H,"&lt;="&amp;60)</f>
        <v>0</v>
      </c>
      <c r="D34">
        <f>COUNTIFS(Accounts!$E:$E,'AccountSummary (New)'!D$1,Accounts!$G:$G,'AccountSummary (New)'!D$2,Accounts!$F:$F,'AccountSummary (New)'!D$3,Accounts!$B:$B,"Customer",Accounts!$C:$C,"Customer",Accounts!$H:$H,"&gt;"&amp;30,Accounts!$H:$H,"&lt;="&amp;60)</f>
        <v>0</v>
      </c>
      <c r="E34">
        <f>COUNTIFS(Accounts!$E:$E,'AccountSummary (New)'!E$1,Accounts!$G:$G,'AccountSummary (New)'!E$2,Accounts!$F:$F,'AccountSummary (New)'!E$3,Accounts!$B:$B,"Customer",Accounts!$C:$C,"Customer",Accounts!$H:$H,"&gt;"&amp;30,Accounts!$H:$H,"&lt;="&amp;60)</f>
        <v>0</v>
      </c>
      <c r="F34">
        <f>COUNTIFS(Accounts!$E:$E,'AccountSummary (New)'!F$1,Accounts!$G:$G,'AccountSummary (New)'!F$2,Accounts!$F:$F,'AccountSummary (New)'!F$3,Accounts!$B:$B,"Customer",Accounts!$C:$C,"Customer",Accounts!$H:$H,"&gt;"&amp;30,Accounts!$H:$H,"&lt;="&amp;60)</f>
        <v>0</v>
      </c>
      <c r="G34">
        <f>COUNTIFS(Accounts!$E:$E,'AccountSummary (New)'!G$1,Accounts!$G:$G,'AccountSummary (New)'!G$2,Accounts!$F:$F,'AccountSummary (New)'!G$3,Accounts!$B:$B,"Customer",Accounts!$C:$C,"Customer",Accounts!$H:$H,"&gt;"&amp;30,Accounts!$H:$H,"&lt;="&amp;60)</f>
        <v>0</v>
      </c>
      <c r="H34">
        <f>COUNTIFS(Accounts!$E:$E,'AccountSummary (New)'!H$1,Accounts!$G:$G,'AccountSummary (New)'!H$2,Accounts!$F:$F,'AccountSummary (New)'!H$3,Accounts!$B:$B,"Customer",Accounts!$C:$C,"Customer",Accounts!$H:$H,"&gt;"&amp;30,Accounts!$H:$H,"&lt;="&amp;60)</f>
        <v>0</v>
      </c>
      <c r="I34" s="15">
        <f>SUM(C34:H34)</f>
        <v>0</v>
      </c>
      <c r="J34">
        <f>COUNTIFS(Accounts!$E:$E,'AccountSummary (New)'!J$1,Accounts!$G:$G,'AccountSummary (New)'!J$2,Accounts!$F:$F,'AccountSummary (New)'!J$3,Accounts!$B:$B,"Customer",Accounts!$C:$C,"Customer",Accounts!$H:$H,"&gt;"&amp;30,Accounts!$H:$H,"&lt;="&amp;60)</f>
        <v>0</v>
      </c>
      <c r="K34">
        <f>COUNTIFS(Accounts!$E:$E,'AccountSummary (New)'!K$1,Accounts!$G:$G,'AccountSummary (New)'!K$2,Accounts!$F:$F,'AccountSummary (New)'!K$3,Accounts!$B:$B,"Customer",Accounts!$C:$C,"Customer",Accounts!$H:$H,"&gt;"&amp;30,Accounts!$H:$H,"&lt;="&amp;60)</f>
        <v>0</v>
      </c>
      <c r="L34">
        <f>COUNTIFS(Accounts!$E:$E,'AccountSummary (New)'!L$1,Accounts!$G:$G,'AccountSummary (New)'!L$2,Accounts!$F:$F,'AccountSummary (New)'!L$3,Accounts!$B:$B,"Customer",Accounts!$C:$C,"Customer",Accounts!$H:$H,"&gt;"&amp;30,Accounts!$H:$H,"&lt;="&amp;60)</f>
        <v>0</v>
      </c>
      <c r="M34">
        <f>COUNTIFS(Accounts!$E:$E,'AccountSummary (New)'!M$1,Accounts!$G:$G,'AccountSummary (New)'!M$2,Accounts!$F:$F,'AccountSummary (New)'!M$3,Accounts!$B:$B,"Customer",Accounts!$C:$C,"Customer",Accounts!$H:$H,"&gt;"&amp;30,Accounts!$H:$H,"&lt;="&amp;60)</f>
        <v>0</v>
      </c>
      <c r="N34">
        <f>COUNTIFS(Accounts!$E:$E,'AccountSummary (New)'!N$1,Accounts!$G:$G,'AccountSummary (New)'!N$2,Accounts!$F:$F,'AccountSummary (New)'!N$3,Accounts!$B:$B,"Customer",Accounts!$C:$C,"Customer",Accounts!$H:$H,"&gt;"&amp;30,Accounts!$H:$H,"&lt;="&amp;60)</f>
        <v>0</v>
      </c>
      <c r="O34">
        <f>COUNTIFS(Accounts!$E:$E,'AccountSummary (New)'!O$1,Accounts!$G:$G,'AccountSummary (New)'!O$2,Accounts!$F:$F,'AccountSummary (New)'!O$3,Accounts!$B:$B,"Customer",Accounts!$C:$C,"Customer",Accounts!$H:$H,"&gt;"&amp;30,Accounts!$H:$H,"&lt;="&amp;60)</f>
        <v>0</v>
      </c>
      <c r="P34" s="15">
        <f>SUM(J34:O34)</f>
        <v>0</v>
      </c>
      <c r="Q34">
        <f>COUNTIFS(Accounts!$E:$E,'AccountSummary (New)'!Q$1,Accounts!$G:$G,'AccountSummary (New)'!Q$2,Accounts!$F:$F,'AccountSummary (New)'!Q$3,Accounts!$B:$B,"Customer",Accounts!$C:$C,"Customer",Accounts!$H:$H,"&gt;"&amp;30,Accounts!$H:$H,"&lt;="&amp;60)</f>
        <v>0</v>
      </c>
      <c r="R34">
        <f>COUNTIFS(Accounts!$E:$E,'AccountSummary (New)'!R$1,Accounts!$G:$G,'AccountSummary (New)'!R$2,Accounts!$F:$F,'AccountSummary (New)'!R$3,Accounts!$B:$B,"Customer",Accounts!$C:$C,"Customer",Accounts!$H:$H,"&gt;"&amp;30,Accounts!$H:$H,"&lt;="&amp;60)</f>
        <v>0</v>
      </c>
      <c r="S34">
        <f>COUNTIFS(Accounts!$E:$E,'AccountSummary (New)'!S$1,Accounts!$G:$G,'AccountSummary (New)'!S$2,Accounts!$F:$F,'AccountSummary (New)'!S$3,Accounts!$B:$B,"Customer",Accounts!$C:$C,"Customer",Accounts!$H:$H,"&gt;"&amp;30,Accounts!$H:$H,"&lt;="&amp;60)</f>
        <v>0</v>
      </c>
      <c r="T34">
        <f>COUNTIFS(Accounts!$E:$E,'AccountSummary (New)'!T$1,Accounts!$G:$G,'AccountSummary (New)'!T$2,Accounts!$F:$F,'AccountSummary (New)'!T$3,Accounts!$B:$B,"Customer",Accounts!$C:$C,"Customer",Accounts!$H:$H,"&gt;"&amp;30,Accounts!$H:$H,"&lt;="&amp;60)</f>
        <v>0</v>
      </c>
      <c r="U34">
        <f>COUNTIFS(Accounts!$E:$E,'AccountSummary (New)'!U$1,Accounts!$G:$G,'AccountSummary (New)'!U$2,Accounts!$F:$F,'AccountSummary (New)'!U$3,Accounts!$B:$B,"Customer",Accounts!$C:$C,"Customer",Accounts!$H:$H,"&gt;"&amp;30,Accounts!$H:$H,"&lt;="&amp;60)</f>
        <v>0</v>
      </c>
      <c r="V34">
        <f>COUNTIFS(Accounts!$E:$E,'AccountSummary (New)'!V$1,Accounts!$G:$G,'AccountSummary (New)'!V$2,Accounts!$F:$F,'AccountSummary (New)'!V$3,Accounts!$B:$B,"Customer",Accounts!$C:$C,"Customer",Accounts!$H:$H,"&gt;"&amp;30,Accounts!$H:$H,"&lt;="&amp;60)</f>
        <v>0</v>
      </c>
      <c r="W34" s="15">
        <f>SUM(Q34:V34)</f>
        <v>0</v>
      </c>
    </row>
    <row r="35" spans="1:23" x14ac:dyDescent="0.2">
      <c r="A35" s="2" t="s">
        <v>90</v>
      </c>
      <c r="B35" s="13">
        <f>IF(B34=0,0,SUMIFS(Accounts!$L:$L,Accounts!$W:$W,0,Accounts!$C:$C,"Customer",Accounts!$H:$H,"&gt;"&amp;30,Accounts!$H:$H,"&lt;="&amp;60)/B34)</f>
        <v>0</v>
      </c>
      <c r="C35" s="4">
        <f>IF(C34=0,0,SUMIFS(Accounts!$L:$L,Accounts!$E:$E,'AccountSummary (New)'!C$1,Accounts!$G:$G,'AccountSummary (New)'!C$2,Accounts!$F:$F,'AccountSummary (New)'!C$3,Accounts!$W:$W,0,Accounts!$C:$C,"Customer",Accounts!$H:$H,"&gt;"&amp;30,Accounts!$H:$H,"&lt;="&amp;60)/C34)</f>
        <v>0</v>
      </c>
      <c r="D35" s="4">
        <f>IF(D34=0,0,SUMIFS(Accounts!$L:$L,Accounts!$E:$E,'AccountSummary (New)'!D$1,Accounts!$G:$G,'AccountSummary (New)'!D$2,Accounts!$F:$F,'AccountSummary (New)'!D$3,Accounts!$W:$W,0,Accounts!$C:$C,"Customer",Accounts!$H:$H,"&gt;"&amp;30,Accounts!$H:$H,"&lt;="&amp;60)/D34)</f>
        <v>0</v>
      </c>
      <c r="E35" s="4">
        <f>IF(E34=0,0,SUMIFS(Accounts!$L:$L,Accounts!$E:$E,'AccountSummary (New)'!E$1,Accounts!$G:$G,'AccountSummary (New)'!E$2,Accounts!$F:$F,'AccountSummary (New)'!E$3,Accounts!$W:$W,0,Accounts!$C:$C,"Customer",Accounts!$H:$H,"&gt;"&amp;30,Accounts!$H:$H,"&lt;="&amp;60)/E34)</f>
        <v>0</v>
      </c>
      <c r="F35" s="4">
        <f>IF(F34=0,0,SUMIFS(Accounts!$L:$L,Accounts!$E:$E,'AccountSummary (New)'!F$1,Accounts!$G:$G,'AccountSummary (New)'!F$2,Accounts!$F:$F,'AccountSummary (New)'!F$3,Accounts!$W:$W,0,Accounts!$C:$C,"Customer",Accounts!$H:$H,"&gt;"&amp;30,Accounts!$H:$H,"&lt;="&amp;60)/F34)</f>
        <v>0</v>
      </c>
      <c r="G35" s="4">
        <f>IF(G34=0,0,SUMIFS(Accounts!$L:$L,Accounts!$E:$E,'AccountSummary (New)'!G$1,Accounts!$G:$G,'AccountSummary (New)'!G$2,Accounts!$F:$F,'AccountSummary (New)'!G$3,Accounts!$W:$W,0,Accounts!$C:$C,"Customer",Accounts!$H:$H,"&gt;"&amp;30,Accounts!$H:$H,"&lt;="&amp;60)/G34)</f>
        <v>0</v>
      </c>
      <c r="H35" s="4">
        <f>IF(H34=0,0,SUMIFS(Accounts!$L:$L,Accounts!$E:$E,'AccountSummary (New)'!H$1,Accounts!$G:$G,'AccountSummary (New)'!H$2,Accounts!$F:$F,'AccountSummary (New)'!H$3,Accounts!$W:$W,0,Accounts!$C:$C,"Customer",Accounts!$H:$H,"&gt;"&amp;30,Accounts!$H:$H,"&lt;="&amp;60)/H34)</f>
        <v>0</v>
      </c>
      <c r="I35" s="5">
        <f>IF(I34=0,0,SUMIFS(Accounts!$L:$L,Accounts!$F:$F,'AccountSummary (New)'!I$3,Accounts!$W:$W,0,Accounts!$C:$C,"Customer",Accounts!$H:$H,"&gt;"&amp;30,Accounts!$H:$H,"&lt;="&amp;60)/I34)</f>
        <v>0</v>
      </c>
      <c r="J35" s="4">
        <f>IF(J34=0,0,SUMIFS(Accounts!$L:$L,Accounts!$E:$E,'AccountSummary (New)'!J$1,Accounts!$G:$G,'AccountSummary (New)'!J$2,Accounts!$F:$F,'AccountSummary (New)'!J$3,Accounts!$W:$W,0,Accounts!$C:$C,"Customer",Accounts!$H:$H,"&gt;"&amp;30,Accounts!$H:$H,"&lt;="&amp;60)/J34)</f>
        <v>0</v>
      </c>
      <c r="K35" s="4">
        <f>IF(K34=0,0,SUMIFS(Accounts!$L:$L,Accounts!$E:$E,'AccountSummary (New)'!K$1,Accounts!$G:$G,'AccountSummary (New)'!K$2,Accounts!$F:$F,'AccountSummary (New)'!K$3,Accounts!$W:$W,0,Accounts!$C:$C,"Customer",Accounts!$H:$H,"&gt;"&amp;30,Accounts!$H:$H,"&lt;="&amp;60)/K34)</f>
        <v>0</v>
      </c>
      <c r="L35" s="4">
        <f>IF(L34=0,0,SUMIFS(Accounts!$L:$L,Accounts!$E:$E,'AccountSummary (New)'!L$1,Accounts!$G:$G,'AccountSummary (New)'!L$2,Accounts!$F:$F,'AccountSummary (New)'!L$3,Accounts!$W:$W,0,Accounts!$C:$C,"Customer",Accounts!$H:$H,"&gt;"&amp;30,Accounts!$H:$H,"&lt;="&amp;60)/L34)</f>
        <v>0</v>
      </c>
      <c r="M35" s="4">
        <f>IF(M34=0,0,SUMIFS(Accounts!$L:$L,Accounts!$E:$E,'AccountSummary (New)'!M$1,Accounts!$G:$G,'AccountSummary (New)'!M$2,Accounts!$F:$F,'AccountSummary (New)'!M$3,Accounts!$W:$W,0,Accounts!$C:$C,"Customer",Accounts!$H:$H,"&gt;"&amp;30,Accounts!$H:$H,"&lt;="&amp;60)/M34)</f>
        <v>0</v>
      </c>
      <c r="N35" s="4">
        <f>IF(N34=0,0,SUMIFS(Accounts!$L:$L,Accounts!$E:$E,'AccountSummary (New)'!N$1,Accounts!$G:$G,'AccountSummary (New)'!N$2,Accounts!$F:$F,'AccountSummary (New)'!N$3,Accounts!$W:$W,0,Accounts!$C:$C,"Customer",Accounts!$H:$H,"&gt;"&amp;30,Accounts!$H:$H,"&lt;="&amp;60)/N34)</f>
        <v>0</v>
      </c>
      <c r="O35" s="4">
        <f>IF(O34=0,0,SUMIFS(Accounts!$L:$L,Accounts!$E:$E,'AccountSummary (New)'!O$1,Accounts!$G:$G,'AccountSummary (New)'!O$2,Accounts!$F:$F,'AccountSummary (New)'!O$3,Accounts!$W:$W,0,Accounts!$C:$C,"Customer",Accounts!$H:$H,"&gt;"&amp;30,Accounts!$H:$H,"&lt;="&amp;60)/O34)</f>
        <v>0</v>
      </c>
      <c r="P35" s="5">
        <f>IF(P34=0,0,SUMIFS(Accounts!$L:$L,Accounts!$F:$F,'AccountSummary (New)'!P$3,Accounts!$W:$W,0,Accounts!$C:$C,"Customer",Accounts!$H:$H,"&gt;"&amp;30,Accounts!$H:$H,"&lt;="&amp;60)/P34)</f>
        <v>0</v>
      </c>
      <c r="Q35" s="4">
        <f>IF(Q34=0,0,SUMIFS(Accounts!$L:$L,Accounts!$E:$E,'AccountSummary (New)'!Q$1,Accounts!$G:$G,'AccountSummary (New)'!Q$2,Accounts!$F:$F,'AccountSummary (New)'!Q$3,Accounts!$W:$W,0,Accounts!$C:$C,"Customer",Accounts!$H:$H,"&gt;"&amp;30,Accounts!$H:$H,"&lt;="&amp;60)/Q34)</f>
        <v>0</v>
      </c>
      <c r="R35" s="4">
        <f>IF(R34=0,0,SUMIFS(Accounts!$L:$L,Accounts!$E:$E,'AccountSummary (New)'!R$1,Accounts!$G:$G,'AccountSummary (New)'!R$2,Accounts!$F:$F,'AccountSummary (New)'!R$3,Accounts!$W:$W,0,Accounts!$C:$C,"Customer",Accounts!$H:$H,"&gt;"&amp;30,Accounts!$H:$H,"&lt;="&amp;60)/R34)</f>
        <v>0</v>
      </c>
      <c r="S35" s="4">
        <f>IF(S34=0,0,SUMIFS(Accounts!$L:$L,Accounts!$E:$E,'AccountSummary (New)'!S$1,Accounts!$G:$G,'AccountSummary (New)'!S$2,Accounts!$F:$F,'AccountSummary (New)'!S$3,Accounts!$W:$W,0,Accounts!$C:$C,"Customer",Accounts!$H:$H,"&gt;"&amp;30,Accounts!$H:$H,"&lt;="&amp;60)/S34)</f>
        <v>0</v>
      </c>
      <c r="T35" s="4">
        <f>IF(T34=0,0,SUMIFS(Accounts!$L:$L,Accounts!$E:$E,'AccountSummary (New)'!T$1,Accounts!$G:$G,'AccountSummary (New)'!T$2,Accounts!$F:$F,'AccountSummary (New)'!T$3,Accounts!$W:$W,0,Accounts!$C:$C,"Customer",Accounts!$H:$H,"&gt;"&amp;30,Accounts!$H:$H,"&lt;="&amp;60)/T34)</f>
        <v>0</v>
      </c>
      <c r="U35" s="4">
        <f>IF(U34=0,0,SUMIFS(Accounts!$L:$L,Accounts!$E:$E,'AccountSummary (New)'!U$1,Accounts!$G:$G,'AccountSummary (New)'!U$2,Accounts!$F:$F,'AccountSummary (New)'!U$3,Accounts!$W:$W,0,Accounts!$C:$C,"Customer",Accounts!$H:$H,"&gt;"&amp;30,Accounts!$H:$H,"&lt;="&amp;60)/U34)</f>
        <v>0</v>
      </c>
      <c r="V35" s="4">
        <f>IF(V34=0,0,SUMIFS(Accounts!$L:$L,Accounts!$E:$E,'AccountSummary (New)'!V$1,Accounts!$G:$G,'AccountSummary (New)'!V$2,Accounts!$F:$F,'AccountSummary (New)'!V$3,Accounts!$W:$W,0,Accounts!$C:$C,"Customer",Accounts!$H:$H,"&gt;"&amp;30,Accounts!$H:$H,"&lt;="&amp;60)/V34)</f>
        <v>0</v>
      </c>
      <c r="W35" s="5">
        <f>IF(W34=0,0,SUMIFS(Accounts!$L:$L,Accounts!$F:$F,'AccountSummary (New)'!W$3,Accounts!$W:$W,0,Accounts!$C:$C,"Customer",Accounts!$H:$H,"&gt;"&amp;30,Accounts!$H:$H,"&lt;="&amp;60)/W34)</f>
        <v>0</v>
      </c>
    </row>
    <row r="36" spans="1:23" x14ac:dyDescent="0.2">
      <c r="A36" s="2" t="s">
        <v>91</v>
      </c>
      <c r="B36" s="13">
        <f>IF(B34=0,0,SUMIFS(Accounts!$M:$M,Accounts!$W:$W,0,Accounts!$C:$C,"Customer",Accounts!$H:$H,"&gt;"&amp;30,Accounts!$H:$H,"&lt;="&amp;60)/B34)</f>
        <v>0</v>
      </c>
      <c r="C36" s="4">
        <f>IF(C34=0,0,SUMIFS(Accounts!$M:$M,Accounts!$E:$E,'AccountSummary (New)'!C$1,Accounts!$G:$G,'AccountSummary (New)'!C$2,Accounts!$F:$F,'AccountSummary (New)'!C$3,Accounts!$W:$W,0,Accounts!$C:$C,"Customer",Accounts!$H:$H,"&gt;"&amp;30,Accounts!$H:$H,"&lt;="&amp;60)/C34)</f>
        <v>0</v>
      </c>
      <c r="D36" s="4">
        <f>IF(D34=0,0,SUMIFS(Accounts!$M:$M,Accounts!$E:$E,'AccountSummary (New)'!D$1,Accounts!$G:$G,'AccountSummary (New)'!D$2,Accounts!$F:$F,'AccountSummary (New)'!D$3,Accounts!$W:$W,0,Accounts!$C:$C,"Customer",Accounts!$H:$H,"&gt;"&amp;30,Accounts!$H:$H,"&lt;="&amp;60)/D34)</f>
        <v>0</v>
      </c>
      <c r="E36" s="4">
        <f>IF(E34=0,0,SUMIFS(Accounts!$M:$M,Accounts!$E:$E,'AccountSummary (New)'!E$1,Accounts!$G:$G,'AccountSummary (New)'!E$2,Accounts!$F:$F,'AccountSummary (New)'!E$3,Accounts!$W:$W,0,Accounts!$C:$C,"Customer",Accounts!$H:$H,"&gt;"&amp;30,Accounts!$H:$H,"&lt;="&amp;60)/E34)</f>
        <v>0</v>
      </c>
      <c r="F36" s="4">
        <f>IF(F34=0,0,SUMIFS(Accounts!$M:$M,Accounts!$E:$E,'AccountSummary (New)'!F$1,Accounts!$G:$G,'AccountSummary (New)'!F$2,Accounts!$F:$F,'AccountSummary (New)'!F$3,Accounts!$W:$W,0,Accounts!$C:$C,"Customer",Accounts!$H:$H,"&gt;"&amp;30,Accounts!$H:$H,"&lt;="&amp;60)/F34)</f>
        <v>0</v>
      </c>
      <c r="G36" s="4">
        <f>IF(G34=0,0,SUMIFS(Accounts!$M:$M,Accounts!$E:$E,'AccountSummary (New)'!G$1,Accounts!$G:$G,'AccountSummary (New)'!G$2,Accounts!$F:$F,'AccountSummary (New)'!G$3,Accounts!$W:$W,0,Accounts!$C:$C,"Customer",Accounts!$H:$H,"&gt;"&amp;30,Accounts!$H:$H,"&lt;="&amp;60)/G34)</f>
        <v>0</v>
      </c>
      <c r="H36" s="4">
        <f>IF(H34=0,0,SUMIFS(Accounts!$M:$M,Accounts!$E:$E,'AccountSummary (New)'!H$1,Accounts!$G:$G,'AccountSummary (New)'!H$2,Accounts!$F:$F,'AccountSummary (New)'!H$3,Accounts!$W:$W,0,Accounts!$C:$C,"Customer",Accounts!$H:$H,"&gt;"&amp;30,Accounts!$H:$H,"&lt;="&amp;60)/H34)</f>
        <v>0</v>
      </c>
      <c r="I36" s="5">
        <f>IF(I34=0,0,SUMIFS(Accounts!$M:$M,Accounts!$F:$F,'AccountSummary (New)'!I$3,Accounts!$W:$W,0,Accounts!$C:$C,"Customer",Accounts!$H:$H,"&gt;"&amp;30,Accounts!$H:$H,"&lt;="&amp;60)/I34)</f>
        <v>0</v>
      </c>
      <c r="J36" s="4">
        <f>IF(J34=0,0,SUMIFS(Accounts!$M:$M,Accounts!$E:$E,'AccountSummary (New)'!J$1,Accounts!$G:$G,'AccountSummary (New)'!J$2,Accounts!$F:$F,'AccountSummary (New)'!J$3,Accounts!$W:$W,0,Accounts!$C:$C,"Customer",Accounts!$H:$H,"&gt;"&amp;30,Accounts!$H:$H,"&lt;="&amp;60)/J34)</f>
        <v>0</v>
      </c>
      <c r="K36" s="4">
        <f>IF(K34=0,0,SUMIFS(Accounts!$M:$M,Accounts!$E:$E,'AccountSummary (New)'!K$1,Accounts!$G:$G,'AccountSummary (New)'!K$2,Accounts!$F:$F,'AccountSummary (New)'!K$3,Accounts!$W:$W,0,Accounts!$C:$C,"Customer",Accounts!$H:$H,"&gt;"&amp;30,Accounts!$H:$H,"&lt;="&amp;60)/K34)</f>
        <v>0</v>
      </c>
      <c r="L36" s="4">
        <f>IF(L34=0,0,SUMIFS(Accounts!$M:$M,Accounts!$E:$E,'AccountSummary (New)'!L$1,Accounts!$G:$G,'AccountSummary (New)'!L$2,Accounts!$F:$F,'AccountSummary (New)'!L$3,Accounts!$W:$W,0,Accounts!$C:$C,"Customer",Accounts!$H:$H,"&gt;"&amp;30,Accounts!$H:$H,"&lt;="&amp;60)/L34)</f>
        <v>0</v>
      </c>
      <c r="M36" s="4">
        <f>IF(M34=0,0,SUMIFS(Accounts!$M:$M,Accounts!$E:$E,'AccountSummary (New)'!M$1,Accounts!$G:$G,'AccountSummary (New)'!M$2,Accounts!$F:$F,'AccountSummary (New)'!M$3,Accounts!$W:$W,0,Accounts!$C:$C,"Customer",Accounts!$H:$H,"&gt;"&amp;30,Accounts!$H:$H,"&lt;="&amp;60)/M34)</f>
        <v>0</v>
      </c>
      <c r="N36" s="4">
        <f>IF(N34=0,0,SUMIFS(Accounts!$M:$M,Accounts!$E:$E,'AccountSummary (New)'!N$1,Accounts!$G:$G,'AccountSummary (New)'!N$2,Accounts!$F:$F,'AccountSummary (New)'!N$3,Accounts!$W:$W,0,Accounts!$C:$C,"Customer",Accounts!$H:$H,"&gt;"&amp;30,Accounts!$H:$H,"&lt;="&amp;60)/N34)</f>
        <v>0</v>
      </c>
      <c r="O36" s="4">
        <f>IF(O34=0,0,SUMIFS(Accounts!$M:$M,Accounts!$E:$E,'AccountSummary (New)'!O$1,Accounts!$G:$G,'AccountSummary (New)'!O$2,Accounts!$F:$F,'AccountSummary (New)'!O$3,Accounts!$W:$W,0,Accounts!$C:$C,"Customer",Accounts!$H:$H,"&gt;"&amp;30,Accounts!$H:$H,"&lt;="&amp;60)/O34)</f>
        <v>0</v>
      </c>
      <c r="P36" s="5">
        <f>IF(P34=0,0,SUMIFS(Accounts!$M:$M,Accounts!$F:$F,'AccountSummary (New)'!P$3,Accounts!$W:$W,0,Accounts!$C:$C,"Customer",Accounts!$H:$H,"&gt;"&amp;30,Accounts!$H:$H,"&lt;="&amp;60)/P34)</f>
        <v>0</v>
      </c>
      <c r="Q36" s="4">
        <f>IF(Q34=0,0,SUMIFS(Accounts!$M:$M,Accounts!$E:$E,'AccountSummary (New)'!Q$1,Accounts!$G:$G,'AccountSummary (New)'!Q$2,Accounts!$F:$F,'AccountSummary (New)'!Q$3,Accounts!$W:$W,0,Accounts!$C:$C,"Customer",Accounts!$H:$H,"&gt;"&amp;30,Accounts!$H:$H,"&lt;="&amp;60)/Q34)</f>
        <v>0</v>
      </c>
      <c r="R36" s="4">
        <f>IF(R34=0,0,SUMIFS(Accounts!$M:$M,Accounts!$E:$E,'AccountSummary (New)'!R$1,Accounts!$G:$G,'AccountSummary (New)'!R$2,Accounts!$F:$F,'AccountSummary (New)'!R$3,Accounts!$W:$W,0,Accounts!$C:$C,"Customer",Accounts!$H:$H,"&gt;"&amp;30,Accounts!$H:$H,"&lt;="&amp;60)/R34)</f>
        <v>0</v>
      </c>
      <c r="S36" s="4">
        <f>IF(S34=0,0,SUMIFS(Accounts!$M:$M,Accounts!$E:$E,'AccountSummary (New)'!S$1,Accounts!$G:$G,'AccountSummary (New)'!S$2,Accounts!$F:$F,'AccountSummary (New)'!S$3,Accounts!$W:$W,0,Accounts!$C:$C,"Customer",Accounts!$H:$H,"&gt;"&amp;30,Accounts!$H:$H,"&lt;="&amp;60)/S34)</f>
        <v>0</v>
      </c>
      <c r="T36" s="4">
        <f>IF(T34=0,0,SUMIFS(Accounts!$M:$M,Accounts!$E:$E,'AccountSummary (New)'!T$1,Accounts!$G:$G,'AccountSummary (New)'!T$2,Accounts!$F:$F,'AccountSummary (New)'!T$3,Accounts!$W:$W,0,Accounts!$C:$C,"Customer",Accounts!$H:$H,"&gt;"&amp;30,Accounts!$H:$H,"&lt;="&amp;60)/T34)</f>
        <v>0</v>
      </c>
      <c r="U36" s="4">
        <f>IF(U34=0,0,SUMIFS(Accounts!$M:$M,Accounts!$E:$E,'AccountSummary (New)'!U$1,Accounts!$G:$G,'AccountSummary (New)'!U$2,Accounts!$F:$F,'AccountSummary (New)'!U$3,Accounts!$W:$W,0,Accounts!$C:$C,"Customer",Accounts!$H:$H,"&gt;"&amp;30,Accounts!$H:$H,"&lt;="&amp;60)/U34)</f>
        <v>0</v>
      </c>
      <c r="V36" s="4">
        <f>IF(V34=0,0,SUMIFS(Accounts!$M:$M,Accounts!$E:$E,'AccountSummary (New)'!V$1,Accounts!$G:$G,'AccountSummary (New)'!V$2,Accounts!$F:$F,'AccountSummary (New)'!V$3,Accounts!$W:$W,0,Accounts!$C:$C,"Customer",Accounts!$H:$H,"&gt;"&amp;30,Accounts!$H:$H,"&lt;="&amp;60)/V34)</f>
        <v>0</v>
      </c>
      <c r="W36" s="5">
        <f>IF(W34=0,0,SUMIFS(Accounts!$M:$M,Accounts!$F:$F,'AccountSummary (New)'!W$3,Accounts!$W:$W,0,Accounts!$C:$C,"Customer",Accounts!$H:$H,"&gt;"&amp;30,Accounts!$H:$H,"&lt;="&amp;60)/W34)</f>
        <v>0</v>
      </c>
    </row>
    <row r="37" spans="1:23" x14ac:dyDescent="0.2">
      <c r="A37" s="1" t="s">
        <v>92</v>
      </c>
      <c r="B37" s="10">
        <f t="shared" ref="B37:W37" si="10">IF(B34=0,0,B38/B34)</f>
        <v>0</v>
      </c>
      <c r="C37" s="18">
        <f t="shared" si="10"/>
        <v>0</v>
      </c>
      <c r="D37" s="18">
        <f t="shared" si="10"/>
        <v>0</v>
      </c>
      <c r="E37" s="18">
        <f t="shared" si="10"/>
        <v>0</v>
      </c>
      <c r="F37" s="18">
        <f t="shared" si="10"/>
        <v>0</v>
      </c>
      <c r="G37" s="18">
        <f t="shared" si="10"/>
        <v>0</v>
      </c>
      <c r="H37" s="18">
        <f t="shared" si="10"/>
        <v>0</v>
      </c>
      <c r="I37" s="6">
        <f t="shared" si="10"/>
        <v>0</v>
      </c>
      <c r="J37" s="18">
        <f t="shared" si="10"/>
        <v>0</v>
      </c>
      <c r="K37" s="18">
        <f t="shared" si="10"/>
        <v>0</v>
      </c>
      <c r="L37" s="18">
        <f t="shared" si="10"/>
        <v>0</v>
      </c>
      <c r="M37" s="18">
        <f t="shared" si="10"/>
        <v>0</v>
      </c>
      <c r="N37" s="18">
        <f t="shared" si="10"/>
        <v>0</v>
      </c>
      <c r="O37" s="18">
        <f t="shared" si="10"/>
        <v>0</v>
      </c>
      <c r="P37" s="6">
        <f t="shared" si="10"/>
        <v>0</v>
      </c>
      <c r="Q37" s="18">
        <f t="shared" si="10"/>
        <v>0</v>
      </c>
      <c r="R37" s="18">
        <f t="shared" si="10"/>
        <v>0</v>
      </c>
      <c r="S37" s="18">
        <f t="shared" si="10"/>
        <v>0</v>
      </c>
      <c r="T37" s="18">
        <f t="shared" si="10"/>
        <v>0</v>
      </c>
      <c r="U37" s="18">
        <f t="shared" si="10"/>
        <v>0</v>
      </c>
      <c r="V37" s="18">
        <f t="shared" si="10"/>
        <v>0</v>
      </c>
      <c r="W37" s="6">
        <f t="shared" si="10"/>
        <v>0</v>
      </c>
    </row>
    <row r="38" spans="1:23" x14ac:dyDescent="0.2">
      <c r="A38" s="1" t="s">
        <v>93</v>
      </c>
      <c r="B38" s="10">
        <f>I38+P38+W38</f>
        <v>0</v>
      </c>
      <c r="C38" s="18">
        <f>SUMIFS(Accounts!$I:$I,Accounts!$E:$E,'AccountSummary (New)'!C$1,Accounts!$G:$G,'AccountSummary (New)'!C$2,Accounts!$F:$F,'AccountSummary (New)'!C$3,Accounts!$W:$W,0,Accounts!$C:$C,"Customer",Accounts!$H:$H,"&gt;"&amp;30,Accounts!$H:$H,"&lt;="&amp;60)</f>
        <v>0</v>
      </c>
      <c r="D38" s="18">
        <f>SUMIFS(Accounts!$I:$I,Accounts!$E:$E,'AccountSummary (New)'!D$1,Accounts!$G:$G,'AccountSummary (New)'!D$2,Accounts!$F:$F,'AccountSummary (New)'!D$3,Accounts!$W:$W,0,Accounts!$C:$C,"Customer",Accounts!$H:$H,"&gt;"&amp;30,Accounts!$H:$H,"&lt;="&amp;60)</f>
        <v>0</v>
      </c>
      <c r="E38" s="18">
        <f>SUMIFS(Accounts!$I:$I,Accounts!$E:$E,'AccountSummary (New)'!E$1,Accounts!$G:$G,'AccountSummary (New)'!E$2,Accounts!$F:$F,'AccountSummary (New)'!E$3,Accounts!$W:$W,0,Accounts!$C:$C,"Customer",Accounts!$H:$H,"&gt;"&amp;30,Accounts!$H:$H,"&lt;="&amp;60)</f>
        <v>0</v>
      </c>
      <c r="F38" s="18">
        <f>SUMIFS(Accounts!$I:$I,Accounts!$E:$E,'AccountSummary (New)'!F$1,Accounts!$G:$G,'AccountSummary (New)'!F$2,Accounts!$F:$F,'AccountSummary (New)'!F$3,Accounts!$W:$W,0,Accounts!$C:$C,"Customer",Accounts!$H:$H,"&gt;"&amp;30,Accounts!$H:$H,"&lt;="&amp;60)</f>
        <v>0</v>
      </c>
      <c r="G38" s="18">
        <f>SUMIFS(Accounts!$I:$I,Accounts!$E:$E,'AccountSummary (New)'!G$1,Accounts!$G:$G,'AccountSummary (New)'!G$2,Accounts!$F:$F,'AccountSummary (New)'!G$3,Accounts!$W:$W,0,Accounts!$C:$C,"Customer",Accounts!$H:$H,"&gt;"&amp;30,Accounts!$H:$H,"&lt;="&amp;60)</f>
        <v>0</v>
      </c>
      <c r="H38" s="18">
        <f>SUMIFS(Accounts!$I:$I,Accounts!$E:$E,'AccountSummary (New)'!H$1,Accounts!$G:$G,'AccountSummary (New)'!H$2,Accounts!$F:$F,'AccountSummary (New)'!H$3,Accounts!$W:$W,0,Accounts!$C:$C,"Customer",Accounts!$H:$H,"&gt;"&amp;30,Accounts!$H:$H,"&lt;="&amp;60)</f>
        <v>0</v>
      </c>
      <c r="I38" s="6">
        <f>SUM(C38:H38)</f>
        <v>0</v>
      </c>
      <c r="J38" s="18">
        <f>SUMIFS(Accounts!$I:$I,Accounts!$E:$E,'AccountSummary (New)'!J$1,Accounts!$G:$G,'AccountSummary (New)'!J$2,Accounts!$F:$F,'AccountSummary (New)'!J$3,Accounts!$W:$W,0,Accounts!$C:$C,"Customer",Accounts!$H:$H,"&gt;"&amp;30,Accounts!$H:$H,"&lt;="&amp;60)</f>
        <v>0</v>
      </c>
      <c r="K38" s="18">
        <f>SUMIFS(Accounts!$I:$I,Accounts!$E:$E,'AccountSummary (New)'!K$1,Accounts!$G:$G,'AccountSummary (New)'!K$2,Accounts!$F:$F,'AccountSummary (New)'!K$3,Accounts!$W:$W,0,Accounts!$C:$C,"Customer",Accounts!$H:$H,"&gt;"&amp;30,Accounts!$H:$H,"&lt;="&amp;60)</f>
        <v>0</v>
      </c>
      <c r="L38" s="18">
        <f>SUMIFS(Accounts!$I:$I,Accounts!$E:$E,'AccountSummary (New)'!L$1,Accounts!$G:$G,'AccountSummary (New)'!L$2,Accounts!$F:$F,'AccountSummary (New)'!L$3,Accounts!$W:$W,0,Accounts!$C:$C,"Customer",Accounts!$H:$H,"&gt;"&amp;30,Accounts!$H:$H,"&lt;="&amp;60)</f>
        <v>0</v>
      </c>
      <c r="M38" s="18">
        <f>SUMIFS(Accounts!$I:$I,Accounts!$E:$E,'AccountSummary (New)'!M$1,Accounts!$G:$G,'AccountSummary (New)'!M$2,Accounts!$F:$F,'AccountSummary (New)'!M$3,Accounts!$W:$W,0,Accounts!$C:$C,"Customer",Accounts!$H:$H,"&gt;"&amp;30,Accounts!$H:$H,"&lt;="&amp;60)</f>
        <v>0</v>
      </c>
      <c r="N38" s="18">
        <f>SUMIFS(Accounts!$I:$I,Accounts!$E:$E,'AccountSummary (New)'!N$1,Accounts!$G:$G,'AccountSummary (New)'!N$2,Accounts!$F:$F,'AccountSummary (New)'!N$3,Accounts!$W:$W,0,Accounts!$C:$C,"Customer",Accounts!$H:$H,"&gt;"&amp;30,Accounts!$H:$H,"&lt;="&amp;60)</f>
        <v>0</v>
      </c>
      <c r="O38" s="18">
        <f>SUMIFS(Accounts!$I:$I,Accounts!$E:$E,'AccountSummary (New)'!O$1,Accounts!$G:$G,'AccountSummary (New)'!O$2,Accounts!$F:$F,'AccountSummary (New)'!O$3,Accounts!$W:$W,0,Accounts!$C:$C,"Customer",Accounts!$H:$H,"&gt;"&amp;30,Accounts!$H:$H,"&lt;="&amp;60)</f>
        <v>0</v>
      </c>
      <c r="P38" s="6">
        <f>SUM(J38:O38)</f>
        <v>0</v>
      </c>
      <c r="Q38" s="18">
        <f>SUMIFS(Accounts!$I:$I,Accounts!$E:$E,'AccountSummary (New)'!Q$1,Accounts!$G:$G,'AccountSummary (New)'!Q$2,Accounts!$F:$F,'AccountSummary (New)'!Q$3,Accounts!$W:$W,0,Accounts!$C:$C,"Customer",Accounts!$H:$H,"&gt;"&amp;30,Accounts!$H:$H,"&lt;="&amp;60)</f>
        <v>0</v>
      </c>
      <c r="R38" s="18">
        <f>SUMIFS(Accounts!$I:$I,Accounts!$E:$E,'AccountSummary (New)'!R$1,Accounts!$G:$G,'AccountSummary (New)'!R$2,Accounts!$F:$F,'AccountSummary (New)'!R$3,Accounts!$W:$W,0,Accounts!$C:$C,"Customer",Accounts!$H:$H,"&gt;"&amp;30,Accounts!$H:$H,"&lt;="&amp;60)</f>
        <v>0</v>
      </c>
      <c r="S38" s="18">
        <f>SUMIFS(Accounts!$I:$I,Accounts!$E:$E,'AccountSummary (New)'!S$1,Accounts!$G:$G,'AccountSummary (New)'!S$2,Accounts!$F:$F,'AccountSummary (New)'!S$3,Accounts!$W:$W,0,Accounts!$C:$C,"Customer",Accounts!$H:$H,"&gt;"&amp;30,Accounts!$H:$H,"&lt;="&amp;60)</f>
        <v>0</v>
      </c>
      <c r="T38" s="18">
        <f>SUMIFS(Accounts!$I:$I,Accounts!$E:$E,'AccountSummary (New)'!T$1,Accounts!$G:$G,'AccountSummary (New)'!T$2,Accounts!$F:$F,'AccountSummary (New)'!T$3,Accounts!$W:$W,0,Accounts!$C:$C,"Customer",Accounts!$H:$H,"&gt;"&amp;30,Accounts!$H:$H,"&lt;="&amp;60)</f>
        <v>0</v>
      </c>
      <c r="U38" s="18">
        <f>SUMIFS(Accounts!$I:$I,Accounts!$E:$E,'AccountSummary (New)'!U$1,Accounts!$G:$G,'AccountSummary (New)'!U$2,Accounts!$F:$F,'AccountSummary (New)'!U$3,Accounts!$W:$W,0,Accounts!$C:$C,"Customer",Accounts!$H:$H,"&gt;"&amp;30,Accounts!$H:$H,"&lt;="&amp;60)</f>
        <v>0</v>
      </c>
      <c r="V38" s="18">
        <f>SUMIFS(Accounts!$I:$I,Accounts!$E:$E,'AccountSummary (New)'!V$1,Accounts!$G:$G,'AccountSummary (New)'!V$2,Accounts!$F:$F,'AccountSummary (New)'!V$3,Accounts!$W:$W,0,Accounts!$C:$C,"Customer",Accounts!$H:$H,"&gt;"&amp;30,Accounts!$H:$H,"&lt;="&amp;60)</f>
        <v>0</v>
      </c>
      <c r="W38" s="6">
        <f>SUM(Q38:V38)</f>
        <v>0</v>
      </c>
    </row>
    <row r="39" spans="1:23" x14ac:dyDescent="0.2">
      <c r="A39" s="1" t="s">
        <v>95</v>
      </c>
      <c r="B39" s="10"/>
      <c r="C39" s="18"/>
      <c r="D39" s="18"/>
      <c r="E39" s="18"/>
      <c r="F39" s="18"/>
      <c r="G39" s="18"/>
      <c r="H39" s="18"/>
      <c r="I39" s="6"/>
      <c r="J39" s="18"/>
      <c r="K39" s="18"/>
      <c r="L39" s="18"/>
      <c r="M39" s="18"/>
      <c r="N39" s="18"/>
      <c r="O39" s="18"/>
      <c r="P39" s="6"/>
      <c r="Q39" s="18"/>
      <c r="R39" s="18"/>
      <c r="S39" s="18"/>
      <c r="T39" s="18"/>
      <c r="U39" s="18"/>
      <c r="V39" s="18"/>
      <c r="W39" s="6"/>
    </row>
    <row r="40" spans="1:23" x14ac:dyDescent="0.2">
      <c r="A40" s="1" t="s">
        <v>86</v>
      </c>
      <c r="B40" s="11">
        <f t="shared" ref="B40:W40" si="11">IF(B$19=0,0,(B42+B43)/B$19)</f>
        <v>0</v>
      </c>
      <c r="C40" s="8">
        <f t="shared" si="11"/>
        <v>0</v>
      </c>
      <c r="D40" s="8">
        <f t="shared" si="11"/>
        <v>0</v>
      </c>
      <c r="E40" s="8">
        <f t="shared" si="11"/>
        <v>0</v>
      </c>
      <c r="F40" s="8">
        <f t="shared" si="11"/>
        <v>0</v>
      </c>
      <c r="G40" s="8">
        <f t="shared" si="11"/>
        <v>0</v>
      </c>
      <c r="H40" s="8">
        <f t="shared" si="11"/>
        <v>0</v>
      </c>
      <c r="I40" s="20">
        <f t="shared" si="11"/>
        <v>0</v>
      </c>
      <c r="J40" s="8">
        <f t="shared" si="11"/>
        <v>0</v>
      </c>
      <c r="K40" s="8">
        <f t="shared" si="11"/>
        <v>0</v>
      </c>
      <c r="L40" s="8">
        <f t="shared" si="11"/>
        <v>0</v>
      </c>
      <c r="M40" s="8">
        <f t="shared" si="11"/>
        <v>0</v>
      </c>
      <c r="N40" s="8">
        <f t="shared" si="11"/>
        <v>0</v>
      </c>
      <c r="O40" s="8">
        <f t="shared" si="11"/>
        <v>0</v>
      </c>
      <c r="P40" s="20">
        <f t="shared" si="11"/>
        <v>0</v>
      </c>
      <c r="Q40" s="8">
        <f t="shared" si="11"/>
        <v>0</v>
      </c>
      <c r="R40" s="8">
        <f t="shared" si="11"/>
        <v>0</v>
      </c>
      <c r="S40" s="8">
        <f t="shared" si="11"/>
        <v>0</v>
      </c>
      <c r="T40" s="8">
        <f t="shared" si="11"/>
        <v>0</v>
      </c>
      <c r="U40" s="8">
        <f t="shared" si="11"/>
        <v>0</v>
      </c>
      <c r="V40" s="8">
        <f t="shared" si="11"/>
        <v>0</v>
      </c>
      <c r="W40" s="20">
        <f t="shared" si="11"/>
        <v>0</v>
      </c>
    </row>
    <row r="41" spans="1:23" x14ac:dyDescent="0.2">
      <c r="A41" s="1" t="s">
        <v>87</v>
      </c>
      <c r="B41" s="11">
        <f t="shared" ref="B41:W41" si="12">IF((B42+B43)=0,0,B42/(B42+B43))</f>
        <v>0</v>
      </c>
      <c r="C41" s="8">
        <f t="shared" si="12"/>
        <v>0</v>
      </c>
      <c r="D41" s="8">
        <f t="shared" si="12"/>
        <v>0</v>
      </c>
      <c r="E41" s="8">
        <f t="shared" si="12"/>
        <v>0</v>
      </c>
      <c r="F41" s="8">
        <f t="shared" si="12"/>
        <v>0</v>
      </c>
      <c r="G41" s="8">
        <f t="shared" si="12"/>
        <v>0</v>
      </c>
      <c r="H41" s="8">
        <f t="shared" si="12"/>
        <v>0</v>
      </c>
      <c r="I41" s="20">
        <f t="shared" si="12"/>
        <v>0</v>
      </c>
      <c r="J41" s="8">
        <f t="shared" si="12"/>
        <v>0</v>
      </c>
      <c r="K41" s="8">
        <f t="shared" si="12"/>
        <v>0</v>
      </c>
      <c r="L41" s="8">
        <f t="shared" si="12"/>
        <v>0</v>
      </c>
      <c r="M41" s="8">
        <f t="shared" si="12"/>
        <v>0</v>
      </c>
      <c r="N41" s="8">
        <f t="shared" si="12"/>
        <v>0</v>
      </c>
      <c r="O41" s="8">
        <f t="shared" si="12"/>
        <v>0</v>
      </c>
      <c r="P41" s="20">
        <f t="shared" si="12"/>
        <v>0</v>
      </c>
      <c r="Q41" s="8">
        <f t="shared" si="12"/>
        <v>0</v>
      </c>
      <c r="R41" s="8">
        <f t="shared" si="12"/>
        <v>0</v>
      </c>
      <c r="S41" s="8">
        <f t="shared" si="12"/>
        <v>0</v>
      </c>
      <c r="T41" s="8">
        <f t="shared" si="12"/>
        <v>0</v>
      </c>
      <c r="U41" s="8">
        <f t="shared" si="12"/>
        <v>0</v>
      </c>
      <c r="V41" s="8">
        <f t="shared" si="12"/>
        <v>0</v>
      </c>
      <c r="W41" s="20">
        <f t="shared" si="12"/>
        <v>0</v>
      </c>
    </row>
    <row r="42" spans="1:23" x14ac:dyDescent="0.2">
      <c r="A42" s="1" t="s">
        <v>88</v>
      </c>
      <c r="B42" s="9">
        <f>I42+P42+W42</f>
        <v>0</v>
      </c>
      <c r="C42">
        <f>COUNTIFS(Accounts!$E:$E,'AccountSummary (New)'!C$1,Accounts!$G:$G,'AccountSummary (New)'!C$2,Accounts!$F:$F,'AccountSummary (New)'!C$3,Accounts!$B:$B,"Customer",Accounts!$C:$C,"Lost",Accounts!$H:$H,"&gt;"&amp;60,Accounts!$H:$H,"&lt;="&amp;90)</f>
        <v>0</v>
      </c>
      <c r="D42">
        <f>COUNTIFS(Accounts!$E:$E,'AccountSummary (New)'!D$1,Accounts!$G:$G,'AccountSummary (New)'!D$2,Accounts!$F:$F,'AccountSummary (New)'!D$3,Accounts!$B:$B,"Customer",Accounts!$C:$C,"Lost",Accounts!$H:$H,"&gt;"&amp;60,Accounts!$H:$H,"&lt;="&amp;90)</f>
        <v>0</v>
      </c>
      <c r="E42">
        <f>COUNTIFS(Accounts!$E:$E,'AccountSummary (New)'!E$1,Accounts!$G:$G,'AccountSummary (New)'!E$2,Accounts!$F:$F,'AccountSummary (New)'!E$3,Accounts!$B:$B,"Customer",Accounts!$C:$C,"Lost",Accounts!$H:$H,"&gt;"&amp;60,Accounts!$H:$H,"&lt;="&amp;90)</f>
        <v>0</v>
      </c>
      <c r="F42">
        <f>COUNTIFS(Accounts!$E:$E,'AccountSummary (New)'!F$1,Accounts!$G:$G,'AccountSummary (New)'!F$2,Accounts!$F:$F,'AccountSummary (New)'!F$3,Accounts!$B:$B,"Customer",Accounts!$C:$C,"Lost",Accounts!$H:$H,"&gt;"&amp;60,Accounts!$H:$H,"&lt;="&amp;90)</f>
        <v>0</v>
      </c>
      <c r="G42">
        <f>COUNTIFS(Accounts!$E:$E,'AccountSummary (New)'!G$1,Accounts!$G:$G,'AccountSummary (New)'!G$2,Accounts!$F:$F,'AccountSummary (New)'!G$3,Accounts!$B:$B,"Customer",Accounts!$C:$C,"Lost",Accounts!$H:$H,"&gt;"&amp;60,Accounts!$H:$H,"&lt;="&amp;90)</f>
        <v>0</v>
      </c>
      <c r="H42">
        <f>COUNTIFS(Accounts!$E:$E,'AccountSummary (New)'!H$1,Accounts!$G:$G,'AccountSummary (New)'!H$2,Accounts!$F:$F,'AccountSummary (New)'!H$3,Accounts!$B:$B,"Customer",Accounts!$C:$C,"Lost",Accounts!$H:$H,"&gt;"&amp;60,Accounts!$H:$H,"&lt;="&amp;90)</f>
        <v>0</v>
      </c>
      <c r="I42" s="15">
        <f>SUM(C42:H42)</f>
        <v>0</v>
      </c>
      <c r="J42">
        <f>COUNTIFS(Accounts!$E:$E,'AccountSummary (New)'!J$1,Accounts!$G:$G,'AccountSummary (New)'!J$2,Accounts!$F:$F,'AccountSummary (New)'!J$3,Accounts!$B:$B,"Customer",Accounts!$C:$C,"Lost",Accounts!$H:$H,"&gt;"&amp;60,Accounts!$H:$H,"&lt;="&amp;90)</f>
        <v>0</v>
      </c>
      <c r="K42">
        <f>COUNTIFS(Accounts!$E:$E,'AccountSummary (New)'!K$1,Accounts!$G:$G,'AccountSummary (New)'!K$2,Accounts!$F:$F,'AccountSummary (New)'!K$3,Accounts!$B:$B,"Customer",Accounts!$C:$C,"Lost",Accounts!$H:$H,"&gt;"&amp;60,Accounts!$H:$H,"&lt;="&amp;90)</f>
        <v>0</v>
      </c>
      <c r="L42">
        <f>COUNTIFS(Accounts!$E:$E,'AccountSummary (New)'!L$1,Accounts!$G:$G,'AccountSummary (New)'!L$2,Accounts!$F:$F,'AccountSummary (New)'!L$3,Accounts!$B:$B,"Customer",Accounts!$C:$C,"Lost",Accounts!$H:$H,"&gt;"&amp;60,Accounts!$H:$H,"&lt;="&amp;90)</f>
        <v>0</v>
      </c>
      <c r="M42">
        <f>COUNTIFS(Accounts!$E:$E,'AccountSummary (New)'!M$1,Accounts!$G:$G,'AccountSummary (New)'!M$2,Accounts!$F:$F,'AccountSummary (New)'!M$3,Accounts!$B:$B,"Customer",Accounts!$C:$C,"Lost",Accounts!$H:$H,"&gt;"&amp;60,Accounts!$H:$H,"&lt;="&amp;90)</f>
        <v>0</v>
      </c>
      <c r="N42">
        <f>COUNTIFS(Accounts!$E:$E,'AccountSummary (New)'!N$1,Accounts!$G:$G,'AccountSummary (New)'!N$2,Accounts!$F:$F,'AccountSummary (New)'!N$3,Accounts!$B:$B,"Customer",Accounts!$C:$C,"Lost",Accounts!$H:$H,"&gt;"&amp;60,Accounts!$H:$H,"&lt;="&amp;90)</f>
        <v>0</v>
      </c>
      <c r="O42">
        <f>COUNTIFS(Accounts!$E:$E,'AccountSummary (New)'!O$1,Accounts!$G:$G,'AccountSummary (New)'!O$2,Accounts!$F:$F,'AccountSummary (New)'!O$3,Accounts!$B:$B,"Customer",Accounts!$C:$C,"Lost",Accounts!$H:$H,"&gt;"&amp;60,Accounts!$H:$H,"&lt;="&amp;90)</f>
        <v>0</v>
      </c>
      <c r="P42" s="15">
        <f>SUM(J42:O42)</f>
        <v>0</v>
      </c>
      <c r="Q42">
        <f>COUNTIFS(Accounts!$E:$E,'AccountSummary (New)'!Q$1,Accounts!$G:$G,'AccountSummary (New)'!Q$2,Accounts!$F:$F,'AccountSummary (New)'!Q$3,Accounts!$B:$B,"Customer",Accounts!$C:$C,"Lost",Accounts!$H:$H,"&gt;"&amp;60,Accounts!$H:$H,"&lt;="&amp;90)</f>
        <v>0</v>
      </c>
      <c r="R42">
        <f>COUNTIFS(Accounts!$E:$E,'AccountSummary (New)'!R$1,Accounts!$G:$G,'AccountSummary (New)'!R$2,Accounts!$F:$F,'AccountSummary (New)'!R$3,Accounts!$B:$B,"Customer",Accounts!$C:$C,"Lost",Accounts!$H:$H,"&gt;"&amp;60,Accounts!$H:$H,"&lt;="&amp;90)</f>
        <v>0</v>
      </c>
      <c r="S42">
        <f>COUNTIFS(Accounts!$E:$E,'AccountSummary (New)'!S$1,Accounts!$G:$G,'AccountSummary (New)'!S$2,Accounts!$F:$F,'AccountSummary (New)'!S$3,Accounts!$B:$B,"Customer",Accounts!$C:$C,"Lost",Accounts!$H:$H,"&gt;"&amp;60,Accounts!$H:$H,"&lt;="&amp;90)</f>
        <v>0</v>
      </c>
      <c r="T42">
        <f>COUNTIFS(Accounts!$E:$E,'AccountSummary (New)'!T$1,Accounts!$G:$G,'AccountSummary (New)'!T$2,Accounts!$F:$F,'AccountSummary (New)'!T$3,Accounts!$B:$B,"Customer",Accounts!$C:$C,"Lost",Accounts!$H:$H,"&gt;"&amp;60,Accounts!$H:$H,"&lt;="&amp;90)</f>
        <v>0</v>
      </c>
      <c r="U42">
        <f>COUNTIFS(Accounts!$E:$E,'AccountSummary (New)'!U$1,Accounts!$G:$G,'AccountSummary (New)'!U$2,Accounts!$F:$F,'AccountSummary (New)'!U$3,Accounts!$B:$B,"Customer",Accounts!$C:$C,"Lost",Accounts!$H:$H,"&gt;"&amp;60,Accounts!$H:$H,"&lt;="&amp;90)</f>
        <v>0</v>
      </c>
      <c r="V42">
        <f>COUNTIFS(Accounts!$E:$E,'AccountSummary (New)'!V$1,Accounts!$G:$G,'AccountSummary (New)'!V$2,Accounts!$F:$F,'AccountSummary (New)'!V$3,Accounts!$B:$B,"Customer",Accounts!$C:$C,"Lost",Accounts!$H:$H,"&gt;"&amp;60,Accounts!$H:$H,"&lt;="&amp;90)</f>
        <v>0</v>
      </c>
      <c r="W42" s="15">
        <f>SUM(Q42:V42)</f>
        <v>0</v>
      </c>
    </row>
    <row r="43" spans="1:23" x14ac:dyDescent="0.2">
      <c r="A43" s="1" t="s">
        <v>89</v>
      </c>
      <c r="B43" s="9">
        <f>I43+P43+W43</f>
        <v>0</v>
      </c>
      <c r="C43">
        <f>COUNTIFS(Accounts!$E:$E,'AccountSummary (New)'!C$1,Accounts!$G:$G,'AccountSummary (New)'!C$2,Accounts!$F:$F,'AccountSummary (New)'!C$3,Accounts!$B:$B,"Customer",Accounts!$C:$C,"Customer",Accounts!$H:$H,"&gt;"&amp;60,Accounts!$H:$H,"&lt;="&amp;90)</f>
        <v>0</v>
      </c>
      <c r="D43">
        <f>COUNTIFS(Accounts!$E:$E,'AccountSummary (New)'!D$1,Accounts!$G:$G,'AccountSummary (New)'!D$2,Accounts!$F:$F,'AccountSummary (New)'!D$3,Accounts!$B:$B,"Customer",Accounts!$C:$C,"Customer",Accounts!$H:$H,"&gt;"&amp;60,Accounts!$H:$H,"&lt;="&amp;90)</f>
        <v>0</v>
      </c>
      <c r="E43">
        <f>COUNTIFS(Accounts!$E:$E,'AccountSummary (New)'!E$1,Accounts!$G:$G,'AccountSummary (New)'!E$2,Accounts!$F:$F,'AccountSummary (New)'!E$3,Accounts!$B:$B,"Customer",Accounts!$C:$C,"Customer",Accounts!$H:$H,"&gt;"&amp;60,Accounts!$H:$H,"&lt;="&amp;90)</f>
        <v>0</v>
      </c>
      <c r="F43">
        <f>COUNTIFS(Accounts!$E:$E,'AccountSummary (New)'!F$1,Accounts!$G:$G,'AccountSummary (New)'!F$2,Accounts!$F:$F,'AccountSummary (New)'!F$3,Accounts!$B:$B,"Customer",Accounts!$C:$C,"Customer",Accounts!$H:$H,"&gt;"&amp;60,Accounts!$H:$H,"&lt;="&amp;90)</f>
        <v>0</v>
      </c>
      <c r="G43">
        <f>COUNTIFS(Accounts!$E:$E,'AccountSummary (New)'!G$1,Accounts!$G:$G,'AccountSummary (New)'!G$2,Accounts!$F:$F,'AccountSummary (New)'!G$3,Accounts!$B:$B,"Customer",Accounts!$C:$C,"Customer",Accounts!$H:$H,"&gt;"&amp;60,Accounts!$H:$H,"&lt;="&amp;90)</f>
        <v>0</v>
      </c>
      <c r="H43">
        <f>COUNTIFS(Accounts!$E:$E,'AccountSummary (New)'!H$1,Accounts!$G:$G,'AccountSummary (New)'!H$2,Accounts!$F:$F,'AccountSummary (New)'!H$3,Accounts!$B:$B,"Customer",Accounts!$C:$C,"Customer",Accounts!$H:$H,"&gt;"&amp;60,Accounts!$H:$H,"&lt;="&amp;90)</f>
        <v>0</v>
      </c>
      <c r="I43" s="15">
        <f>SUM(C43:H43)</f>
        <v>0</v>
      </c>
      <c r="J43">
        <f>COUNTIFS(Accounts!$E:$E,'AccountSummary (New)'!J$1,Accounts!$G:$G,'AccountSummary (New)'!J$2,Accounts!$F:$F,'AccountSummary (New)'!J$3,Accounts!$B:$B,"Customer",Accounts!$C:$C,"Customer",Accounts!$H:$H,"&gt;"&amp;60,Accounts!$H:$H,"&lt;="&amp;90)</f>
        <v>0</v>
      </c>
      <c r="K43">
        <f>COUNTIFS(Accounts!$E:$E,'AccountSummary (New)'!K$1,Accounts!$G:$G,'AccountSummary (New)'!K$2,Accounts!$F:$F,'AccountSummary (New)'!K$3,Accounts!$B:$B,"Customer",Accounts!$C:$C,"Customer",Accounts!$H:$H,"&gt;"&amp;60,Accounts!$H:$H,"&lt;="&amp;90)</f>
        <v>0</v>
      </c>
      <c r="L43">
        <f>COUNTIFS(Accounts!$E:$E,'AccountSummary (New)'!L$1,Accounts!$G:$G,'AccountSummary (New)'!L$2,Accounts!$F:$F,'AccountSummary (New)'!L$3,Accounts!$B:$B,"Customer",Accounts!$C:$C,"Customer",Accounts!$H:$H,"&gt;"&amp;60,Accounts!$H:$H,"&lt;="&amp;90)</f>
        <v>0</v>
      </c>
      <c r="M43">
        <f>COUNTIFS(Accounts!$E:$E,'AccountSummary (New)'!M$1,Accounts!$G:$G,'AccountSummary (New)'!M$2,Accounts!$F:$F,'AccountSummary (New)'!M$3,Accounts!$B:$B,"Customer",Accounts!$C:$C,"Customer",Accounts!$H:$H,"&gt;"&amp;60,Accounts!$H:$H,"&lt;="&amp;90)</f>
        <v>0</v>
      </c>
      <c r="N43">
        <f>COUNTIFS(Accounts!$E:$E,'AccountSummary (New)'!N$1,Accounts!$G:$G,'AccountSummary (New)'!N$2,Accounts!$F:$F,'AccountSummary (New)'!N$3,Accounts!$B:$B,"Customer",Accounts!$C:$C,"Customer",Accounts!$H:$H,"&gt;"&amp;60,Accounts!$H:$H,"&lt;="&amp;90)</f>
        <v>0</v>
      </c>
      <c r="O43">
        <f>COUNTIFS(Accounts!$E:$E,'AccountSummary (New)'!O$1,Accounts!$G:$G,'AccountSummary (New)'!O$2,Accounts!$F:$F,'AccountSummary (New)'!O$3,Accounts!$B:$B,"Customer",Accounts!$C:$C,"Customer",Accounts!$H:$H,"&gt;"&amp;60,Accounts!$H:$H,"&lt;="&amp;90)</f>
        <v>0</v>
      </c>
      <c r="P43" s="15">
        <f>SUM(J43:O43)</f>
        <v>0</v>
      </c>
      <c r="Q43">
        <f>COUNTIFS(Accounts!$E:$E,'AccountSummary (New)'!Q$1,Accounts!$G:$G,'AccountSummary (New)'!Q$2,Accounts!$F:$F,'AccountSummary (New)'!Q$3,Accounts!$B:$B,"Customer",Accounts!$C:$C,"Customer",Accounts!$H:$H,"&gt;"&amp;60,Accounts!$H:$H,"&lt;="&amp;90)</f>
        <v>0</v>
      </c>
      <c r="R43">
        <f>COUNTIFS(Accounts!$E:$E,'AccountSummary (New)'!R$1,Accounts!$G:$G,'AccountSummary (New)'!R$2,Accounts!$F:$F,'AccountSummary (New)'!R$3,Accounts!$B:$B,"Customer",Accounts!$C:$C,"Customer",Accounts!$H:$H,"&gt;"&amp;60,Accounts!$H:$H,"&lt;="&amp;90)</f>
        <v>0</v>
      </c>
      <c r="S43">
        <f>COUNTIFS(Accounts!$E:$E,'AccountSummary (New)'!S$1,Accounts!$G:$G,'AccountSummary (New)'!S$2,Accounts!$F:$F,'AccountSummary (New)'!S$3,Accounts!$B:$B,"Customer",Accounts!$C:$C,"Customer",Accounts!$H:$H,"&gt;"&amp;60,Accounts!$H:$H,"&lt;="&amp;90)</f>
        <v>0</v>
      </c>
      <c r="T43">
        <f>COUNTIFS(Accounts!$E:$E,'AccountSummary (New)'!T$1,Accounts!$G:$G,'AccountSummary (New)'!T$2,Accounts!$F:$F,'AccountSummary (New)'!T$3,Accounts!$B:$B,"Customer",Accounts!$C:$C,"Customer",Accounts!$H:$H,"&gt;"&amp;60,Accounts!$H:$H,"&lt;="&amp;90)</f>
        <v>0</v>
      </c>
      <c r="U43">
        <f>COUNTIFS(Accounts!$E:$E,'AccountSummary (New)'!U$1,Accounts!$G:$G,'AccountSummary (New)'!U$2,Accounts!$F:$F,'AccountSummary (New)'!U$3,Accounts!$B:$B,"Customer",Accounts!$C:$C,"Customer",Accounts!$H:$H,"&gt;"&amp;60,Accounts!$H:$H,"&lt;="&amp;90)</f>
        <v>0</v>
      </c>
      <c r="V43">
        <f>COUNTIFS(Accounts!$E:$E,'AccountSummary (New)'!V$1,Accounts!$G:$G,'AccountSummary (New)'!V$2,Accounts!$F:$F,'AccountSummary (New)'!V$3,Accounts!$B:$B,"Customer",Accounts!$C:$C,"Customer",Accounts!$H:$H,"&gt;"&amp;60,Accounts!$H:$H,"&lt;="&amp;90)</f>
        <v>0</v>
      </c>
      <c r="W43" s="15">
        <f>SUM(Q43:V43)</f>
        <v>0</v>
      </c>
    </row>
    <row r="44" spans="1:23" x14ac:dyDescent="0.2">
      <c r="A44" s="2" t="s">
        <v>90</v>
      </c>
      <c r="B44" s="13">
        <f>IF(B43=0,0,SUMIFS(Accounts!$L:$L,Accounts!$W:$W,0,Accounts!$C:$C,"Customer",Accounts!$H:$H,"&gt;"&amp;60,Accounts!$H:$H,"&lt;="&amp;90)/B43)</f>
        <v>0</v>
      </c>
      <c r="C44" s="4">
        <f>IF(C43=0,0,SUMIFS(Accounts!$L:$L,Accounts!$E:$E,'AccountSummary (New)'!C$1,Accounts!$G:$G,'AccountSummary (New)'!C$2,Accounts!$F:$F,'AccountSummary (New)'!C$3,Accounts!$W:$W,0,Accounts!$C:$C,"Customer",Accounts!$H:$H,"&gt;"&amp;60,Accounts!$H:$H,"&lt;="&amp;90)/C43)</f>
        <v>0</v>
      </c>
      <c r="D44" s="4">
        <f>IF(D43=0,0,SUMIFS(Accounts!$L:$L,Accounts!$E:$E,'AccountSummary (New)'!D$1,Accounts!$G:$G,'AccountSummary (New)'!D$2,Accounts!$F:$F,'AccountSummary (New)'!D$3,Accounts!$W:$W,0,Accounts!$C:$C,"Customer",Accounts!$H:$H,"&gt;"&amp;60,Accounts!$H:$H,"&lt;="&amp;90)/D43)</f>
        <v>0</v>
      </c>
      <c r="E44" s="4">
        <f>IF(E43=0,0,SUMIFS(Accounts!$L:$L,Accounts!$E:$E,'AccountSummary (New)'!E$1,Accounts!$G:$G,'AccountSummary (New)'!E$2,Accounts!$F:$F,'AccountSummary (New)'!E$3,Accounts!$W:$W,0,Accounts!$C:$C,"Customer",Accounts!$H:$H,"&gt;"&amp;60,Accounts!$H:$H,"&lt;="&amp;90)/E43)</f>
        <v>0</v>
      </c>
      <c r="F44" s="4">
        <f>IF(F43=0,0,SUMIFS(Accounts!$L:$L,Accounts!$E:$E,'AccountSummary (New)'!F$1,Accounts!$G:$G,'AccountSummary (New)'!F$2,Accounts!$F:$F,'AccountSummary (New)'!F$3,Accounts!$W:$W,0,Accounts!$C:$C,"Customer",Accounts!$H:$H,"&gt;"&amp;60,Accounts!$H:$H,"&lt;="&amp;90)/F43)</f>
        <v>0</v>
      </c>
      <c r="G44" s="4">
        <f>IF(G43=0,0,SUMIFS(Accounts!$L:$L,Accounts!$E:$E,'AccountSummary (New)'!G$1,Accounts!$G:$G,'AccountSummary (New)'!G$2,Accounts!$F:$F,'AccountSummary (New)'!G$3,Accounts!$W:$W,0,Accounts!$C:$C,"Customer",Accounts!$H:$H,"&gt;"&amp;60,Accounts!$H:$H,"&lt;="&amp;90)/G43)</f>
        <v>0</v>
      </c>
      <c r="H44" s="4">
        <f>IF(H43=0,0,SUMIFS(Accounts!$L:$L,Accounts!$E:$E,'AccountSummary (New)'!H$1,Accounts!$G:$G,'AccountSummary (New)'!H$2,Accounts!$F:$F,'AccountSummary (New)'!H$3,Accounts!$W:$W,0,Accounts!$C:$C,"Customer",Accounts!$H:$H,"&gt;"&amp;60,Accounts!$H:$H,"&lt;="&amp;90)/H43)</f>
        <v>0</v>
      </c>
      <c r="I44" s="5">
        <f>IF(I43=0,0,SUMIFS(Accounts!$L:$L,Accounts!$F:$F,'AccountSummary (New)'!I$3,Accounts!$W:$W,0,Accounts!$C:$C,"Customer",Accounts!$H:$H,"&gt;"&amp;60,Accounts!$H:$H,"&lt;="&amp;90)/I43)</f>
        <v>0</v>
      </c>
      <c r="J44" s="4">
        <f>IF(J43=0,0,SUMIFS(Accounts!$L:$L,Accounts!$E:$E,'AccountSummary (New)'!J$1,Accounts!$G:$G,'AccountSummary (New)'!J$2,Accounts!$F:$F,'AccountSummary (New)'!J$3,Accounts!$W:$W,0,Accounts!$C:$C,"Customer",Accounts!$H:$H,"&gt;"&amp;60,Accounts!$H:$H,"&lt;="&amp;90)/J43)</f>
        <v>0</v>
      </c>
      <c r="K44" s="4">
        <f>IF(K43=0,0,SUMIFS(Accounts!$L:$L,Accounts!$E:$E,'AccountSummary (New)'!K$1,Accounts!$G:$G,'AccountSummary (New)'!K$2,Accounts!$F:$F,'AccountSummary (New)'!K$3,Accounts!$W:$W,0,Accounts!$C:$C,"Customer",Accounts!$H:$H,"&gt;"&amp;60,Accounts!$H:$H,"&lt;="&amp;90)/K43)</f>
        <v>0</v>
      </c>
      <c r="L44" s="4">
        <f>IF(L43=0,0,SUMIFS(Accounts!$L:$L,Accounts!$E:$E,'AccountSummary (New)'!L$1,Accounts!$G:$G,'AccountSummary (New)'!L$2,Accounts!$F:$F,'AccountSummary (New)'!L$3,Accounts!$W:$W,0,Accounts!$C:$C,"Customer",Accounts!$H:$H,"&gt;"&amp;60,Accounts!$H:$H,"&lt;="&amp;90)/L43)</f>
        <v>0</v>
      </c>
      <c r="M44" s="4">
        <f>IF(M43=0,0,SUMIFS(Accounts!$L:$L,Accounts!$E:$E,'AccountSummary (New)'!M$1,Accounts!$G:$G,'AccountSummary (New)'!M$2,Accounts!$F:$F,'AccountSummary (New)'!M$3,Accounts!$W:$W,0,Accounts!$C:$C,"Customer",Accounts!$H:$H,"&gt;"&amp;60,Accounts!$H:$H,"&lt;="&amp;90)/M43)</f>
        <v>0</v>
      </c>
      <c r="N44" s="4">
        <f>IF(N43=0,0,SUMIFS(Accounts!$L:$L,Accounts!$E:$E,'AccountSummary (New)'!N$1,Accounts!$G:$G,'AccountSummary (New)'!N$2,Accounts!$F:$F,'AccountSummary (New)'!N$3,Accounts!$W:$W,0,Accounts!$C:$C,"Customer",Accounts!$H:$H,"&gt;"&amp;60,Accounts!$H:$H,"&lt;="&amp;90)/N43)</f>
        <v>0</v>
      </c>
      <c r="O44" s="4">
        <f>IF(O43=0,0,SUMIFS(Accounts!$L:$L,Accounts!$E:$E,'AccountSummary (New)'!O$1,Accounts!$G:$G,'AccountSummary (New)'!O$2,Accounts!$F:$F,'AccountSummary (New)'!O$3,Accounts!$W:$W,0,Accounts!$C:$C,"Customer",Accounts!$H:$H,"&gt;"&amp;60,Accounts!$H:$H,"&lt;="&amp;90)/O43)</f>
        <v>0</v>
      </c>
      <c r="P44" s="5">
        <f>IF(P43=0,0,SUMIFS(Accounts!$L:$L,Accounts!$F:$F,'AccountSummary (New)'!P$3,Accounts!$W:$W,0,Accounts!$C:$C,"Customer",Accounts!$H:$H,"&gt;"&amp;60,Accounts!$H:$H,"&lt;="&amp;90)/P43)</f>
        <v>0</v>
      </c>
      <c r="Q44" s="4">
        <f>IF(Q43=0,0,SUMIFS(Accounts!$L:$L,Accounts!$E:$E,'AccountSummary (New)'!Q$1,Accounts!$G:$G,'AccountSummary (New)'!Q$2,Accounts!$F:$F,'AccountSummary (New)'!Q$3,Accounts!$W:$W,0,Accounts!$C:$C,"Customer",Accounts!$H:$H,"&gt;"&amp;60,Accounts!$H:$H,"&lt;="&amp;90)/Q43)</f>
        <v>0</v>
      </c>
      <c r="R44" s="4">
        <f>IF(R43=0,0,SUMIFS(Accounts!$L:$L,Accounts!$E:$E,'AccountSummary (New)'!R$1,Accounts!$G:$G,'AccountSummary (New)'!R$2,Accounts!$F:$F,'AccountSummary (New)'!R$3,Accounts!$W:$W,0,Accounts!$C:$C,"Customer",Accounts!$H:$H,"&gt;"&amp;60,Accounts!$H:$H,"&lt;="&amp;90)/R43)</f>
        <v>0</v>
      </c>
      <c r="S44" s="4">
        <f>IF(S43=0,0,SUMIFS(Accounts!$L:$L,Accounts!$E:$E,'AccountSummary (New)'!S$1,Accounts!$G:$G,'AccountSummary (New)'!S$2,Accounts!$F:$F,'AccountSummary (New)'!S$3,Accounts!$W:$W,0,Accounts!$C:$C,"Customer",Accounts!$H:$H,"&gt;"&amp;60,Accounts!$H:$H,"&lt;="&amp;90)/S43)</f>
        <v>0</v>
      </c>
      <c r="T44" s="4">
        <f>IF(T43=0,0,SUMIFS(Accounts!$L:$L,Accounts!$E:$E,'AccountSummary (New)'!T$1,Accounts!$G:$G,'AccountSummary (New)'!T$2,Accounts!$F:$F,'AccountSummary (New)'!T$3,Accounts!$W:$W,0,Accounts!$C:$C,"Customer",Accounts!$H:$H,"&gt;"&amp;60,Accounts!$H:$H,"&lt;="&amp;90)/T43)</f>
        <v>0</v>
      </c>
      <c r="U44" s="4">
        <f>IF(U43=0,0,SUMIFS(Accounts!$L:$L,Accounts!$E:$E,'AccountSummary (New)'!U$1,Accounts!$G:$G,'AccountSummary (New)'!U$2,Accounts!$F:$F,'AccountSummary (New)'!U$3,Accounts!$W:$W,0,Accounts!$C:$C,"Customer",Accounts!$H:$H,"&gt;"&amp;60,Accounts!$H:$H,"&lt;="&amp;90)/U43)</f>
        <v>0</v>
      </c>
      <c r="V44" s="4">
        <f>IF(V43=0,0,SUMIFS(Accounts!$L:$L,Accounts!$E:$E,'AccountSummary (New)'!V$1,Accounts!$G:$G,'AccountSummary (New)'!V$2,Accounts!$F:$F,'AccountSummary (New)'!V$3,Accounts!$W:$W,0,Accounts!$C:$C,"Customer",Accounts!$H:$H,"&gt;"&amp;60,Accounts!$H:$H,"&lt;="&amp;90)/V43)</f>
        <v>0</v>
      </c>
      <c r="W44" s="5">
        <f>IF(W43=0,0,SUMIFS(Accounts!$L:$L,Accounts!$F:$F,'AccountSummary (New)'!W$3,Accounts!$W:$W,0,Accounts!$C:$C,"Customer",Accounts!$H:$H,"&gt;"&amp;60,Accounts!$H:$H,"&lt;="&amp;90)/W43)</f>
        <v>0</v>
      </c>
    </row>
    <row r="45" spans="1:23" x14ac:dyDescent="0.2">
      <c r="A45" s="2" t="s">
        <v>91</v>
      </c>
      <c r="B45" s="13">
        <f>IF(B43=0,0,SUMIFS(Accounts!$M:$M,Accounts!$W:$W,0,Accounts!$C:$C,"Customer",Accounts!$H:$H,"&gt;"&amp;60,Accounts!$H:$H,"&lt;="&amp;90)/B43)</f>
        <v>0</v>
      </c>
      <c r="C45" s="4">
        <f>IF(C43=0,0,SUMIFS(Accounts!$M:$M,Accounts!$E:$E,'AccountSummary (New)'!C$1,Accounts!$G:$G,'AccountSummary (New)'!C$2,Accounts!$F:$F,'AccountSummary (New)'!C$3,Accounts!$W:$W,0,Accounts!$C:$C,"Customer",Accounts!$H:$H,"&gt;"&amp;60,Accounts!$H:$H,"&lt;="&amp;90)/C43)</f>
        <v>0</v>
      </c>
      <c r="D45" s="4">
        <f>IF(D43=0,0,SUMIFS(Accounts!$M:$M,Accounts!$E:$E,'AccountSummary (New)'!D$1,Accounts!$G:$G,'AccountSummary (New)'!D$2,Accounts!$F:$F,'AccountSummary (New)'!D$3,Accounts!$W:$W,0,Accounts!$C:$C,"Customer",Accounts!$H:$H,"&gt;"&amp;60,Accounts!$H:$H,"&lt;="&amp;90)/D43)</f>
        <v>0</v>
      </c>
      <c r="E45" s="4">
        <f>IF(E43=0,0,SUMIFS(Accounts!$M:$M,Accounts!$E:$E,'AccountSummary (New)'!E$1,Accounts!$G:$G,'AccountSummary (New)'!E$2,Accounts!$F:$F,'AccountSummary (New)'!E$3,Accounts!$W:$W,0,Accounts!$C:$C,"Customer",Accounts!$H:$H,"&gt;"&amp;60,Accounts!$H:$H,"&lt;="&amp;90)/E43)</f>
        <v>0</v>
      </c>
      <c r="F45" s="4">
        <f>IF(F43=0,0,SUMIFS(Accounts!$M:$M,Accounts!$E:$E,'AccountSummary (New)'!F$1,Accounts!$G:$G,'AccountSummary (New)'!F$2,Accounts!$F:$F,'AccountSummary (New)'!F$3,Accounts!$W:$W,0,Accounts!$C:$C,"Customer",Accounts!$H:$H,"&gt;"&amp;60,Accounts!$H:$H,"&lt;="&amp;90)/F43)</f>
        <v>0</v>
      </c>
      <c r="G45" s="4">
        <f>IF(G43=0,0,SUMIFS(Accounts!$M:$M,Accounts!$E:$E,'AccountSummary (New)'!G$1,Accounts!$G:$G,'AccountSummary (New)'!G$2,Accounts!$F:$F,'AccountSummary (New)'!G$3,Accounts!$W:$W,0,Accounts!$C:$C,"Customer",Accounts!$H:$H,"&gt;"&amp;60,Accounts!$H:$H,"&lt;="&amp;90)/G43)</f>
        <v>0</v>
      </c>
      <c r="H45" s="4">
        <f>IF(H43=0,0,SUMIFS(Accounts!$M:$M,Accounts!$E:$E,'AccountSummary (New)'!H$1,Accounts!$G:$G,'AccountSummary (New)'!H$2,Accounts!$F:$F,'AccountSummary (New)'!H$3,Accounts!$W:$W,0,Accounts!$C:$C,"Customer",Accounts!$H:$H,"&gt;"&amp;60,Accounts!$H:$H,"&lt;="&amp;90)/H43)</f>
        <v>0</v>
      </c>
      <c r="I45" s="5">
        <f>IF(I43=0,0,SUMIFS(Accounts!$M:$M,Accounts!$F:$F,'AccountSummary (New)'!I$3,Accounts!$W:$W,0,Accounts!$C:$C,"Customer",Accounts!$H:$H,"&gt;"&amp;60,Accounts!$H:$H,"&lt;="&amp;90)/I43)</f>
        <v>0</v>
      </c>
      <c r="J45" s="4">
        <f>IF(J43=0,0,SUMIFS(Accounts!$M:$M,Accounts!$E:$E,'AccountSummary (New)'!J$1,Accounts!$G:$G,'AccountSummary (New)'!J$2,Accounts!$F:$F,'AccountSummary (New)'!J$3,Accounts!$W:$W,0,Accounts!$C:$C,"Customer",Accounts!$H:$H,"&gt;"&amp;60,Accounts!$H:$H,"&lt;="&amp;90)/J43)</f>
        <v>0</v>
      </c>
      <c r="K45" s="4">
        <f>IF(K43=0,0,SUMIFS(Accounts!$M:$M,Accounts!$E:$E,'AccountSummary (New)'!K$1,Accounts!$G:$G,'AccountSummary (New)'!K$2,Accounts!$F:$F,'AccountSummary (New)'!K$3,Accounts!$W:$W,0,Accounts!$C:$C,"Customer",Accounts!$H:$H,"&gt;"&amp;60,Accounts!$H:$H,"&lt;="&amp;90)/K43)</f>
        <v>0</v>
      </c>
      <c r="L45" s="4">
        <f>IF(L43=0,0,SUMIFS(Accounts!$M:$M,Accounts!$E:$E,'AccountSummary (New)'!L$1,Accounts!$G:$G,'AccountSummary (New)'!L$2,Accounts!$F:$F,'AccountSummary (New)'!L$3,Accounts!$W:$W,0,Accounts!$C:$C,"Customer",Accounts!$H:$H,"&gt;"&amp;60,Accounts!$H:$H,"&lt;="&amp;90)/L43)</f>
        <v>0</v>
      </c>
      <c r="M45" s="4">
        <f>IF(M43=0,0,SUMIFS(Accounts!$M:$M,Accounts!$E:$E,'AccountSummary (New)'!M$1,Accounts!$G:$G,'AccountSummary (New)'!M$2,Accounts!$F:$F,'AccountSummary (New)'!M$3,Accounts!$W:$W,0,Accounts!$C:$C,"Customer",Accounts!$H:$H,"&gt;"&amp;60,Accounts!$H:$H,"&lt;="&amp;90)/M43)</f>
        <v>0</v>
      </c>
      <c r="N45" s="4">
        <f>IF(N43=0,0,SUMIFS(Accounts!$M:$M,Accounts!$E:$E,'AccountSummary (New)'!N$1,Accounts!$G:$G,'AccountSummary (New)'!N$2,Accounts!$F:$F,'AccountSummary (New)'!N$3,Accounts!$W:$W,0,Accounts!$C:$C,"Customer",Accounts!$H:$H,"&gt;"&amp;60,Accounts!$H:$H,"&lt;="&amp;90)/N43)</f>
        <v>0</v>
      </c>
      <c r="O45" s="4">
        <f>IF(O43=0,0,SUMIFS(Accounts!$M:$M,Accounts!$E:$E,'AccountSummary (New)'!O$1,Accounts!$G:$G,'AccountSummary (New)'!O$2,Accounts!$F:$F,'AccountSummary (New)'!O$3,Accounts!$W:$W,0,Accounts!$C:$C,"Customer",Accounts!$H:$H,"&gt;"&amp;60,Accounts!$H:$H,"&lt;="&amp;90)/O43)</f>
        <v>0</v>
      </c>
      <c r="P45" s="5">
        <f>IF(P43=0,0,SUMIFS(Accounts!$M:$M,Accounts!$F:$F,'AccountSummary (New)'!P$3,Accounts!$W:$W,0,Accounts!$C:$C,"Customer",Accounts!$H:$H,"&gt;"&amp;60,Accounts!$H:$H,"&lt;="&amp;90)/P43)</f>
        <v>0</v>
      </c>
      <c r="Q45" s="4">
        <f>IF(Q43=0,0,SUMIFS(Accounts!$M:$M,Accounts!$E:$E,'AccountSummary (New)'!Q$1,Accounts!$G:$G,'AccountSummary (New)'!Q$2,Accounts!$F:$F,'AccountSummary (New)'!Q$3,Accounts!$W:$W,0,Accounts!$C:$C,"Customer",Accounts!$H:$H,"&gt;"&amp;60,Accounts!$H:$H,"&lt;="&amp;90)/Q43)</f>
        <v>0</v>
      </c>
      <c r="R45" s="4">
        <f>IF(R43=0,0,SUMIFS(Accounts!$M:$M,Accounts!$E:$E,'AccountSummary (New)'!R$1,Accounts!$G:$G,'AccountSummary (New)'!R$2,Accounts!$F:$F,'AccountSummary (New)'!R$3,Accounts!$W:$W,0,Accounts!$C:$C,"Customer",Accounts!$H:$H,"&gt;"&amp;60,Accounts!$H:$H,"&lt;="&amp;90)/R43)</f>
        <v>0</v>
      </c>
      <c r="S45" s="4">
        <f>IF(S43=0,0,SUMIFS(Accounts!$M:$M,Accounts!$E:$E,'AccountSummary (New)'!S$1,Accounts!$G:$G,'AccountSummary (New)'!S$2,Accounts!$F:$F,'AccountSummary (New)'!S$3,Accounts!$W:$W,0,Accounts!$C:$C,"Customer",Accounts!$H:$H,"&gt;"&amp;60,Accounts!$H:$H,"&lt;="&amp;90)/S43)</f>
        <v>0</v>
      </c>
      <c r="T45" s="4">
        <f>IF(T43=0,0,SUMIFS(Accounts!$M:$M,Accounts!$E:$E,'AccountSummary (New)'!T$1,Accounts!$G:$G,'AccountSummary (New)'!T$2,Accounts!$F:$F,'AccountSummary (New)'!T$3,Accounts!$W:$W,0,Accounts!$C:$C,"Customer",Accounts!$H:$H,"&gt;"&amp;60,Accounts!$H:$H,"&lt;="&amp;90)/T43)</f>
        <v>0</v>
      </c>
      <c r="U45" s="4">
        <f>IF(U43=0,0,SUMIFS(Accounts!$M:$M,Accounts!$E:$E,'AccountSummary (New)'!U$1,Accounts!$G:$G,'AccountSummary (New)'!U$2,Accounts!$F:$F,'AccountSummary (New)'!U$3,Accounts!$W:$W,0,Accounts!$C:$C,"Customer",Accounts!$H:$H,"&gt;"&amp;60,Accounts!$H:$H,"&lt;="&amp;90)/U43)</f>
        <v>0</v>
      </c>
      <c r="V45" s="4">
        <f>IF(V43=0,0,SUMIFS(Accounts!$M:$M,Accounts!$E:$E,'AccountSummary (New)'!V$1,Accounts!$G:$G,'AccountSummary (New)'!V$2,Accounts!$F:$F,'AccountSummary (New)'!V$3,Accounts!$W:$W,0,Accounts!$C:$C,"Customer",Accounts!$H:$H,"&gt;"&amp;60,Accounts!$H:$H,"&lt;="&amp;90)/V43)</f>
        <v>0</v>
      </c>
      <c r="W45" s="5">
        <f>IF(W43=0,0,SUMIFS(Accounts!$M:$M,Accounts!$F:$F,'AccountSummary (New)'!W$3,Accounts!$W:$W,0,Accounts!$C:$C,"Customer",Accounts!$H:$H,"&gt;"&amp;60,Accounts!$H:$H,"&lt;="&amp;90)/W43)</f>
        <v>0</v>
      </c>
    </row>
    <row r="46" spans="1:23" x14ac:dyDescent="0.2">
      <c r="A46" s="1" t="s">
        <v>92</v>
      </c>
      <c r="B46" s="10">
        <f t="shared" ref="B46:W46" si="13">IF(B43=0,0,B47/B43)</f>
        <v>0</v>
      </c>
      <c r="C46" s="18">
        <f t="shared" si="13"/>
        <v>0</v>
      </c>
      <c r="D46" s="18">
        <f t="shared" si="13"/>
        <v>0</v>
      </c>
      <c r="E46" s="18">
        <f t="shared" si="13"/>
        <v>0</v>
      </c>
      <c r="F46" s="18">
        <f t="shared" si="13"/>
        <v>0</v>
      </c>
      <c r="G46" s="18">
        <f t="shared" si="13"/>
        <v>0</v>
      </c>
      <c r="H46" s="18">
        <f t="shared" si="13"/>
        <v>0</v>
      </c>
      <c r="I46" s="6">
        <f t="shared" si="13"/>
        <v>0</v>
      </c>
      <c r="J46" s="18">
        <f t="shared" si="13"/>
        <v>0</v>
      </c>
      <c r="K46" s="18">
        <f t="shared" si="13"/>
        <v>0</v>
      </c>
      <c r="L46" s="18">
        <f t="shared" si="13"/>
        <v>0</v>
      </c>
      <c r="M46" s="18">
        <f t="shared" si="13"/>
        <v>0</v>
      </c>
      <c r="N46" s="18">
        <f t="shared" si="13"/>
        <v>0</v>
      </c>
      <c r="O46" s="18">
        <f t="shared" si="13"/>
        <v>0</v>
      </c>
      <c r="P46" s="6">
        <f t="shared" si="13"/>
        <v>0</v>
      </c>
      <c r="Q46" s="18">
        <f t="shared" si="13"/>
        <v>0</v>
      </c>
      <c r="R46" s="18">
        <f t="shared" si="13"/>
        <v>0</v>
      </c>
      <c r="S46" s="18">
        <f t="shared" si="13"/>
        <v>0</v>
      </c>
      <c r="T46" s="18">
        <f t="shared" si="13"/>
        <v>0</v>
      </c>
      <c r="U46" s="18">
        <f t="shared" si="13"/>
        <v>0</v>
      </c>
      <c r="V46" s="18">
        <f t="shared" si="13"/>
        <v>0</v>
      </c>
      <c r="W46" s="6">
        <f t="shared" si="13"/>
        <v>0</v>
      </c>
    </row>
    <row r="47" spans="1:23" x14ac:dyDescent="0.2">
      <c r="A47" s="1" t="s">
        <v>93</v>
      </c>
      <c r="B47" s="10">
        <f>I47+P47+W47</f>
        <v>0</v>
      </c>
      <c r="C47" s="18">
        <f>SUMIFS(Accounts!$I:$I,Accounts!$E:$E,'AccountSummary (New)'!C$1,Accounts!$G:$G,'AccountSummary (New)'!C$2,Accounts!$F:$F,'AccountSummary (New)'!C$3,Accounts!$W:$W,0,Accounts!$C:$C,"Customer",Accounts!$H:$H,"&gt;"&amp;60,Accounts!$H:$H,"&lt;="&amp;90)</f>
        <v>0</v>
      </c>
      <c r="D47" s="18">
        <f>SUMIFS(Accounts!$I:$I,Accounts!$E:$E,'AccountSummary (New)'!D$1,Accounts!$G:$G,'AccountSummary (New)'!D$2,Accounts!$F:$F,'AccountSummary (New)'!D$3,Accounts!$W:$W,0,Accounts!$C:$C,"Customer",Accounts!$H:$H,"&gt;"&amp;60,Accounts!$H:$H,"&lt;="&amp;90)</f>
        <v>0</v>
      </c>
      <c r="E47" s="18">
        <f>SUMIFS(Accounts!$I:$I,Accounts!$E:$E,'AccountSummary (New)'!E$1,Accounts!$G:$G,'AccountSummary (New)'!E$2,Accounts!$F:$F,'AccountSummary (New)'!E$3,Accounts!$W:$W,0,Accounts!$C:$C,"Customer",Accounts!$H:$H,"&gt;"&amp;60,Accounts!$H:$H,"&lt;="&amp;90)</f>
        <v>0</v>
      </c>
      <c r="F47" s="18">
        <f>SUMIFS(Accounts!$I:$I,Accounts!$E:$E,'AccountSummary (New)'!F$1,Accounts!$G:$G,'AccountSummary (New)'!F$2,Accounts!$F:$F,'AccountSummary (New)'!F$3,Accounts!$W:$W,0,Accounts!$C:$C,"Customer",Accounts!$H:$H,"&gt;"&amp;60,Accounts!$H:$H,"&lt;="&amp;90)</f>
        <v>0</v>
      </c>
      <c r="G47" s="18">
        <f>SUMIFS(Accounts!$I:$I,Accounts!$E:$E,'AccountSummary (New)'!G$1,Accounts!$G:$G,'AccountSummary (New)'!G$2,Accounts!$F:$F,'AccountSummary (New)'!G$3,Accounts!$W:$W,0,Accounts!$C:$C,"Customer",Accounts!$H:$H,"&gt;"&amp;60,Accounts!$H:$H,"&lt;="&amp;90)</f>
        <v>0</v>
      </c>
      <c r="H47" s="18">
        <f>SUMIFS(Accounts!$I:$I,Accounts!$E:$E,'AccountSummary (New)'!H$1,Accounts!$G:$G,'AccountSummary (New)'!H$2,Accounts!$F:$F,'AccountSummary (New)'!H$3,Accounts!$W:$W,0,Accounts!$C:$C,"Customer",Accounts!$H:$H,"&gt;"&amp;60,Accounts!$H:$H,"&lt;="&amp;90)</f>
        <v>0</v>
      </c>
      <c r="I47" s="6">
        <f>SUM(C47:H47)</f>
        <v>0</v>
      </c>
      <c r="J47" s="18">
        <f>SUMIFS(Accounts!$I:$I,Accounts!$E:$E,'AccountSummary (New)'!J$1,Accounts!$G:$G,'AccountSummary (New)'!J$2,Accounts!$F:$F,'AccountSummary (New)'!J$3,Accounts!$W:$W,0,Accounts!$C:$C,"Customer",Accounts!$H:$H,"&gt;"&amp;60,Accounts!$H:$H,"&lt;="&amp;90)</f>
        <v>0</v>
      </c>
      <c r="K47" s="18">
        <f>SUMIFS(Accounts!$I:$I,Accounts!$E:$E,'AccountSummary (New)'!K$1,Accounts!$G:$G,'AccountSummary (New)'!K$2,Accounts!$F:$F,'AccountSummary (New)'!K$3,Accounts!$W:$W,0,Accounts!$C:$C,"Customer",Accounts!$H:$H,"&gt;"&amp;60,Accounts!$H:$H,"&lt;="&amp;90)</f>
        <v>0</v>
      </c>
      <c r="L47" s="18">
        <f>SUMIFS(Accounts!$I:$I,Accounts!$E:$E,'AccountSummary (New)'!L$1,Accounts!$G:$G,'AccountSummary (New)'!L$2,Accounts!$F:$F,'AccountSummary (New)'!L$3,Accounts!$W:$W,0,Accounts!$C:$C,"Customer",Accounts!$H:$H,"&gt;"&amp;60,Accounts!$H:$H,"&lt;="&amp;90)</f>
        <v>0</v>
      </c>
      <c r="M47" s="18">
        <f>SUMIFS(Accounts!$I:$I,Accounts!$E:$E,'AccountSummary (New)'!M$1,Accounts!$G:$G,'AccountSummary (New)'!M$2,Accounts!$F:$F,'AccountSummary (New)'!M$3,Accounts!$W:$W,0,Accounts!$C:$C,"Customer",Accounts!$H:$H,"&gt;"&amp;60,Accounts!$H:$H,"&lt;="&amp;90)</f>
        <v>0</v>
      </c>
      <c r="N47" s="18">
        <f>SUMIFS(Accounts!$I:$I,Accounts!$E:$E,'AccountSummary (New)'!N$1,Accounts!$G:$G,'AccountSummary (New)'!N$2,Accounts!$F:$F,'AccountSummary (New)'!N$3,Accounts!$W:$W,0,Accounts!$C:$C,"Customer",Accounts!$H:$H,"&gt;"&amp;60,Accounts!$H:$H,"&lt;="&amp;90)</f>
        <v>0</v>
      </c>
      <c r="O47" s="18">
        <f>SUMIFS(Accounts!$I:$I,Accounts!$E:$E,'AccountSummary (New)'!O$1,Accounts!$G:$G,'AccountSummary (New)'!O$2,Accounts!$F:$F,'AccountSummary (New)'!O$3,Accounts!$W:$W,0,Accounts!$C:$C,"Customer",Accounts!$H:$H,"&gt;"&amp;60,Accounts!$H:$H,"&lt;="&amp;90)</f>
        <v>0</v>
      </c>
      <c r="P47" s="6">
        <f>SUM(J47:O47)</f>
        <v>0</v>
      </c>
      <c r="Q47" s="18">
        <f>SUMIFS(Accounts!$I:$I,Accounts!$E:$E,'AccountSummary (New)'!Q$1,Accounts!$G:$G,'AccountSummary (New)'!Q$2,Accounts!$F:$F,'AccountSummary (New)'!Q$3,Accounts!$W:$W,0,Accounts!$C:$C,"Customer",Accounts!$H:$H,"&gt;"&amp;60,Accounts!$H:$H,"&lt;="&amp;90)</f>
        <v>0</v>
      </c>
      <c r="R47" s="18">
        <f>SUMIFS(Accounts!$I:$I,Accounts!$E:$E,'AccountSummary (New)'!R$1,Accounts!$G:$G,'AccountSummary (New)'!R$2,Accounts!$F:$F,'AccountSummary (New)'!R$3,Accounts!$W:$W,0,Accounts!$C:$C,"Customer",Accounts!$H:$H,"&gt;"&amp;60,Accounts!$H:$H,"&lt;="&amp;90)</f>
        <v>0</v>
      </c>
      <c r="S47" s="18">
        <f>SUMIFS(Accounts!$I:$I,Accounts!$E:$E,'AccountSummary (New)'!S$1,Accounts!$G:$G,'AccountSummary (New)'!S$2,Accounts!$F:$F,'AccountSummary (New)'!S$3,Accounts!$W:$W,0,Accounts!$C:$C,"Customer",Accounts!$H:$H,"&gt;"&amp;60,Accounts!$H:$H,"&lt;="&amp;90)</f>
        <v>0</v>
      </c>
      <c r="T47" s="18">
        <f>SUMIFS(Accounts!$I:$I,Accounts!$E:$E,'AccountSummary (New)'!T$1,Accounts!$G:$G,'AccountSummary (New)'!T$2,Accounts!$F:$F,'AccountSummary (New)'!T$3,Accounts!$W:$W,0,Accounts!$C:$C,"Customer",Accounts!$H:$H,"&gt;"&amp;60,Accounts!$H:$H,"&lt;="&amp;90)</f>
        <v>0</v>
      </c>
      <c r="U47" s="18">
        <f>SUMIFS(Accounts!$I:$I,Accounts!$E:$E,'AccountSummary (New)'!U$1,Accounts!$G:$G,'AccountSummary (New)'!U$2,Accounts!$F:$F,'AccountSummary (New)'!U$3,Accounts!$W:$W,0,Accounts!$C:$C,"Customer",Accounts!$H:$H,"&gt;"&amp;60,Accounts!$H:$H,"&lt;="&amp;90)</f>
        <v>0</v>
      </c>
      <c r="V47" s="18">
        <f>SUMIFS(Accounts!$I:$I,Accounts!$E:$E,'AccountSummary (New)'!V$1,Accounts!$G:$G,'AccountSummary (New)'!V$2,Accounts!$F:$F,'AccountSummary (New)'!V$3,Accounts!$W:$W,0,Accounts!$C:$C,"Customer",Accounts!$H:$H,"&gt;"&amp;60,Accounts!$H:$H,"&lt;="&amp;90)</f>
        <v>0</v>
      </c>
      <c r="W47" s="6">
        <f>SUM(Q47:V47)</f>
        <v>0</v>
      </c>
    </row>
    <row r="48" spans="1:23" x14ac:dyDescent="0.2">
      <c r="A48" s="1" t="s">
        <v>96</v>
      </c>
      <c r="B48" s="10"/>
      <c r="C48" s="18"/>
      <c r="D48" s="18"/>
      <c r="E48" s="18"/>
      <c r="F48" s="18"/>
      <c r="G48" s="18"/>
      <c r="H48" s="18"/>
      <c r="I48" s="6"/>
      <c r="J48" s="18"/>
      <c r="K48" s="18"/>
      <c r="L48" s="18"/>
      <c r="M48" s="18"/>
      <c r="N48" s="18"/>
      <c r="O48" s="18"/>
      <c r="P48" s="6"/>
      <c r="Q48" s="18"/>
      <c r="R48" s="18"/>
      <c r="S48" s="18"/>
      <c r="T48" s="18"/>
      <c r="U48" s="18"/>
      <c r="V48" s="18"/>
      <c r="W48" s="6"/>
    </row>
    <row r="49" spans="1:23" x14ac:dyDescent="0.2">
      <c r="A49" s="1" t="s">
        <v>86</v>
      </c>
      <c r="B49" s="11">
        <f t="shared" ref="B49:W49" si="14">IF(B$19=0,0,(B51+B52)/B$19)</f>
        <v>0</v>
      </c>
      <c r="C49" s="8">
        <f t="shared" si="14"/>
        <v>0</v>
      </c>
      <c r="D49" s="8">
        <f t="shared" si="14"/>
        <v>0</v>
      </c>
      <c r="E49" s="8">
        <f t="shared" si="14"/>
        <v>0</v>
      </c>
      <c r="F49" s="8">
        <f t="shared" si="14"/>
        <v>0</v>
      </c>
      <c r="G49" s="8">
        <f t="shared" si="14"/>
        <v>0</v>
      </c>
      <c r="H49" s="8">
        <f t="shared" si="14"/>
        <v>0</v>
      </c>
      <c r="I49" s="20">
        <f t="shared" si="14"/>
        <v>0</v>
      </c>
      <c r="J49" s="8">
        <f t="shared" si="14"/>
        <v>0</v>
      </c>
      <c r="K49" s="8">
        <f t="shared" si="14"/>
        <v>0</v>
      </c>
      <c r="L49" s="8">
        <f t="shared" si="14"/>
        <v>0</v>
      </c>
      <c r="M49" s="8">
        <f t="shared" si="14"/>
        <v>0</v>
      </c>
      <c r="N49" s="8">
        <f t="shared" si="14"/>
        <v>0</v>
      </c>
      <c r="O49" s="8">
        <f t="shared" si="14"/>
        <v>0</v>
      </c>
      <c r="P49" s="20">
        <f t="shared" si="14"/>
        <v>0</v>
      </c>
      <c r="Q49" s="8">
        <f t="shared" si="14"/>
        <v>0</v>
      </c>
      <c r="R49" s="8">
        <f t="shared" si="14"/>
        <v>0</v>
      </c>
      <c r="S49" s="8">
        <f t="shared" si="14"/>
        <v>0</v>
      </c>
      <c r="T49" s="8">
        <f t="shared" si="14"/>
        <v>0</v>
      </c>
      <c r="U49" s="8">
        <f t="shared" si="14"/>
        <v>0</v>
      </c>
      <c r="V49" s="8">
        <f t="shared" si="14"/>
        <v>0</v>
      </c>
      <c r="W49" s="20">
        <f t="shared" si="14"/>
        <v>0</v>
      </c>
    </row>
    <row r="50" spans="1:23" x14ac:dyDescent="0.2">
      <c r="A50" s="1" t="s">
        <v>87</v>
      </c>
      <c r="B50" s="11">
        <f>IF((B51+B52)=0,0,B51/(B51+B52))</f>
        <v>0</v>
      </c>
      <c r="C50" s="8">
        <f t="shared" ref="C50:W50" si="15">IF((C51+C52)=0,0,C51/(C51+C52))</f>
        <v>0</v>
      </c>
      <c r="D50" s="8">
        <f t="shared" si="15"/>
        <v>0</v>
      </c>
      <c r="E50" s="8">
        <f t="shared" si="15"/>
        <v>0</v>
      </c>
      <c r="F50" s="8">
        <f t="shared" si="15"/>
        <v>0</v>
      </c>
      <c r="G50" s="8">
        <f t="shared" si="15"/>
        <v>0</v>
      </c>
      <c r="H50" s="8">
        <f t="shared" si="15"/>
        <v>0</v>
      </c>
      <c r="I50" s="20">
        <f t="shared" si="15"/>
        <v>0</v>
      </c>
      <c r="J50" s="8">
        <f t="shared" si="15"/>
        <v>0</v>
      </c>
      <c r="K50" s="8">
        <f t="shared" si="15"/>
        <v>0</v>
      </c>
      <c r="L50" s="8">
        <f t="shared" si="15"/>
        <v>0</v>
      </c>
      <c r="M50" s="8">
        <f t="shared" si="15"/>
        <v>0</v>
      </c>
      <c r="N50" s="8">
        <f t="shared" si="15"/>
        <v>0</v>
      </c>
      <c r="O50" s="8">
        <f t="shared" si="15"/>
        <v>0</v>
      </c>
      <c r="P50" s="20">
        <f t="shared" si="15"/>
        <v>0</v>
      </c>
      <c r="Q50" s="8">
        <f t="shared" si="15"/>
        <v>0</v>
      </c>
      <c r="R50" s="8">
        <f t="shared" si="15"/>
        <v>0</v>
      </c>
      <c r="S50" s="8">
        <f t="shared" si="15"/>
        <v>0</v>
      </c>
      <c r="T50" s="8">
        <f t="shared" si="15"/>
        <v>0</v>
      </c>
      <c r="U50" s="8">
        <f t="shared" si="15"/>
        <v>0</v>
      </c>
      <c r="V50" s="8">
        <f t="shared" si="15"/>
        <v>0</v>
      </c>
      <c r="W50" s="20">
        <f t="shared" si="15"/>
        <v>0</v>
      </c>
    </row>
    <row r="51" spans="1:23" x14ac:dyDescent="0.2">
      <c r="A51" s="1" t="s">
        <v>88</v>
      </c>
      <c r="B51" s="9">
        <f>I51+P51+W51</f>
        <v>0</v>
      </c>
      <c r="C51">
        <f>COUNTIFS(Accounts!$E:$E,'AccountSummary (New)'!C$1,Accounts!$G:$G,'AccountSummary (New)'!C$2,Accounts!$F:$F,'AccountSummary (New)'!C$3,Accounts!$B:$B,"Customer",Accounts!$C:$C,"Lost",Accounts!$H:$H,"&gt;"&amp;90,Accounts!$H:$H,"&lt;="&amp;180)</f>
        <v>0</v>
      </c>
      <c r="D51">
        <f>COUNTIFS(Accounts!$E:$E,'AccountSummary (New)'!D$1,Accounts!$G:$G,'AccountSummary (New)'!D$2,Accounts!$F:$F,'AccountSummary (New)'!D$3,Accounts!$B:$B,"Customer",Accounts!$C:$C,"Lost",Accounts!$H:$H,"&gt;"&amp;90,Accounts!$H:$H,"&lt;="&amp;180)</f>
        <v>0</v>
      </c>
      <c r="E51">
        <f>COUNTIFS(Accounts!$E:$E,'AccountSummary (New)'!E$1,Accounts!$G:$G,'AccountSummary (New)'!E$2,Accounts!$F:$F,'AccountSummary (New)'!E$3,Accounts!$B:$B,"Customer",Accounts!$C:$C,"Lost",Accounts!$H:$H,"&gt;"&amp;90,Accounts!$H:$H,"&lt;="&amp;180)</f>
        <v>0</v>
      </c>
      <c r="F51">
        <f>COUNTIFS(Accounts!$E:$E,'AccountSummary (New)'!F$1,Accounts!$G:$G,'AccountSummary (New)'!F$2,Accounts!$F:$F,'AccountSummary (New)'!F$3,Accounts!$B:$B,"Customer",Accounts!$C:$C,"Lost",Accounts!$H:$H,"&gt;"&amp;90,Accounts!$H:$H,"&lt;="&amp;180)</f>
        <v>0</v>
      </c>
      <c r="G51">
        <f>COUNTIFS(Accounts!$E:$E,'AccountSummary (New)'!G$1,Accounts!$G:$G,'AccountSummary (New)'!G$2,Accounts!$F:$F,'AccountSummary (New)'!G$3,Accounts!$B:$B,"Customer",Accounts!$C:$C,"Lost",Accounts!$H:$H,"&gt;"&amp;90,Accounts!$H:$H,"&lt;="&amp;180)</f>
        <v>0</v>
      </c>
      <c r="H51">
        <f>COUNTIFS(Accounts!$E:$E,'AccountSummary (New)'!H$1,Accounts!$G:$G,'AccountSummary (New)'!H$2,Accounts!$F:$F,'AccountSummary (New)'!H$3,Accounts!$B:$B,"Customer",Accounts!$C:$C,"Lost",Accounts!$H:$H,"&gt;"&amp;90,Accounts!$H:$H,"&lt;="&amp;180)</f>
        <v>0</v>
      </c>
      <c r="I51" s="15">
        <f>SUM(C51:H51)</f>
        <v>0</v>
      </c>
      <c r="J51">
        <f>COUNTIFS(Accounts!$E:$E,'AccountSummary (New)'!J$1,Accounts!$G:$G,'AccountSummary (New)'!J$2,Accounts!$F:$F,'AccountSummary (New)'!J$3,Accounts!$B:$B,"Customer",Accounts!$C:$C,"Lost",Accounts!$H:$H,"&gt;"&amp;90,Accounts!$H:$H,"&lt;="&amp;180)</f>
        <v>0</v>
      </c>
      <c r="K51">
        <f>COUNTIFS(Accounts!$E:$E,'AccountSummary (New)'!K$1,Accounts!$G:$G,'AccountSummary (New)'!K$2,Accounts!$F:$F,'AccountSummary (New)'!K$3,Accounts!$B:$B,"Customer",Accounts!$C:$C,"Lost",Accounts!$H:$H,"&gt;"&amp;90,Accounts!$H:$H,"&lt;="&amp;180)</f>
        <v>0</v>
      </c>
      <c r="L51">
        <f>COUNTIFS(Accounts!$E:$E,'AccountSummary (New)'!L$1,Accounts!$G:$G,'AccountSummary (New)'!L$2,Accounts!$F:$F,'AccountSummary (New)'!L$3,Accounts!$B:$B,"Customer",Accounts!$C:$C,"Lost",Accounts!$H:$H,"&gt;"&amp;90,Accounts!$H:$H,"&lt;="&amp;180)</f>
        <v>0</v>
      </c>
      <c r="M51">
        <f>COUNTIFS(Accounts!$E:$E,'AccountSummary (New)'!M$1,Accounts!$G:$G,'AccountSummary (New)'!M$2,Accounts!$F:$F,'AccountSummary (New)'!M$3,Accounts!$B:$B,"Customer",Accounts!$C:$C,"Lost",Accounts!$H:$H,"&gt;"&amp;90,Accounts!$H:$H,"&lt;="&amp;180)</f>
        <v>0</v>
      </c>
      <c r="N51">
        <f>COUNTIFS(Accounts!$E:$E,'AccountSummary (New)'!N$1,Accounts!$G:$G,'AccountSummary (New)'!N$2,Accounts!$F:$F,'AccountSummary (New)'!N$3,Accounts!$B:$B,"Customer",Accounts!$C:$C,"Lost",Accounts!$H:$H,"&gt;"&amp;90,Accounts!$H:$H,"&lt;="&amp;180)</f>
        <v>0</v>
      </c>
      <c r="O51">
        <f>COUNTIFS(Accounts!$E:$E,'AccountSummary (New)'!O$1,Accounts!$G:$G,'AccountSummary (New)'!O$2,Accounts!$F:$F,'AccountSummary (New)'!O$3,Accounts!$B:$B,"Customer",Accounts!$C:$C,"Lost",Accounts!$H:$H,"&gt;"&amp;90,Accounts!$H:$H,"&lt;="&amp;180)</f>
        <v>0</v>
      </c>
      <c r="P51" s="15">
        <f>SUM(J51:O51)</f>
        <v>0</v>
      </c>
      <c r="Q51">
        <f>COUNTIFS(Accounts!$E:$E,'AccountSummary (New)'!Q$1,Accounts!$G:$G,'AccountSummary (New)'!Q$2,Accounts!$F:$F,'AccountSummary (New)'!Q$3,Accounts!$B:$B,"Customer",Accounts!$C:$C,"Lost",Accounts!$H:$H,"&gt;"&amp;90,Accounts!$H:$H,"&lt;="&amp;180)</f>
        <v>0</v>
      </c>
      <c r="R51">
        <f>COUNTIFS(Accounts!$E:$E,'AccountSummary (New)'!R$1,Accounts!$G:$G,'AccountSummary (New)'!R$2,Accounts!$F:$F,'AccountSummary (New)'!R$3,Accounts!$B:$B,"Customer",Accounts!$C:$C,"Lost",Accounts!$H:$H,"&gt;"&amp;90,Accounts!$H:$H,"&lt;="&amp;180)</f>
        <v>0</v>
      </c>
      <c r="S51">
        <f>COUNTIFS(Accounts!$E:$E,'AccountSummary (New)'!S$1,Accounts!$G:$G,'AccountSummary (New)'!S$2,Accounts!$F:$F,'AccountSummary (New)'!S$3,Accounts!$B:$B,"Customer",Accounts!$C:$C,"Lost",Accounts!$H:$H,"&gt;"&amp;90,Accounts!$H:$H,"&lt;="&amp;180)</f>
        <v>0</v>
      </c>
      <c r="T51">
        <f>COUNTIFS(Accounts!$E:$E,'AccountSummary (New)'!T$1,Accounts!$G:$G,'AccountSummary (New)'!T$2,Accounts!$F:$F,'AccountSummary (New)'!T$3,Accounts!$B:$B,"Customer",Accounts!$C:$C,"Lost",Accounts!$H:$H,"&gt;"&amp;90,Accounts!$H:$H,"&lt;="&amp;180)</f>
        <v>0</v>
      </c>
      <c r="U51">
        <f>COUNTIFS(Accounts!$E:$E,'AccountSummary (New)'!U$1,Accounts!$G:$G,'AccountSummary (New)'!U$2,Accounts!$F:$F,'AccountSummary (New)'!U$3,Accounts!$B:$B,"Customer",Accounts!$C:$C,"Lost",Accounts!$H:$H,"&gt;"&amp;90,Accounts!$H:$H,"&lt;="&amp;180)</f>
        <v>0</v>
      </c>
      <c r="V51">
        <f>COUNTIFS(Accounts!$E:$E,'AccountSummary (New)'!V$1,Accounts!$G:$G,'AccountSummary (New)'!V$2,Accounts!$F:$F,'AccountSummary (New)'!V$3,Accounts!$B:$B,"Customer",Accounts!$C:$C,"Lost",Accounts!$H:$H,"&gt;"&amp;90,Accounts!$H:$H,"&lt;="&amp;180)</f>
        <v>0</v>
      </c>
      <c r="W51" s="15">
        <f>SUM(Q51:V51)</f>
        <v>0</v>
      </c>
    </row>
    <row r="52" spans="1:23" x14ac:dyDescent="0.2">
      <c r="A52" s="1" t="s">
        <v>89</v>
      </c>
      <c r="B52" s="9">
        <f>I52+P52+W52</f>
        <v>0</v>
      </c>
      <c r="C52">
        <f>COUNTIFS(Accounts!$E:$E,'AccountSummary (New)'!C$1,Accounts!$G:$G,'AccountSummary (New)'!C$2,Accounts!$F:$F,'AccountSummary (New)'!C$3,Accounts!$B:$B,"Customer",Accounts!$C:$C,"Customer",Accounts!$H:$H,"&gt;"&amp;90,Accounts!$H:$H,"&lt;="&amp;180)</f>
        <v>0</v>
      </c>
      <c r="D52">
        <f>COUNTIFS(Accounts!$E:$E,'AccountSummary (New)'!D$1,Accounts!$G:$G,'AccountSummary (New)'!D$2,Accounts!$F:$F,'AccountSummary (New)'!D$3,Accounts!$B:$B,"Customer",Accounts!$C:$C,"Customer",Accounts!$H:$H,"&gt;"&amp;90,Accounts!$H:$H,"&lt;="&amp;180)</f>
        <v>0</v>
      </c>
      <c r="E52">
        <f>COUNTIFS(Accounts!$E:$E,'AccountSummary (New)'!E$1,Accounts!$G:$G,'AccountSummary (New)'!E$2,Accounts!$F:$F,'AccountSummary (New)'!E$3,Accounts!$B:$B,"Customer",Accounts!$C:$C,"Customer",Accounts!$H:$H,"&gt;"&amp;90,Accounts!$H:$H,"&lt;="&amp;180)</f>
        <v>0</v>
      </c>
      <c r="F52">
        <f>COUNTIFS(Accounts!$E:$E,'AccountSummary (New)'!F$1,Accounts!$G:$G,'AccountSummary (New)'!F$2,Accounts!$F:$F,'AccountSummary (New)'!F$3,Accounts!$B:$B,"Customer",Accounts!$C:$C,"Customer",Accounts!$H:$H,"&gt;"&amp;90,Accounts!$H:$H,"&lt;="&amp;180)</f>
        <v>0</v>
      </c>
      <c r="G52">
        <f>COUNTIFS(Accounts!$E:$E,'AccountSummary (New)'!G$1,Accounts!$G:$G,'AccountSummary (New)'!G$2,Accounts!$F:$F,'AccountSummary (New)'!G$3,Accounts!$B:$B,"Customer",Accounts!$C:$C,"Customer",Accounts!$H:$H,"&gt;"&amp;90,Accounts!$H:$H,"&lt;="&amp;180)</f>
        <v>0</v>
      </c>
      <c r="H52">
        <f>COUNTIFS(Accounts!$E:$E,'AccountSummary (New)'!H$1,Accounts!$G:$G,'AccountSummary (New)'!H$2,Accounts!$F:$F,'AccountSummary (New)'!H$3,Accounts!$B:$B,"Customer",Accounts!$C:$C,"Customer",Accounts!$H:$H,"&gt;"&amp;90,Accounts!$H:$H,"&lt;="&amp;180)</f>
        <v>0</v>
      </c>
      <c r="I52" s="15">
        <f>SUM(C52:H52)</f>
        <v>0</v>
      </c>
      <c r="J52">
        <f>COUNTIFS(Accounts!$E:$E,'AccountSummary (New)'!J$1,Accounts!$G:$G,'AccountSummary (New)'!J$2,Accounts!$F:$F,'AccountSummary (New)'!J$3,Accounts!$B:$B,"Customer",Accounts!$C:$C,"Customer",Accounts!$H:$H,"&gt;"&amp;90,Accounts!$H:$H,"&lt;="&amp;180)</f>
        <v>0</v>
      </c>
      <c r="K52">
        <f>COUNTIFS(Accounts!$E:$E,'AccountSummary (New)'!K$1,Accounts!$G:$G,'AccountSummary (New)'!K$2,Accounts!$F:$F,'AccountSummary (New)'!K$3,Accounts!$B:$B,"Customer",Accounts!$C:$C,"Customer",Accounts!$H:$H,"&gt;"&amp;90,Accounts!$H:$H,"&lt;="&amp;180)</f>
        <v>0</v>
      </c>
      <c r="L52">
        <f>COUNTIFS(Accounts!$E:$E,'AccountSummary (New)'!L$1,Accounts!$G:$G,'AccountSummary (New)'!L$2,Accounts!$F:$F,'AccountSummary (New)'!L$3,Accounts!$B:$B,"Customer",Accounts!$C:$C,"Customer",Accounts!$H:$H,"&gt;"&amp;90,Accounts!$H:$H,"&lt;="&amp;180)</f>
        <v>0</v>
      </c>
      <c r="M52">
        <f>COUNTIFS(Accounts!$E:$E,'AccountSummary (New)'!M$1,Accounts!$G:$G,'AccountSummary (New)'!M$2,Accounts!$F:$F,'AccountSummary (New)'!M$3,Accounts!$B:$B,"Customer",Accounts!$C:$C,"Customer",Accounts!$H:$H,"&gt;"&amp;90,Accounts!$H:$H,"&lt;="&amp;180)</f>
        <v>0</v>
      </c>
      <c r="N52">
        <f>COUNTIFS(Accounts!$E:$E,'AccountSummary (New)'!N$1,Accounts!$G:$G,'AccountSummary (New)'!N$2,Accounts!$F:$F,'AccountSummary (New)'!N$3,Accounts!$B:$B,"Customer",Accounts!$C:$C,"Customer",Accounts!$H:$H,"&gt;"&amp;90,Accounts!$H:$H,"&lt;="&amp;180)</f>
        <v>0</v>
      </c>
      <c r="O52">
        <f>COUNTIFS(Accounts!$E:$E,'AccountSummary (New)'!O$1,Accounts!$G:$G,'AccountSummary (New)'!O$2,Accounts!$F:$F,'AccountSummary (New)'!O$3,Accounts!$B:$B,"Customer",Accounts!$C:$C,"Customer",Accounts!$H:$H,"&gt;"&amp;90,Accounts!$H:$H,"&lt;="&amp;180)</f>
        <v>0</v>
      </c>
      <c r="P52" s="15">
        <f>SUM(J52:O52)</f>
        <v>0</v>
      </c>
      <c r="Q52">
        <f>COUNTIFS(Accounts!$E:$E,'AccountSummary (New)'!Q$1,Accounts!$G:$G,'AccountSummary (New)'!Q$2,Accounts!$F:$F,'AccountSummary (New)'!Q$3,Accounts!$B:$B,"Customer",Accounts!$C:$C,"Customer",Accounts!$H:$H,"&gt;"&amp;90,Accounts!$H:$H,"&lt;="&amp;180)</f>
        <v>0</v>
      </c>
      <c r="R52">
        <f>COUNTIFS(Accounts!$E:$E,'AccountSummary (New)'!R$1,Accounts!$G:$G,'AccountSummary (New)'!R$2,Accounts!$F:$F,'AccountSummary (New)'!R$3,Accounts!$B:$B,"Customer",Accounts!$C:$C,"Customer",Accounts!$H:$H,"&gt;"&amp;90,Accounts!$H:$H,"&lt;="&amp;180)</f>
        <v>0</v>
      </c>
      <c r="S52">
        <f>COUNTIFS(Accounts!$E:$E,'AccountSummary (New)'!S$1,Accounts!$G:$G,'AccountSummary (New)'!S$2,Accounts!$F:$F,'AccountSummary (New)'!S$3,Accounts!$B:$B,"Customer",Accounts!$C:$C,"Customer",Accounts!$H:$H,"&gt;"&amp;90,Accounts!$H:$H,"&lt;="&amp;180)</f>
        <v>0</v>
      </c>
      <c r="T52">
        <f>COUNTIFS(Accounts!$E:$E,'AccountSummary (New)'!T$1,Accounts!$G:$G,'AccountSummary (New)'!T$2,Accounts!$F:$F,'AccountSummary (New)'!T$3,Accounts!$B:$B,"Customer",Accounts!$C:$C,"Customer",Accounts!$H:$H,"&gt;"&amp;90,Accounts!$H:$H,"&lt;="&amp;180)</f>
        <v>0</v>
      </c>
      <c r="U52">
        <f>COUNTIFS(Accounts!$E:$E,'AccountSummary (New)'!U$1,Accounts!$G:$G,'AccountSummary (New)'!U$2,Accounts!$F:$F,'AccountSummary (New)'!U$3,Accounts!$B:$B,"Customer",Accounts!$C:$C,"Customer",Accounts!$H:$H,"&gt;"&amp;90,Accounts!$H:$H,"&lt;="&amp;180)</f>
        <v>0</v>
      </c>
      <c r="V52">
        <f>COUNTIFS(Accounts!$E:$E,'AccountSummary (New)'!V$1,Accounts!$G:$G,'AccountSummary (New)'!V$2,Accounts!$F:$F,'AccountSummary (New)'!V$3,Accounts!$B:$B,"Customer",Accounts!$C:$C,"Customer",Accounts!$H:$H,"&gt;"&amp;90,Accounts!$H:$H,"&lt;="&amp;180)</f>
        <v>0</v>
      </c>
      <c r="W52" s="15">
        <f>SUM(Q52:V52)</f>
        <v>0</v>
      </c>
    </row>
    <row r="53" spans="1:23" x14ac:dyDescent="0.2">
      <c r="A53" s="2" t="s">
        <v>90</v>
      </c>
      <c r="B53" s="13">
        <f>IF(B52=0,0,SUMIFS(Accounts!$L:$L,Accounts!$W:$W,0,Accounts!$C:$C,"Customer",Accounts!$H:$H,"&gt;"&amp;60,Accounts!$H:$H,"&lt;="&amp;90)/B52)</f>
        <v>0</v>
      </c>
      <c r="C53" s="4">
        <f>IF(C52=0,0,SUMIFS(Accounts!$L:$L,Accounts!$E:$E,'AccountSummary (New)'!C$1,Accounts!$G:$G,'AccountSummary (New)'!C$2,Accounts!$F:$F,'AccountSummary (New)'!C$3,Accounts!$W:$W,0,Accounts!$C:$C,"Customer",Accounts!$H:$H,"&gt;"&amp;90,Accounts!$H:$H,"&lt;="&amp;180)/C52)</f>
        <v>0</v>
      </c>
      <c r="D53" s="4">
        <f>IF(D52=0,0,SUMIFS(Accounts!$L:$L,Accounts!$E:$E,'AccountSummary (New)'!D$1,Accounts!$G:$G,'AccountSummary (New)'!D$2,Accounts!$F:$F,'AccountSummary (New)'!D$3,Accounts!$W:$W,0,Accounts!$C:$C,"Customer",Accounts!$H:$H,"&gt;"&amp;90,Accounts!$H:$H,"&lt;="&amp;180)/D52)</f>
        <v>0</v>
      </c>
      <c r="E53" s="4">
        <f>IF(E52=0,0,SUMIFS(Accounts!$L:$L,Accounts!$E:$E,'AccountSummary (New)'!E$1,Accounts!$G:$G,'AccountSummary (New)'!E$2,Accounts!$F:$F,'AccountSummary (New)'!E$3,Accounts!$W:$W,0,Accounts!$C:$C,"Customer",Accounts!$H:$H,"&gt;"&amp;90,Accounts!$H:$H,"&lt;="&amp;180)/E52)</f>
        <v>0</v>
      </c>
      <c r="F53" s="4">
        <f>IF(F52=0,0,SUMIFS(Accounts!$L:$L,Accounts!$E:$E,'AccountSummary (New)'!F$1,Accounts!$G:$G,'AccountSummary (New)'!F$2,Accounts!$F:$F,'AccountSummary (New)'!F$3,Accounts!$W:$W,0,Accounts!$C:$C,"Customer",Accounts!$H:$H,"&gt;"&amp;90,Accounts!$H:$H,"&lt;="&amp;180)/F52)</f>
        <v>0</v>
      </c>
      <c r="G53" s="4">
        <f>IF(G52=0,0,SUMIFS(Accounts!$L:$L,Accounts!$E:$E,'AccountSummary (New)'!G$1,Accounts!$G:$G,'AccountSummary (New)'!G$2,Accounts!$F:$F,'AccountSummary (New)'!G$3,Accounts!$W:$W,0,Accounts!$C:$C,"Customer",Accounts!$H:$H,"&gt;"&amp;90,Accounts!$H:$H,"&lt;="&amp;180)/G52)</f>
        <v>0</v>
      </c>
      <c r="H53" s="4">
        <f>IF(H52=0,0,SUMIFS(Accounts!$L:$L,Accounts!$E:$E,'AccountSummary (New)'!H$1,Accounts!$G:$G,'AccountSummary (New)'!H$2,Accounts!$F:$F,'AccountSummary (New)'!H$3,Accounts!$W:$W,0,Accounts!$C:$C,"Customer",Accounts!$H:$H,"&gt;"&amp;90,Accounts!$H:$H,"&lt;="&amp;180)/H52)</f>
        <v>0</v>
      </c>
      <c r="I53" s="5">
        <f>IF(I52=0,0,SUMIFS(Accounts!$L:$L,Accounts!$F:$F,'AccountSummary (New)'!I$3,Accounts!$W:$W,0,Accounts!$C:$C,"Customer",Accounts!$H:$H,"&gt;"&amp;90,Accounts!$H:$H,"&lt;="&amp;180)/I52)</f>
        <v>0</v>
      </c>
      <c r="J53" s="4">
        <f>IF(J52=0,0,SUMIFS(Accounts!$L:$L,Accounts!$E:$E,'AccountSummary (New)'!J$1,Accounts!$G:$G,'AccountSummary (New)'!J$2,Accounts!$F:$F,'AccountSummary (New)'!J$3,Accounts!$W:$W,0,Accounts!$C:$C,"Customer",Accounts!$H:$H,"&gt;"&amp;90,Accounts!$H:$H,"&lt;="&amp;180)/J52)</f>
        <v>0</v>
      </c>
      <c r="K53" s="4">
        <f>IF(K52=0,0,SUMIFS(Accounts!$L:$L,Accounts!$E:$E,'AccountSummary (New)'!K$1,Accounts!$G:$G,'AccountSummary (New)'!K$2,Accounts!$F:$F,'AccountSummary (New)'!K$3,Accounts!$W:$W,0,Accounts!$C:$C,"Customer",Accounts!$H:$H,"&gt;"&amp;90,Accounts!$H:$H,"&lt;="&amp;180)/K52)</f>
        <v>0</v>
      </c>
      <c r="L53" s="4">
        <f>IF(L52=0,0,SUMIFS(Accounts!$L:$L,Accounts!$E:$E,'AccountSummary (New)'!L$1,Accounts!$G:$G,'AccountSummary (New)'!L$2,Accounts!$F:$F,'AccountSummary (New)'!L$3,Accounts!$W:$W,0,Accounts!$C:$C,"Customer",Accounts!$H:$H,"&gt;"&amp;90,Accounts!$H:$H,"&lt;="&amp;180)/L52)</f>
        <v>0</v>
      </c>
      <c r="M53" s="4">
        <f>IF(M52=0,0,SUMIFS(Accounts!$L:$L,Accounts!$E:$E,'AccountSummary (New)'!M$1,Accounts!$G:$G,'AccountSummary (New)'!M$2,Accounts!$F:$F,'AccountSummary (New)'!M$3,Accounts!$W:$W,0,Accounts!$C:$C,"Customer",Accounts!$H:$H,"&gt;"&amp;90,Accounts!$H:$H,"&lt;="&amp;180)/M52)</f>
        <v>0</v>
      </c>
      <c r="N53" s="4">
        <f>IF(N52=0,0,SUMIFS(Accounts!$L:$L,Accounts!$E:$E,'AccountSummary (New)'!N$1,Accounts!$G:$G,'AccountSummary (New)'!N$2,Accounts!$F:$F,'AccountSummary (New)'!N$3,Accounts!$W:$W,0,Accounts!$C:$C,"Customer",Accounts!$H:$H,"&gt;"&amp;90,Accounts!$H:$H,"&lt;="&amp;180)/N52)</f>
        <v>0</v>
      </c>
      <c r="O53" s="4">
        <f>IF(O52=0,0,SUMIFS(Accounts!$L:$L,Accounts!$E:$E,'AccountSummary (New)'!O$1,Accounts!$G:$G,'AccountSummary (New)'!O$2,Accounts!$F:$F,'AccountSummary (New)'!O$3,Accounts!$W:$W,0,Accounts!$C:$C,"Customer",Accounts!$H:$H,"&gt;"&amp;90,Accounts!$H:$H,"&lt;="&amp;180)/O52)</f>
        <v>0</v>
      </c>
      <c r="P53" s="5">
        <f>IF(P52=0,0,SUMIFS(Accounts!$L:$L,Accounts!$F:$F,'AccountSummary (New)'!P$3,Accounts!$W:$W,0,Accounts!$C:$C,"Customer",Accounts!$H:$H,"&gt;"&amp;90,Accounts!$H:$H,"&lt;="&amp;180)/P52)</f>
        <v>0</v>
      </c>
      <c r="Q53" s="4">
        <f>IF(Q52=0,0,SUMIFS(Accounts!$L:$L,Accounts!$E:$E,'AccountSummary (New)'!Q$1,Accounts!$G:$G,'AccountSummary (New)'!Q$2,Accounts!$F:$F,'AccountSummary (New)'!Q$3,Accounts!$W:$W,0,Accounts!$C:$C,"Customer",Accounts!$H:$H,"&gt;"&amp;90,Accounts!$H:$H,"&lt;="&amp;180)/Q52)</f>
        <v>0</v>
      </c>
      <c r="R53" s="4">
        <f>IF(R52=0,0,SUMIFS(Accounts!$L:$L,Accounts!$E:$E,'AccountSummary (New)'!R$1,Accounts!$G:$G,'AccountSummary (New)'!R$2,Accounts!$F:$F,'AccountSummary (New)'!R$3,Accounts!$W:$W,0,Accounts!$C:$C,"Customer",Accounts!$H:$H,"&gt;"&amp;90,Accounts!$H:$H,"&lt;="&amp;180)/R52)</f>
        <v>0</v>
      </c>
      <c r="S53" s="4">
        <f>IF(S52=0,0,SUMIFS(Accounts!$L:$L,Accounts!$E:$E,'AccountSummary (New)'!S$1,Accounts!$G:$G,'AccountSummary (New)'!S$2,Accounts!$F:$F,'AccountSummary (New)'!S$3,Accounts!$W:$W,0,Accounts!$C:$C,"Customer",Accounts!$H:$H,"&gt;"&amp;90,Accounts!$H:$H,"&lt;="&amp;180)/S52)</f>
        <v>0</v>
      </c>
      <c r="T53" s="4">
        <f>IF(T52=0,0,SUMIFS(Accounts!$L:$L,Accounts!$E:$E,'AccountSummary (New)'!T$1,Accounts!$G:$G,'AccountSummary (New)'!T$2,Accounts!$F:$F,'AccountSummary (New)'!T$3,Accounts!$W:$W,0,Accounts!$C:$C,"Customer",Accounts!$H:$H,"&gt;"&amp;90,Accounts!$H:$H,"&lt;="&amp;180)/T52)</f>
        <v>0</v>
      </c>
      <c r="U53" s="4">
        <f>IF(U52=0,0,SUMIFS(Accounts!$L:$L,Accounts!$E:$E,'AccountSummary (New)'!U$1,Accounts!$G:$G,'AccountSummary (New)'!U$2,Accounts!$F:$F,'AccountSummary (New)'!U$3,Accounts!$W:$W,0,Accounts!$C:$C,"Customer",Accounts!$H:$H,"&gt;"&amp;90,Accounts!$H:$H,"&lt;="&amp;180)/U52)</f>
        <v>0</v>
      </c>
      <c r="V53" s="4">
        <f>IF(V52=0,0,SUMIFS(Accounts!$L:$L,Accounts!$E:$E,'AccountSummary (New)'!V$1,Accounts!$G:$G,'AccountSummary (New)'!V$2,Accounts!$F:$F,'AccountSummary (New)'!V$3,Accounts!$W:$W,0,Accounts!$C:$C,"Customer",Accounts!$H:$H,"&gt;"&amp;90,Accounts!$H:$H,"&lt;="&amp;180)/V52)</f>
        <v>0</v>
      </c>
      <c r="W53" s="5">
        <f>IF(W52=0,0,SUMIFS(Accounts!$L:$L,Accounts!$F:$F,'AccountSummary (New)'!W$3,Accounts!$W:$W,0,Accounts!$C:$C,"Customer",Accounts!$H:$H,"&gt;"&amp;90,Accounts!$H:$H,"&lt;="&amp;180)/W52)</f>
        <v>0</v>
      </c>
    </row>
    <row r="54" spans="1:23" x14ac:dyDescent="0.2">
      <c r="A54" s="2" t="s">
        <v>91</v>
      </c>
      <c r="B54" s="13">
        <f>IF(B52=0,0,SUMIFS(Accounts!$M:$M,Accounts!$W:$W,0,Accounts!$C:$C,"Customer",Accounts!$H:$H,"&gt;"&amp;60,Accounts!$H:$H,"&lt;="&amp;90)/B52)</f>
        <v>0</v>
      </c>
      <c r="C54" s="4">
        <f>IF(C52=0,0,SUMIFS(Accounts!$M:$M,Accounts!$E:$E,'AccountSummary (New)'!C$1,Accounts!$G:$G,'AccountSummary (New)'!C$2,Accounts!$F:$F,'AccountSummary (New)'!C$3,Accounts!$W:$W,0,Accounts!$C:$C,"Customer",Accounts!$H:$H,"&gt;"&amp;90,Accounts!$H:$H,"&lt;="&amp;180)/C52)</f>
        <v>0</v>
      </c>
      <c r="D54" s="4">
        <f>IF(D52=0,0,SUMIFS(Accounts!$M:$M,Accounts!$E:$E,'AccountSummary (New)'!D$1,Accounts!$G:$G,'AccountSummary (New)'!D$2,Accounts!$F:$F,'AccountSummary (New)'!D$3,Accounts!$W:$W,0,Accounts!$C:$C,"Customer",Accounts!$H:$H,"&gt;"&amp;90,Accounts!$H:$H,"&lt;="&amp;180)/D52)</f>
        <v>0</v>
      </c>
      <c r="E54" s="4">
        <f>IF(E52=0,0,SUMIFS(Accounts!$M:$M,Accounts!$E:$E,'AccountSummary (New)'!E$1,Accounts!$G:$G,'AccountSummary (New)'!E$2,Accounts!$F:$F,'AccountSummary (New)'!E$3,Accounts!$W:$W,0,Accounts!$C:$C,"Customer",Accounts!$H:$H,"&gt;"&amp;90,Accounts!$H:$H,"&lt;="&amp;180)/E52)</f>
        <v>0</v>
      </c>
      <c r="F54" s="4">
        <f>IF(F52=0,0,SUMIFS(Accounts!$M:$M,Accounts!$E:$E,'AccountSummary (New)'!F$1,Accounts!$G:$G,'AccountSummary (New)'!F$2,Accounts!$F:$F,'AccountSummary (New)'!F$3,Accounts!$W:$W,0,Accounts!$C:$C,"Customer",Accounts!$H:$H,"&gt;"&amp;90,Accounts!$H:$H,"&lt;="&amp;180)/F52)</f>
        <v>0</v>
      </c>
      <c r="G54" s="4">
        <f>IF(G52=0,0,SUMIFS(Accounts!$M:$M,Accounts!$E:$E,'AccountSummary (New)'!G$1,Accounts!$G:$G,'AccountSummary (New)'!G$2,Accounts!$F:$F,'AccountSummary (New)'!G$3,Accounts!$W:$W,0,Accounts!$C:$C,"Customer",Accounts!$H:$H,"&gt;"&amp;90,Accounts!$H:$H,"&lt;="&amp;180)/G52)</f>
        <v>0</v>
      </c>
      <c r="H54" s="4">
        <f>IF(H52=0,0,SUMIFS(Accounts!$M:$M,Accounts!$E:$E,'AccountSummary (New)'!H$1,Accounts!$G:$G,'AccountSummary (New)'!H$2,Accounts!$F:$F,'AccountSummary (New)'!H$3,Accounts!$W:$W,0,Accounts!$C:$C,"Customer",Accounts!$H:$H,"&gt;"&amp;90,Accounts!$H:$H,"&lt;="&amp;180)/H52)</f>
        <v>0</v>
      </c>
      <c r="I54" s="5">
        <f>IF(I52=0,0,SUMIFS(Accounts!$M:$M,Accounts!$F:$F,'AccountSummary (New)'!I$3,Accounts!$W:$W,0,Accounts!$C:$C,"Customer",Accounts!$H:$H,"&gt;"&amp;90,Accounts!$H:$H,"&lt;="&amp;180)/I52)</f>
        <v>0</v>
      </c>
      <c r="J54" s="4">
        <f>IF(J52=0,0,SUMIFS(Accounts!$M:$M,Accounts!$E:$E,'AccountSummary (New)'!J$1,Accounts!$G:$G,'AccountSummary (New)'!J$2,Accounts!$F:$F,'AccountSummary (New)'!J$3,Accounts!$W:$W,0,Accounts!$C:$C,"Customer",Accounts!$H:$H,"&gt;"&amp;90,Accounts!$H:$H,"&lt;="&amp;180)/J52)</f>
        <v>0</v>
      </c>
      <c r="K54" s="4">
        <f>IF(K52=0,0,SUMIFS(Accounts!$M:$M,Accounts!$E:$E,'AccountSummary (New)'!K$1,Accounts!$G:$G,'AccountSummary (New)'!K$2,Accounts!$F:$F,'AccountSummary (New)'!K$3,Accounts!$W:$W,0,Accounts!$C:$C,"Customer",Accounts!$H:$H,"&gt;"&amp;90,Accounts!$H:$H,"&lt;="&amp;180)/K52)</f>
        <v>0</v>
      </c>
      <c r="L54" s="4">
        <f>IF(L52=0,0,SUMIFS(Accounts!$M:$M,Accounts!$E:$E,'AccountSummary (New)'!L$1,Accounts!$G:$G,'AccountSummary (New)'!L$2,Accounts!$F:$F,'AccountSummary (New)'!L$3,Accounts!$W:$W,0,Accounts!$C:$C,"Customer",Accounts!$H:$H,"&gt;"&amp;90,Accounts!$H:$H,"&lt;="&amp;180)/L52)</f>
        <v>0</v>
      </c>
      <c r="M54" s="4">
        <f>IF(M52=0,0,SUMIFS(Accounts!$M:$M,Accounts!$E:$E,'AccountSummary (New)'!M$1,Accounts!$G:$G,'AccountSummary (New)'!M$2,Accounts!$F:$F,'AccountSummary (New)'!M$3,Accounts!$W:$W,0,Accounts!$C:$C,"Customer",Accounts!$H:$H,"&gt;"&amp;90,Accounts!$H:$H,"&lt;="&amp;180)/M52)</f>
        <v>0</v>
      </c>
      <c r="N54" s="4">
        <f>IF(N52=0,0,SUMIFS(Accounts!$M:$M,Accounts!$E:$E,'AccountSummary (New)'!N$1,Accounts!$G:$G,'AccountSummary (New)'!N$2,Accounts!$F:$F,'AccountSummary (New)'!N$3,Accounts!$W:$W,0,Accounts!$C:$C,"Customer",Accounts!$H:$H,"&gt;"&amp;90,Accounts!$H:$H,"&lt;="&amp;180)/N52)</f>
        <v>0</v>
      </c>
      <c r="O54" s="4">
        <f>IF(O52=0,0,SUMIFS(Accounts!$M:$M,Accounts!$E:$E,'AccountSummary (New)'!O$1,Accounts!$G:$G,'AccountSummary (New)'!O$2,Accounts!$F:$F,'AccountSummary (New)'!O$3,Accounts!$W:$W,0,Accounts!$C:$C,"Customer",Accounts!$H:$H,"&gt;"&amp;90,Accounts!$H:$H,"&lt;="&amp;180)/O52)</f>
        <v>0</v>
      </c>
      <c r="P54" s="5">
        <f>IF(P52=0,0,SUMIFS(Accounts!$M:$M,Accounts!$F:$F,'AccountSummary (New)'!P$3,Accounts!$W:$W,0,Accounts!$C:$C,"Customer",Accounts!$H:$H,"&gt;"&amp;90,Accounts!$H:$H,"&lt;="&amp;180)/P52)</f>
        <v>0</v>
      </c>
      <c r="Q54" s="4">
        <f>IF(Q52=0,0,SUMIFS(Accounts!$M:$M,Accounts!$E:$E,'AccountSummary (New)'!Q$1,Accounts!$G:$G,'AccountSummary (New)'!Q$2,Accounts!$F:$F,'AccountSummary (New)'!Q$3,Accounts!$W:$W,0,Accounts!$C:$C,"Customer",Accounts!$H:$H,"&gt;"&amp;90,Accounts!$H:$H,"&lt;="&amp;180)/Q52)</f>
        <v>0</v>
      </c>
      <c r="R54" s="4">
        <f>IF(R52=0,0,SUMIFS(Accounts!$M:$M,Accounts!$E:$E,'AccountSummary (New)'!R$1,Accounts!$G:$G,'AccountSummary (New)'!R$2,Accounts!$F:$F,'AccountSummary (New)'!R$3,Accounts!$W:$W,0,Accounts!$C:$C,"Customer",Accounts!$H:$H,"&gt;"&amp;90,Accounts!$H:$H,"&lt;="&amp;180)/R52)</f>
        <v>0</v>
      </c>
      <c r="S54" s="4">
        <f>IF(S52=0,0,SUMIFS(Accounts!$M:$M,Accounts!$E:$E,'AccountSummary (New)'!S$1,Accounts!$G:$G,'AccountSummary (New)'!S$2,Accounts!$F:$F,'AccountSummary (New)'!S$3,Accounts!$W:$W,0,Accounts!$C:$C,"Customer",Accounts!$H:$H,"&gt;"&amp;90,Accounts!$H:$H,"&lt;="&amp;180)/S52)</f>
        <v>0</v>
      </c>
      <c r="T54" s="4">
        <f>IF(T52=0,0,SUMIFS(Accounts!$M:$M,Accounts!$E:$E,'AccountSummary (New)'!T$1,Accounts!$G:$G,'AccountSummary (New)'!T$2,Accounts!$F:$F,'AccountSummary (New)'!T$3,Accounts!$W:$W,0,Accounts!$C:$C,"Customer",Accounts!$H:$H,"&gt;"&amp;90,Accounts!$H:$H,"&lt;="&amp;180)/T52)</f>
        <v>0</v>
      </c>
      <c r="U54" s="4">
        <f>IF(U52=0,0,SUMIFS(Accounts!$M:$M,Accounts!$E:$E,'AccountSummary (New)'!U$1,Accounts!$G:$G,'AccountSummary (New)'!U$2,Accounts!$F:$F,'AccountSummary (New)'!U$3,Accounts!$W:$W,0,Accounts!$C:$C,"Customer",Accounts!$H:$H,"&gt;"&amp;90,Accounts!$H:$H,"&lt;="&amp;180)/U52)</f>
        <v>0</v>
      </c>
      <c r="V54" s="4">
        <f>IF(V52=0,0,SUMIFS(Accounts!$M:$M,Accounts!$E:$E,'AccountSummary (New)'!V$1,Accounts!$G:$G,'AccountSummary (New)'!V$2,Accounts!$F:$F,'AccountSummary (New)'!V$3,Accounts!$W:$W,0,Accounts!$C:$C,"Customer",Accounts!$H:$H,"&gt;"&amp;90,Accounts!$H:$H,"&lt;="&amp;180)/V52)</f>
        <v>0</v>
      </c>
      <c r="W54" s="5">
        <f>IF(W52=0,0,SUMIFS(Accounts!$M:$M,Accounts!$F:$F,'AccountSummary (New)'!W$3,Accounts!$W:$W,0,Accounts!$C:$C,"Customer",Accounts!$H:$H,"&gt;"&amp;90,Accounts!$H:$H,"&lt;="&amp;180)/W52)</f>
        <v>0</v>
      </c>
    </row>
    <row r="55" spans="1:23" x14ac:dyDescent="0.2">
      <c r="A55" s="1" t="s">
        <v>92</v>
      </c>
      <c r="B55" s="10">
        <f>IF(B52=0,0,B56/B52)</f>
        <v>0</v>
      </c>
      <c r="C55" s="18">
        <f t="shared" ref="C55:W55" si="16">IF(C52=0,0,C56/C52)</f>
        <v>0</v>
      </c>
      <c r="D55" s="18">
        <f t="shared" si="16"/>
        <v>0</v>
      </c>
      <c r="E55" s="18">
        <f t="shared" si="16"/>
        <v>0</v>
      </c>
      <c r="F55" s="18">
        <f t="shared" si="16"/>
        <v>0</v>
      </c>
      <c r="G55" s="18">
        <f t="shared" si="16"/>
        <v>0</v>
      </c>
      <c r="H55" s="18">
        <f t="shared" si="16"/>
        <v>0</v>
      </c>
      <c r="I55" s="6">
        <f t="shared" si="16"/>
        <v>0</v>
      </c>
      <c r="J55" s="18">
        <f t="shared" si="16"/>
        <v>0</v>
      </c>
      <c r="K55" s="18">
        <f t="shared" si="16"/>
        <v>0</v>
      </c>
      <c r="L55" s="18">
        <f t="shared" si="16"/>
        <v>0</v>
      </c>
      <c r="M55" s="18">
        <f t="shared" si="16"/>
        <v>0</v>
      </c>
      <c r="N55" s="18">
        <f t="shared" si="16"/>
        <v>0</v>
      </c>
      <c r="O55" s="18">
        <f t="shared" si="16"/>
        <v>0</v>
      </c>
      <c r="P55" s="6">
        <f t="shared" si="16"/>
        <v>0</v>
      </c>
      <c r="Q55" s="18">
        <f t="shared" si="16"/>
        <v>0</v>
      </c>
      <c r="R55" s="18">
        <f t="shared" si="16"/>
        <v>0</v>
      </c>
      <c r="S55" s="18">
        <f t="shared" si="16"/>
        <v>0</v>
      </c>
      <c r="T55" s="18">
        <f t="shared" si="16"/>
        <v>0</v>
      </c>
      <c r="U55" s="18">
        <f t="shared" si="16"/>
        <v>0</v>
      </c>
      <c r="V55" s="18">
        <f t="shared" si="16"/>
        <v>0</v>
      </c>
      <c r="W55" s="6">
        <f t="shared" si="16"/>
        <v>0</v>
      </c>
    </row>
    <row r="56" spans="1:23" x14ac:dyDescent="0.2">
      <c r="A56" s="1" t="s">
        <v>93</v>
      </c>
      <c r="B56" s="10">
        <f>I56+P56+W56</f>
        <v>0</v>
      </c>
      <c r="C56" s="18">
        <f>SUMIFS(Accounts!$I:$I,Accounts!$E:$E,'AccountSummary (New)'!C$1,Accounts!$G:$G,'AccountSummary (New)'!C$2,Accounts!$F:$F,'AccountSummary (New)'!C$3,Accounts!$W:$W,0,Accounts!$C:$C,"Customer",Accounts!$H:$H,"&gt;"&amp;90,Accounts!$H:$H,"&lt;="&amp;180)</f>
        <v>0</v>
      </c>
      <c r="D56" s="18">
        <f>SUMIFS(Accounts!$I:$I,Accounts!$E:$E,'AccountSummary (New)'!D$1,Accounts!$G:$G,'AccountSummary (New)'!D$2,Accounts!$F:$F,'AccountSummary (New)'!D$3,Accounts!$W:$W,0,Accounts!$C:$C,"Customer",Accounts!$H:$H,"&gt;"&amp;90,Accounts!$H:$H,"&lt;="&amp;180)</f>
        <v>0</v>
      </c>
      <c r="E56" s="18">
        <f>SUMIFS(Accounts!$I:$I,Accounts!$E:$E,'AccountSummary (New)'!E$1,Accounts!$G:$G,'AccountSummary (New)'!E$2,Accounts!$F:$F,'AccountSummary (New)'!E$3,Accounts!$W:$W,0,Accounts!$C:$C,"Customer",Accounts!$H:$H,"&gt;"&amp;90,Accounts!$H:$H,"&lt;="&amp;180)</f>
        <v>0</v>
      </c>
      <c r="F56" s="18">
        <f>SUMIFS(Accounts!$I:$I,Accounts!$E:$E,'AccountSummary (New)'!F$1,Accounts!$G:$G,'AccountSummary (New)'!F$2,Accounts!$F:$F,'AccountSummary (New)'!F$3,Accounts!$W:$W,0,Accounts!$C:$C,"Customer",Accounts!$H:$H,"&gt;"&amp;90,Accounts!$H:$H,"&lt;="&amp;180)</f>
        <v>0</v>
      </c>
      <c r="G56" s="18">
        <f>SUMIFS(Accounts!$I:$I,Accounts!$E:$E,'AccountSummary (New)'!G$1,Accounts!$G:$G,'AccountSummary (New)'!G$2,Accounts!$F:$F,'AccountSummary (New)'!G$3,Accounts!$W:$W,0,Accounts!$C:$C,"Customer",Accounts!$H:$H,"&gt;"&amp;90,Accounts!$H:$H,"&lt;="&amp;180)</f>
        <v>0</v>
      </c>
      <c r="H56" s="18">
        <f>SUMIFS(Accounts!$I:$I,Accounts!$E:$E,'AccountSummary (New)'!H$1,Accounts!$G:$G,'AccountSummary (New)'!H$2,Accounts!$F:$F,'AccountSummary (New)'!H$3,Accounts!$W:$W,0,Accounts!$C:$C,"Customer",Accounts!$H:$H,"&gt;"&amp;90,Accounts!$H:$H,"&lt;="&amp;180)</f>
        <v>0</v>
      </c>
      <c r="I56" s="6">
        <f>SUM(C56:H56)</f>
        <v>0</v>
      </c>
      <c r="J56" s="18">
        <f>SUMIFS(Accounts!$I:$I,Accounts!$E:$E,'AccountSummary (New)'!J$1,Accounts!$G:$G,'AccountSummary (New)'!J$2,Accounts!$F:$F,'AccountSummary (New)'!J$3,Accounts!$W:$W,0,Accounts!$C:$C,"Customer",Accounts!$H:$H,"&gt;"&amp;90,Accounts!$H:$H,"&lt;="&amp;180)</f>
        <v>0</v>
      </c>
      <c r="K56" s="18">
        <f>SUMIFS(Accounts!$I:$I,Accounts!$E:$E,'AccountSummary (New)'!K$1,Accounts!$G:$G,'AccountSummary (New)'!K$2,Accounts!$F:$F,'AccountSummary (New)'!K$3,Accounts!$W:$W,0,Accounts!$C:$C,"Customer",Accounts!$H:$H,"&gt;"&amp;90,Accounts!$H:$H,"&lt;="&amp;180)</f>
        <v>0</v>
      </c>
      <c r="L56" s="18">
        <f>SUMIFS(Accounts!$I:$I,Accounts!$E:$E,'AccountSummary (New)'!L$1,Accounts!$G:$G,'AccountSummary (New)'!L$2,Accounts!$F:$F,'AccountSummary (New)'!L$3,Accounts!$W:$W,0,Accounts!$C:$C,"Customer",Accounts!$H:$H,"&gt;"&amp;90,Accounts!$H:$H,"&lt;="&amp;180)</f>
        <v>0</v>
      </c>
      <c r="M56" s="18">
        <f>SUMIFS(Accounts!$I:$I,Accounts!$E:$E,'AccountSummary (New)'!M$1,Accounts!$G:$G,'AccountSummary (New)'!M$2,Accounts!$F:$F,'AccountSummary (New)'!M$3,Accounts!$W:$W,0,Accounts!$C:$C,"Customer",Accounts!$H:$H,"&gt;"&amp;90,Accounts!$H:$H,"&lt;="&amp;180)</f>
        <v>0</v>
      </c>
      <c r="N56" s="18">
        <f>SUMIFS(Accounts!$I:$I,Accounts!$E:$E,'AccountSummary (New)'!N$1,Accounts!$G:$G,'AccountSummary (New)'!N$2,Accounts!$F:$F,'AccountSummary (New)'!N$3,Accounts!$W:$W,0,Accounts!$C:$C,"Customer",Accounts!$H:$H,"&gt;"&amp;90,Accounts!$H:$H,"&lt;="&amp;180)</f>
        <v>0</v>
      </c>
      <c r="O56" s="18">
        <f>SUMIFS(Accounts!$I:$I,Accounts!$E:$E,'AccountSummary (New)'!O$1,Accounts!$G:$G,'AccountSummary (New)'!O$2,Accounts!$F:$F,'AccountSummary (New)'!O$3,Accounts!$W:$W,0,Accounts!$C:$C,"Customer",Accounts!$H:$H,"&gt;"&amp;90,Accounts!$H:$H,"&lt;="&amp;180)</f>
        <v>0</v>
      </c>
      <c r="P56" s="6">
        <f>SUM(J56:O56)</f>
        <v>0</v>
      </c>
      <c r="Q56" s="18">
        <f>SUMIFS(Accounts!$I:$I,Accounts!$E:$E,'AccountSummary (New)'!Q$1,Accounts!$G:$G,'AccountSummary (New)'!Q$2,Accounts!$F:$F,'AccountSummary (New)'!Q$3,Accounts!$W:$W,0,Accounts!$C:$C,"Customer",Accounts!$H:$H,"&gt;"&amp;90,Accounts!$H:$H,"&lt;="&amp;180)</f>
        <v>0</v>
      </c>
      <c r="R56" s="18">
        <f>SUMIFS(Accounts!$I:$I,Accounts!$E:$E,'AccountSummary (New)'!R$1,Accounts!$G:$G,'AccountSummary (New)'!R$2,Accounts!$F:$F,'AccountSummary (New)'!R$3,Accounts!$W:$W,0,Accounts!$C:$C,"Customer",Accounts!$H:$H,"&gt;"&amp;90,Accounts!$H:$H,"&lt;="&amp;180)</f>
        <v>0</v>
      </c>
      <c r="S56" s="18">
        <f>SUMIFS(Accounts!$I:$I,Accounts!$E:$E,'AccountSummary (New)'!S$1,Accounts!$G:$G,'AccountSummary (New)'!S$2,Accounts!$F:$F,'AccountSummary (New)'!S$3,Accounts!$W:$W,0,Accounts!$C:$C,"Customer",Accounts!$H:$H,"&gt;"&amp;90,Accounts!$H:$H,"&lt;="&amp;180)</f>
        <v>0</v>
      </c>
      <c r="T56" s="18">
        <f>SUMIFS(Accounts!$I:$I,Accounts!$E:$E,'AccountSummary (New)'!T$1,Accounts!$G:$G,'AccountSummary (New)'!T$2,Accounts!$F:$F,'AccountSummary (New)'!T$3,Accounts!$W:$W,0,Accounts!$C:$C,"Customer",Accounts!$H:$H,"&gt;"&amp;90,Accounts!$H:$H,"&lt;="&amp;180)</f>
        <v>0</v>
      </c>
      <c r="U56" s="18">
        <f>SUMIFS(Accounts!$I:$I,Accounts!$E:$E,'AccountSummary (New)'!U$1,Accounts!$G:$G,'AccountSummary (New)'!U$2,Accounts!$F:$F,'AccountSummary (New)'!U$3,Accounts!$W:$W,0,Accounts!$C:$C,"Customer",Accounts!$H:$H,"&gt;"&amp;90,Accounts!$H:$H,"&lt;="&amp;180)</f>
        <v>0</v>
      </c>
      <c r="V56" s="18">
        <f>SUMIFS(Accounts!$I:$I,Accounts!$E:$E,'AccountSummary (New)'!V$1,Accounts!$G:$G,'AccountSummary (New)'!V$2,Accounts!$F:$F,'AccountSummary (New)'!V$3,Accounts!$W:$W,0,Accounts!$C:$C,"Customer",Accounts!$H:$H,"&gt;"&amp;90,Accounts!$H:$H,"&lt;="&amp;180)</f>
        <v>0</v>
      </c>
      <c r="W56" s="6">
        <f>SUM(Q56:V56)</f>
        <v>0</v>
      </c>
    </row>
    <row r="57" spans="1:23" x14ac:dyDescent="0.2">
      <c r="A57" s="1" t="s">
        <v>97</v>
      </c>
      <c r="B57" s="10"/>
      <c r="C57" s="18"/>
      <c r="D57" s="18"/>
      <c r="E57" s="18"/>
      <c r="F57" s="18"/>
      <c r="G57" s="18"/>
      <c r="H57" s="18"/>
      <c r="I57" s="6"/>
      <c r="J57" s="18"/>
      <c r="K57" s="18"/>
      <c r="L57" s="18"/>
      <c r="M57" s="18"/>
      <c r="N57" s="18"/>
      <c r="O57" s="18"/>
      <c r="P57" s="6"/>
      <c r="Q57" s="18"/>
      <c r="R57" s="18"/>
      <c r="S57" s="18"/>
      <c r="T57" s="18"/>
      <c r="U57" s="18"/>
      <c r="V57" s="18"/>
      <c r="W57" s="6"/>
    </row>
    <row r="58" spans="1:23" x14ac:dyDescent="0.2">
      <c r="A58" s="1" t="s">
        <v>86</v>
      </c>
      <c r="B58" s="11">
        <f t="shared" ref="B58:W58" si="17">IF(B$19=0,0,(B60+B61)/B$19)</f>
        <v>1</v>
      </c>
      <c r="C58" s="8">
        <f t="shared" si="17"/>
        <v>0</v>
      </c>
      <c r="D58" s="8">
        <f t="shared" si="17"/>
        <v>0</v>
      </c>
      <c r="E58" s="8">
        <f t="shared" si="17"/>
        <v>0</v>
      </c>
      <c r="F58" s="8">
        <f t="shared" si="17"/>
        <v>0</v>
      </c>
      <c r="G58" s="8">
        <f t="shared" si="17"/>
        <v>0</v>
      </c>
      <c r="H58" s="8">
        <f t="shared" si="17"/>
        <v>0</v>
      </c>
      <c r="I58" s="20">
        <f t="shared" si="17"/>
        <v>0</v>
      </c>
      <c r="J58" s="8">
        <f t="shared" si="17"/>
        <v>0</v>
      </c>
      <c r="K58" s="8">
        <f t="shared" si="17"/>
        <v>0</v>
      </c>
      <c r="L58" s="8">
        <f t="shared" si="17"/>
        <v>0</v>
      </c>
      <c r="M58" s="8">
        <f t="shared" si="17"/>
        <v>0</v>
      </c>
      <c r="N58" s="8">
        <f t="shared" si="17"/>
        <v>0</v>
      </c>
      <c r="O58" s="8">
        <f t="shared" si="17"/>
        <v>0</v>
      </c>
      <c r="P58" s="20">
        <f t="shared" si="17"/>
        <v>0</v>
      </c>
      <c r="Q58" s="8">
        <f t="shared" si="17"/>
        <v>0</v>
      </c>
      <c r="R58" s="8">
        <f t="shared" si="17"/>
        <v>1</v>
      </c>
      <c r="S58" s="8">
        <f t="shared" si="17"/>
        <v>0</v>
      </c>
      <c r="T58" s="8">
        <f t="shared" si="17"/>
        <v>0</v>
      </c>
      <c r="U58" s="8">
        <f t="shared" si="17"/>
        <v>0</v>
      </c>
      <c r="V58" s="8">
        <f t="shared" si="17"/>
        <v>0</v>
      </c>
      <c r="W58" s="20">
        <f t="shared" si="17"/>
        <v>1</v>
      </c>
    </row>
    <row r="59" spans="1:23" x14ac:dyDescent="0.2">
      <c r="A59" s="1" t="s">
        <v>87</v>
      </c>
      <c r="B59" s="11">
        <f t="shared" ref="B59:W59" si="18">IF((B60+B61)=0,0,B60/(B60+B61))</f>
        <v>0</v>
      </c>
      <c r="C59" s="8">
        <f t="shared" si="18"/>
        <v>0</v>
      </c>
      <c r="D59" s="8">
        <f t="shared" si="18"/>
        <v>0</v>
      </c>
      <c r="E59" s="8">
        <f t="shared" si="18"/>
        <v>0</v>
      </c>
      <c r="F59" s="8">
        <f t="shared" si="18"/>
        <v>0</v>
      </c>
      <c r="G59" s="8">
        <f t="shared" si="18"/>
        <v>0</v>
      </c>
      <c r="H59" s="8">
        <f t="shared" si="18"/>
        <v>0</v>
      </c>
      <c r="I59" s="20">
        <f t="shared" si="18"/>
        <v>0</v>
      </c>
      <c r="J59" s="8">
        <f t="shared" si="18"/>
        <v>0</v>
      </c>
      <c r="K59" s="8">
        <f t="shared" si="18"/>
        <v>0</v>
      </c>
      <c r="L59" s="8">
        <f t="shared" si="18"/>
        <v>0</v>
      </c>
      <c r="M59" s="8">
        <f t="shared" si="18"/>
        <v>0</v>
      </c>
      <c r="N59" s="8">
        <f t="shared" si="18"/>
        <v>0</v>
      </c>
      <c r="O59" s="8">
        <f t="shared" si="18"/>
        <v>0</v>
      </c>
      <c r="P59" s="20">
        <f t="shared" si="18"/>
        <v>0</v>
      </c>
      <c r="Q59" s="8">
        <f t="shared" si="18"/>
        <v>0</v>
      </c>
      <c r="R59" s="8">
        <f t="shared" si="18"/>
        <v>0</v>
      </c>
      <c r="S59" s="8">
        <f t="shared" si="18"/>
        <v>0</v>
      </c>
      <c r="T59" s="8">
        <f t="shared" si="18"/>
        <v>0</v>
      </c>
      <c r="U59" s="8">
        <f t="shared" si="18"/>
        <v>0</v>
      </c>
      <c r="V59" s="8">
        <f t="shared" si="18"/>
        <v>0</v>
      </c>
      <c r="W59" s="20">
        <f t="shared" si="18"/>
        <v>0</v>
      </c>
    </row>
    <row r="60" spans="1:23" x14ac:dyDescent="0.2">
      <c r="A60" s="1" t="s">
        <v>88</v>
      </c>
      <c r="B60" s="9">
        <f>I60+P60+W60</f>
        <v>0</v>
      </c>
      <c r="C60">
        <f>COUNTIFS(Accounts!$E:$E,'AccountSummary (New)'!C$1,Accounts!$G:$G,'AccountSummary (New)'!C$2,Accounts!$F:$F,'AccountSummary (New)'!C$3,Accounts!$B:$B,"Customer",Accounts!$C:$C,"Lost",Accounts!$H:$H,"&gt;"&amp;180)</f>
        <v>0</v>
      </c>
      <c r="D60">
        <f>COUNTIFS(Accounts!$E:$E,'AccountSummary (New)'!D$1,Accounts!$G:$G,'AccountSummary (New)'!D$2,Accounts!$F:$F,'AccountSummary (New)'!D$3,Accounts!$B:$B,"Customer",Accounts!$C:$C,"Lost",Accounts!$H:$H,"&gt;"&amp;180)</f>
        <v>0</v>
      </c>
      <c r="E60">
        <f>COUNTIFS(Accounts!$E:$E,'AccountSummary (New)'!E$1,Accounts!$G:$G,'AccountSummary (New)'!E$2,Accounts!$F:$F,'AccountSummary (New)'!E$3,Accounts!$B:$B,"Customer",Accounts!$C:$C,"Lost",Accounts!$H:$H,"&gt;"&amp;180)</f>
        <v>0</v>
      </c>
      <c r="F60">
        <f>COUNTIFS(Accounts!$E:$E,'AccountSummary (New)'!F$1,Accounts!$G:$G,'AccountSummary (New)'!F$2,Accounts!$F:$F,'AccountSummary (New)'!F$3,Accounts!$B:$B,"Customer",Accounts!$C:$C,"Lost",Accounts!$H:$H,"&gt;"&amp;180)</f>
        <v>0</v>
      </c>
      <c r="G60">
        <f>COUNTIFS(Accounts!$E:$E,'AccountSummary (New)'!G$1,Accounts!$G:$G,'AccountSummary (New)'!G$2,Accounts!$F:$F,'AccountSummary (New)'!G$3,Accounts!$B:$B,"Customer",Accounts!$C:$C,"Lost",Accounts!$H:$H,"&gt;"&amp;180)</f>
        <v>0</v>
      </c>
      <c r="H60">
        <f>COUNTIFS(Accounts!$E:$E,'AccountSummary (New)'!H$1,Accounts!$G:$G,'AccountSummary (New)'!H$2,Accounts!$F:$F,'AccountSummary (New)'!H$3,Accounts!$B:$B,"Customer",Accounts!$C:$C,"Lost",Accounts!$H:$H,"&gt;"&amp;180)</f>
        <v>0</v>
      </c>
      <c r="I60" s="15">
        <f>SUM(C60:H60)</f>
        <v>0</v>
      </c>
      <c r="J60">
        <f>COUNTIFS(Accounts!$E:$E,'AccountSummary (New)'!J$1,Accounts!$G:$G,'AccountSummary (New)'!J$2,Accounts!$F:$F,'AccountSummary (New)'!J$3,Accounts!$B:$B,"Customer",Accounts!$C:$C,"Lost",Accounts!$H:$H,"&gt;"&amp;180)</f>
        <v>0</v>
      </c>
      <c r="K60">
        <f>COUNTIFS(Accounts!$E:$E,'AccountSummary (New)'!K$1,Accounts!$G:$G,'AccountSummary (New)'!K$2,Accounts!$F:$F,'AccountSummary (New)'!K$3,Accounts!$B:$B,"Customer",Accounts!$C:$C,"Lost",Accounts!$H:$H,"&gt;"&amp;180)</f>
        <v>0</v>
      </c>
      <c r="L60">
        <f>COUNTIFS(Accounts!$E:$E,'AccountSummary (New)'!L$1,Accounts!$G:$G,'AccountSummary (New)'!L$2,Accounts!$F:$F,'AccountSummary (New)'!L$3,Accounts!$B:$B,"Customer",Accounts!$C:$C,"Lost",Accounts!$H:$H,"&gt;"&amp;180)</f>
        <v>0</v>
      </c>
      <c r="M60">
        <f>COUNTIFS(Accounts!$E:$E,'AccountSummary (New)'!M$1,Accounts!$G:$G,'AccountSummary (New)'!M$2,Accounts!$F:$F,'AccountSummary (New)'!M$3,Accounts!$B:$B,"Customer",Accounts!$C:$C,"Lost",Accounts!$H:$H,"&gt;"&amp;180)</f>
        <v>0</v>
      </c>
      <c r="N60">
        <f>COUNTIFS(Accounts!$E:$E,'AccountSummary (New)'!N$1,Accounts!$G:$G,'AccountSummary (New)'!N$2,Accounts!$F:$F,'AccountSummary (New)'!N$3,Accounts!$B:$B,"Customer",Accounts!$C:$C,"Lost",Accounts!$H:$H,"&gt;"&amp;180)</f>
        <v>0</v>
      </c>
      <c r="O60">
        <f>COUNTIFS(Accounts!$E:$E,'AccountSummary (New)'!O$1,Accounts!$G:$G,'AccountSummary (New)'!O$2,Accounts!$F:$F,'AccountSummary (New)'!O$3,Accounts!$B:$B,"Customer",Accounts!$C:$C,"Lost",Accounts!$H:$H,"&gt;"&amp;180)</f>
        <v>0</v>
      </c>
      <c r="P60" s="15">
        <f>SUM(J60:O60)</f>
        <v>0</v>
      </c>
      <c r="Q60">
        <f>COUNTIFS(Accounts!$E:$E,'AccountSummary (New)'!Q$1,Accounts!$G:$G,'AccountSummary (New)'!Q$2,Accounts!$F:$F,'AccountSummary (New)'!Q$3,Accounts!$B:$B,"Customer",Accounts!$C:$C,"Lost",Accounts!$H:$H,"&gt;"&amp;180)</f>
        <v>0</v>
      </c>
      <c r="R60">
        <f>COUNTIFS(Accounts!$E:$E,'AccountSummary (New)'!R$1,Accounts!$G:$G,'AccountSummary (New)'!R$2,Accounts!$F:$F,'AccountSummary (New)'!R$3,Accounts!$B:$B,"Customer",Accounts!$C:$C,"Lost",Accounts!$H:$H,"&gt;"&amp;180)</f>
        <v>0</v>
      </c>
      <c r="S60">
        <f>COUNTIFS(Accounts!$E:$E,'AccountSummary (New)'!S$1,Accounts!$G:$G,'AccountSummary (New)'!S$2,Accounts!$F:$F,'AccountSummary (New)'!S$3,Accounts!$B:$B,"Customer",Accounts!$C:$C,"Lost",Accounts!$H:$H,"&gt;"&amp;180)</f>
        <v>0</v>
      </c>
      <c r="T60">
        <f>COUNTIFS(Accounts!$E:$E,'AccountSummary (New)'!T$1,Accounts!$G:$G,'AccountSummary (New)'!T$2,Accounts!$F:$F,'AccountSummary (New)'!T$3,Accounts!$B:$B,"Customer",Accounts!$C:$C,"Lost",Accounts!$H:$H,"&gt;"&amp;180)</f>
        <v>0</v>
      </c>
      <c r="U60">
        <f>COUNTIFS(Accounts!$E:$E,'AccountSummary (New)'!U$1,Accounts!$G:$G,'AccountSummary (New)'!U$2,Accounts!$F:$F,'AccountSummary (New)'!U$3,Accounts!$B:$B,"Customer",Accounts!$C:$C,"Lost",Accounts!$H:$H,"&gt;"&amp;180)</f>
        <v>0</v>
      </c>
      <c r="V60">
        <f>COUNTIFS(Accounts!$E:$E,'AccountSummary (New)'!V$1,Accounts!$G:$G,'AccountSummary (New)'!V$2,Accounts!$F:$F,'AccountSummary (New)'!V$3,Accounts!$B:$B,"Customer",Accounts!$C:$C,"Lost",Accounts!$H:$H,"&gt;"&amp;180)</f>
        <v>0</v>
      </c>
      <c r="W60" s="15">
        <f>SUM(Q60:V60)</f>
        <v>0</v>
      </c>
    </row>
    <row r="61" spans="1:23" x14ac:dyDescent="0.2">
      <c r="A61" s="1" t="s">
        <v>89</v>
      </c>
      <c r="B61" s="9">
        <f>I61+P61+W61</f>
        <v>1</v>
      </c>
      <c r="C61">
        <f>COUNTIFS(Accounts!$E:$E,'AccountSummary (New)'!C$1,Accounts!$G:$G,'AccountSummary (New)'!C$2,Accounts!$F:$F,'AccountSummary (New)'!C$3,Accounts!$B:$B,"Customer",Accounts!$C:$C,"Customer",Accounts!$H:$H,"&gt;"&amp;180)</f>
        <v>0</v>
      </c>
      <c r="D61">
        <f>COUNTIFS(Accounts!$E:$E,'AccountSummary (New)'!D$1,Accounts!$G:$G,'AccountSummary (New)'!D$2,Accounts!$F:$F,'AccountSummary (New)'!D$3,Accounts!$B:$B,"Customer",Accounts!$C:$C,"Customer",Accounts!$H:$H,"&gt;"&amp;180)</f>
        <v>0</v>
      </c>
      <c r="E61">
        <f>COUNTIFS(Accounts!$E:$E,'AccountSummary (New)'!E$1,Accounts!$G:$G,'AccountSummary (New)'!E$2,Accounts!$F:$F,'AccountSummary (New)'!E$3,Accounts!$B:$B,"Customer",Accounts!$C:$C,"Customer",Accounts!$H:$H,"&gt;"&amp;180)</f>
        <v>0</v>
      </c>
      <c r="F61">
        <f>COUNTIFS(Accounts!$E:$E,'AccountSummary (New)'!F$1,Accounts!$G:$G,'AccountSummary (New)'!F$2,Accounts!$F:$F,'AccountSummary (New)'!F$3,Accounts!$B:$B,"Customer",Accounts!$C:$C,"Customer",Accounts!$H:$H,"&gt;"&amp;180)</f>
        <v>0</v>
      </c>
      <c r="G61">
        <f>COUNTIFS(Accounts!$E:$E,'AccountSummary (New)'!G$1,Accounts!$G:$G,'AccountSummary (New)'!G$2,Accounts!$F:$F,'AccountSummary (New)'!G$3,Accounts!$B:$B,"Customer",Accounts!$C:$C,"Customer",Accounts!$H:$H,"&gt;"&amp;180)</f>
        <v>0</v>
      </c>
      <c r="H61">
        <f>COUNTIFS(Accounts!$E:$E,'AccountSummary (New)'!H$1,Accounts!$G:$G,'AccountSummary (New)'!H$2,Accounts!$F:$F,'AccountSummary (New)'!H$3,Accounts!$B:$B,"Customer",Accounts!$C:$C,"Customer",Accounts!$H:$H,"&gt;"&amp;180)</f>
        <v>0</v>
      </c>
      <c r="I61" s="15">
        <f>SUM(C61:H61)</f>
        <v>0</v>
      </c>
      <c r="J61">
        <f>COUNTIFS(Accounts!$E:$E,'AccountSummary (New)'!J$1,Accounts!$G:$G,'AccountSummary (New)'!J$2,Accounts!$F:$F,'AccountSummary (New)'!J$3,Accounts!$B:$B,"Customer",Accounts!$C:$C,"Customer",Accounts!$H:$H,"&gt;"&amp;180)</f>
        <v>0</v>
      </c>
      <c r="K61">
        <f>COUNTIFS(Accounts!$E:$E,'AccountSummary (New)'!K$1,Accounts!$G:$G,'AccountSummary (New)'!K$2,Accounts!$F:$F,'AccountSummary (New)'!K$3,Accounts!$B:$B,"Customer",Accounts!$C:$C,"Customer",Accounts!$H:$H,"&gt;"&amp;180)</f>
        <v>0</v>
      </c>
      <c r="L61">
        <f>COUNTIFS(Accounts!$E:$E,'AccountSummary (New)'!L$1,Accounts!$G:$G,'AccountSummary (New)'!L$2,Accounts!$F:$F,'AccountSummary (New)'!L$3,Accounts!$B:$B,"Customer",Accounts!$C:$C,"Customer",Accounts!$H:$H,"&gt;"&amp;180)</f>
        <v>0</v>
      </c>
      <c r="M61">
        <f>COUNTIFS(Accounts!$E:$E,'AccountSummary (New)'!M$1,Accounts!$G:$G,'AccountSummary (New)'!M$2,Accounts!$F:$F,'AccountSummary (New)'!M$3,Accounts!$B:$B,"Customer",Accounts!$C:$C,"Customer",Accounts!$H:$H,"&gt;"&amp;180)</f>
        <v>0</v>
      </c>
      <c r="N61">
        <f>COUNTIFS(Accounts!$E:$E,'AccountSummary (New)'!N$1,Accounts!$G:$G,'AccountSummary (New)'!N$2,Accounts!$F:$F,'AccountSummary (New)'!N$3,Accounts!$B:$B,"Customer",Accounts!$C:$C,"Customer",Accounts!$H:$H,"&gt;"&amp;180)</f>
        <v>0</v>
      </c>
      <c r="O61">
        <f>COUNTIFS(Accounts!$E:$E,'AccountSummary (New)'!O$1,Accounts!$G:$G,'AccountSummary (New)'!O$2,Accounts!$F:$F,'AccountSummary (New)'!O$3,Accounts!$B:$B,"Customer",Accounts!$C:$C,"Customer",Accounts!$H:$H,"&gt;"&amp;180)</f>
        <v>0</v>
      </c>
      <c r="P61" s="15">
        <f>SUM(J61:O61)</f>
        <v>0</v>
      </c>
      <c r="Q61">
        <f>COUNTIFS(Accounts!$E:$E,'AccountSummary (New)'!Q$1,Accounts!$G:$G,'AccountSummary (New)'!Q$2,Accounts!$F:$F,'AccountSummary (New)'!Q$3,Accounts!$B:$B,"Customer",Accounts!$C:$C,"Customer",Accounts!$H:$H,"&gt;"&amp;180)</f>
        <v>0</v>
      </c>
      <c r="R61">
        <f>COUNTIFS(Accounts!$E:$E,'AccountSummary (New)'!R$1,Accounts!$G:$G,'AccountSummary (New)'!R$2,Accounts!$F:$F,'AccountSummary (New)'!R$3,Accounts!$B:$B,"Customer",Accounts!$C:$C,"Customer",Accounts!$H:$H,"&gt;"&amp;180)</f>
        <v>1</v>
      </c>
      <c r="S61">
        <f>COUNTIFS(Accounts!$E:$E,'AccountSummary (New)'!S$1,Accounts!$G:$G,'AccountSummary (New)'!S$2,Accounts!$F:$F,'AccountSummary (New)'!S$3,Accounts!$B:$B,"Customer",Accounts!$C:$C,"Customer",Accounts!$H:$H,"&gt;"&amp;180)</f>
        <v>0</v>
      </c>
      <c r="T61">
        <f>COUNTIFS(Accounts!$E:$E,'AccountSummary (New)'!T$1,Accounts!$G:$G,'AccountSummary (New)'!T$2,Accounts!$F:$F,'AccountSummary (New)'!T$3,Accounts!$B:$B,"Customer",Accounts!$C:$C,"Customer",Accounts!$H:$H,"&gt;"&amp;180)</f>
        <v>0</v>
      </c>
      <c r="U61">
        <f>COUNTIFS(Accounts!$E:$E,'AccountSummary (New)'!U$1,Accounts!$G:$G,'AccountSummary (New)'!U$2,Accounts!$F:$F,'AccountSummary (New)'!U$3,Accounts!$B:$B,"Customer",Accounts!$C:$C,"Customer",Accounts!$H:$H,"&gt;"&amp;180)</f>
        <v>0</v>
      </c>
      <c r="V61">
        <f>COUNTIFS(Accounts!$E:$E,'AccountSummary (New)'!V$1,Accounts!$G:$G,'AccountSummary (New)'!V$2,Accounts!$F:$F,'AccountSummary (New)'!V$3,Accounts!$B:$B,"Customer",Accounts!$C:$C,"Customer",Accounts!$H:$H,"&gt;"&amp;180)</f>
        <v>0</v>
      </c>
      <c r="W61" s="15">
        <f>SUM(Q61:V61)</f>
        <v>1</v>
      </c>
    </row>
    <row r="62" spans="1:23" x14ac:dyDescent="0.2">
      <c r="A62" s="2" t="s">
        <v>90</v>
      </c>
      <c r="B62" s="13">
        <f>IF(B61=0,0,SUMIFS(Accounts!$L:$L,Accounts!$W:$W,0,Accounts!$C:$C,"Customer",Accounts!$H:$H,"&gt;"&amp;180)/B61)</f>
        <v>3</v>
      </c>
      <c r="C62" s="4">
        <f>IF(C61=0,0,SUMIFS(Accounts!$L:$L,Accounts!$E:$E,'AccountSummary (New)'!C$1,Accounts!$G:$G,'AccountSummary (New)'!C$2,Accounts!$F:$F,'AccountSummary (New)'!C$3,Accounts!$W:$W,0,Accounts!$C:$C,"Customer",Accounts!$H:$H,"&gt;"&amp;180)/C61)</f>
        <v>0</v>
      </c>
      <c r="D62" s="4">
        <f>IF(D61=0,0,SUMIFS(Accounts!$L:$L,Accounts!$E:$E,'AccountSummary (New)'!D$1,Accounts!$G:$G,'AccountSummary (New)'!D$2,Accounts!$F:$F,'AccountSummary (New)'!D$3,Accounts!$W:$W,0,Accounts!$C:$C,"Customer",Accounts!$H:$H,"&gt;"&amp;180)/D61)</f>
        <v>0</v>
      </c>
      <c r="E62" s="4">
        <f>IF(E61=0,0,SUMIFS(Accounts!$L:$L,Accounts!$E:$E,'AccountSummary (New)'!E$1,Accounts!$G:$G,'AccountSummary (New)'!E$2,Accounts!$F:$F,'AccountSummary (New)'!E$3,Accounts!$W:$W,0,Accounts!$C:$C,"Customer",Accounts!$H:$H,"&gt;"&amp;180)/E61)</f>
        <v>0</v>
      </c>
      <c r="F62" s="4">
        <f>IF(F61=0,0,SUMIFS(Accounts!$L:$L,Accounts!$E:$E,'AccountSummary (New)'!F$1,Accounts!$G:$G,'AccountSummary (New)'!F$2,Accounts!$F:$F,'AccountSummary (New)'!F$3,Accounts!$W:$W,0,Accounts!$C:$C,"Customer",Accounts!$H:$H,"&gt;"&amp;180)/F61)</f>
        <v>0</v>
      </c>
      <c r="G62" s="4">
        <f>IF(G61=0,0,SUMIFS(Accounts!$L:$L,Accounts!$E:$E,'AccountSummary (New)'!G$1,Accounts!$G:$G,'AccountSummary (New)'!G$2,Accounts!$F:$F,'AccountSummary (New)'!G$3,Accounts!$W:$W,0,Accounts!$C:$C,"Customer",Accounts!$H:$H,"&gt;"&amp;180)/G61)</f>
        <v>0</v>
      </c>
      <c r="H62" s="4">
        <f>IF(H61=0,0,SUMIFS(Accounts!$L:$L,Accounts!$E:$E,'AccountSummary (New)'!H$1,Accounts!$G:$G,'AccountSummary (New)'!H$2,Accounts!$F:$F,'AccountSummary (New)'!H$3,Accounts!$W:$W,0,Accounts!$C:$C,"Customer",Accounts!$H:$H,"&gt;"&amp;180)/H61)</f>
        <v>0</v>
      </c>
      <c r="I62" s="5">
        <f>IF(I61=0,0,SUMIFS(Accounts!$L:$L,Accounts!$F:$F,'AccountSummary (New)'!I$3,Accounts!$W:$W,0,Accounts!$C:$C,"Customer",Accounts!$H:$H,"&gt;"&amp;60,Accounts!$H:$H,"&lt;="&amp;180)/I61)</f>
        <v>0</v>
      </c>
      <c r="J62" s="4">
        <f>IF(J61=0,0,SUMIFS(Accounts!$L:$L,Accounts!$E:$E,'AccountSummary (New)'!J$1,Accounts!$G:$G,'AccountSummary (New)'!J$2,Accounts!$F:$F,'AccountSummary (New)'!J$3,Accounts!$W:$W,0,Accounts!$C:$C,"Customer",Accounts!$H:$H,"&gt;"&amp;180)/J61)</f>
        <v>0</v>
      </c>
      <c r="K62" s="4">
        <f>IF(K61=0,0,SUMIFS(Accounts!$L:$L,Accounts!$E:$E,'AccountSummary (New)'!K$1,Accounts!$G:$G,'AccountSummary (New)'!K$2,Accounts!$F:$F,'AccountSummary (New)'!K$3,Accounts!$W:$W,0,Accounts!$C:$C,"Customer",Accounts!$H:$H,"&gt;"&amp;180)/K61)</f>
        <v>0</v>
      </c>
      <c r="L62" s="4">
        <f>IF(L61=0,0,SUMIFS(Accounts!$L:$L,Accounts!$E:$E,'AccountSummary (New)'!L$1,Accounts!$G:$G,'AccountSummary (New)'!L$2,Accounts!$F:$F,'AccountSummary (New)'!L$3,Accounts!$W:$W,0,Accounts!$C:$C,"Customer",Accounts!$H:$H,"&gt;"&amp;180)/L61)</f>
        <v>0</v>
      </c>
      <c r="M62" s="4">
        <f>IF(M61=0,0,SUMIFS(Accounts!$L:$L,Accounts!$E:$E,'AccountSummary (New)'!M$1,Accounts!$G:$G,'AccountSummary (New)'!M$2,Accounts!$F:$F,'AccountSummary (New)'!M$3,Accounts!$W:$W,0,Accounts!$C:$C,"Customer",Accounts!$H:$H,"&gt;"&amp;180)/M61)</f>
        <v>0</v>
      </c>
      <c r="N62" s="4">
        <f>IF(N61=0,0,SUMIFS(Accounts!$L:$L,Accounts!$E:$E,'AccountSummary (New)'!N$1,Accounts!$G:$G,'AccountSummary (New)'!N$2,Accounts!$F:$F,'AccountSummary (New)'!N$3,Accounts!$W:$W,0,Accounts!$C:$C,"Customer",Accounts!$H:$H,"&gt;"&amp;180)/N61)</f>
        <v>0</v>
      </c>
      <c r="O62" s="4">
        <f>IF(O61=0,0,SUMIFS(Accounts!$L:$L,Accounts!$E:$E,'AccountSummary (New)'!O$1,Accounts!$G:$G,'AccountSummary (New)'!O$2,Accounts!$F:$F,'AccountSummary (New)'!O$3,Accounts!$W:$W,0,Accounts!$C:$C,"Customer",Accounts!$H:$H,"&gt;"&amp;180)/O61)</f>
        <v>0</v>
      </c>
      <c r="P62" s="5">
        <f>IF(P61=0,0,SUMIFS(Accounts!$L:$L,Accounts!$F:$F,'AccountSummary (New)'!P$3,Accounts!$W:$W,0,Accounts!$C:$C,"Customer",Accounts!$H:$H,"&gt;"&amp;60,Accounts!$H:$H,"&lt;="&amp;180)/P61)</f>
        <v>0</v>
      </c>
      <c r="Q62" s="4">
        <f>IF(Q61=0,0,SUMIFS(Accounts!$L:$L,Accounts!$E:$E,'AccountSummary (New)'!Q$1,Accounts!$G:$G,'AccountSummary (New)'!Q$2,Accounts!$F:$F,'AccountSummary (New)'!Q$3,Accounts!$W:$W,0,Accounts!$C:$C,"Customer",Accounts!$H:$H,"&gt;"&amp;180)/Q61)</f>
        <v>0</v>
      </c>
      <c r="R62" s="4">
        <f>IF(R61=0,0,SUMIFS(Accounts!$L:$L,Accounts!$E:$E,'AccountSummary (New)'!R$1,Accounts!$G:$G,'AccountSummary (New)'!R$2,Accounts!$F:$F,'AccountSummary (New)'!R$3,Accounts!$W:$W,0,Accounts!$C:$C,"Customer",Accounts!$H:$H,"&gt;"&amp;180)/R61)</f>
        <v>3</v>
      </c>
      <c r="S62" s="4">
        <f>IF(S61=0,0,SUMIFS(Accounts!$L:$L,Accounts!$E:$E,'AccountSummary (New)'!S$1,Accounts!$G:$G,'AccountSummary (New)'!S$2,Accounts!$F:$F,'AccountSummary (New)'!S$3,Accounts!$W:$W,0,Accounts!$C:$C,"Customer",Accounts!$H:$H,"&gt;"&amp;180)/S61)</f>
        <v>0</v>
      </c>
      <c r="T62" s="4">
        <f>IF(T61=0,0,SUMIFS(Accounts!$L:$L,Accounts!$E:$E,'AccountSummary (New)'!T$1,Accounts!$G:$G,'AccountSummary (New)'!T$2,Accounts!$F:$F,'AccountSummary (New)'!T$3,Accounts!$W:$W,0,Accounts!$C:$C,"Customer",Accounts!$H:$H,"&gt;"&amp;180)/T61)</f>
        <v>0</v>
      </c>
      <c r="U62" s="4">
        <f>IF(U61=0,0,SUMIFS(Accounts!$L:$L,Accounts!$E:$E,'AccountSummary (New)'!U$1,Accounts!$G:$G,'AccountSummary (New)'!U$2,Accounts!$F:$F,'AccountSummary (New)'!U$3,Accounts!$W:$W,0,Accounts!$C:$C,"Customer",Accounts!$H:$H,"&gt;"&amp;180)/U61)</f>
        <v>0</v>
      </c>
      <c r="V62" s="4">
        <f>IF(V61=0,0,SUMIFS(Accounts!$L:$L,Accounts!$E:$E,'AccountSummary (New)'!V$1,Accounts!$G:$G,'AccountSummary (New)'!V$2,Accounts!$F:$F,'AccountSummary (New)'!V$3,Accounts!$W:$W,0,Accounts!$C:$C,"Customer",Accounts!$H:$H,"&gt;"&amp;180)/V61)</f>
        <v>0</v>
      </c>
      <c r="W62" s="5">
        <f>IF(W61=0,0,SUMIFS(Accounts!$L:$L,Accounts!$F:$F,'AccountSummary (New)'!W$3,Accounts!$W:$W,0,Accounts!$C:$C,"Customer",Accounts!$H:$H,"&gt;"&amp;60,Accounts!$H:$H,"&lt;="&amp;180)/W61)</f>
        <v>0</v>
      </c>
    </row>
    <row r="63" spans="1:23" x14ac:dyDescent="0.2">
      <c r="A63" s="2" t="s">
        <v>91</v>
      </c>
      <c r="B63" s="13">
        <f>IF(B61=0,0,SUMIFS(Accounts!$M:$M,Accounts!$W:$W,0,Accounts!$C:$C,"Customer",Accounts!$H:$H,"&gt;"&amp;180)/B61)</f>
        <v>2</v>
      </c>
      <c r="C63" s="4">
        <f>IF(C61=0,0,SUMIFS(Accounts!$M:$M,Accounts!$E:$E,'AccountSummary (New)'!C$1,Accounts!$G:$G,'AccountSummary (New)'!C$2,Accounts!$F:$F,'AccountSummary (New)'!C$3,Accounts!$W:$W,0,Accounts!$C:$C,"Customer",Accounts!$H:$H,"&gt;"&amp;180)/C61)</f>
        <v>0</v>
      </c>
      <c r="D63" s="4">
        <f>IF(D61=0,0,SUMIFS(Accounts!$M:$M,Accounts!$E:$E,'AccountSummary (New)'!D$1,Accounts!$G:$G,'AccountSummary (New)'!D$2,Accounts!$F:$F,'AccountSummary (New)'!D$3,Accounts!$W:$W,0,Accounts!$C:$C,"Customer",Accounts!$H:$H,"&gt;"&amp;180)/D61)</f>
        <v>0</v>
      </c>
      <c r="E63" s="4">
        <f>IF(E61=0,0,SUMIFS(Accounts!$M:$M,Accounts!$E:$E,'AccountSummary (New)'!E$1,Accounts!$G:$G,'AccountSummary (New)'!E$2,Accounts!$F:$F,'AccountSummary (New)'!E$3,Accounts!$W:$W,0,Accounts!$C:$C,"Customer",Accounts!$H:$H,"&gt;"&amp;180)/E61)</f>
        <v>0</v>
      </c>
      <c r="F63" s="4">
        <f>IF(F61=0,0,SUMIFS(Accounts!$M:$M,Accounts!$E:$E,'AccountSummary (New)'!F$1,Accounts!$G:$G,'AccountSummary (New)'!F$2,Accounts!$F:$F,'AccountSummary (New)'!F$3,Accounts!$W:$W,0,Accounts!$C:$C,"Customer",Accounts!$H:$H,"&gt;"&amp;180)/F61)</f>
        <v>0</v>
      </c>
      <c r="G63" s="4">
        <f>IF(G61=0,0,SUMIFS(Accounts!$M:$M,Accounts!$E:$E,'AccountSummary (New)'!G$1,Accounts!$G:$G,'AccountSummary (New)'!G$2,Accounts!$F:$F,'AccountSummary (New)'!G$3,Accounts!$W:$W,0,Accounts!$C:$C,"Customer",Accounts!$H:$H,"&gt;"&amp;180)/G61)</f>
        <v>0</v>
      </c>
      <c r="H63" s="4">
        <f>IF(H61=0,0,SUMIFS(Accounts!$M:$M,Accounts!$E:$E,'AccountSummary (New)'!H$1,Accounts!$G:$G,'AccountSummary (New)'!H$2,Accounts!$F:$F,'AccountSummary (New)'!H$3,Accounts!$W:$W,0,Accounts!$C:$C,"Customer",Accounts!$H:$H,"&gt;"&amp;180)/H61)</f>
        <v>0</v>
      </c>
      <c r="I63" s="5">
        <f>IF(I61=0,0,SUMIFS(Accounts!$M:$M,Accounts!$F:$F,'AccountSummary (New)'!I$3,Accounts!$W:$W,0,Accounts!$C:$C,"Customer",Accounts!$H:$H,"&gt;"&amp;60,Accounts!$H:$H,"&lt;="&amp;180)/I61)</f>
        <v>0</v>
      </c>
      <c r="J63" s="4">
        <f>IF(J61=0,0,SUMIFS(Accounts!$M:$M,Accounts!$E:$E,'AccountSummary (New)'!J$1,Accounts!$G:$G,'AccountSummary (New)'!J$2,Accounts!$F:$F,'AccountSummary (New)'!J$3,Accounts!$W:$W,0,Accounts!$C:$C,"Customer",Accounts!$H:$H,"&gt;"&amp;180)/J61)</f>
        <v>0</v>
      </c>
      <c r="K63" s="4">
        <f>IF(K61=0,0,SUMIFS(Accounts!$M:$M,Accounts!$E:$E,'AccountSummary (New)'!K$1,Accounts!$G:$G,'AccountSummary (New)'!K$2,Accounts!$F:$F,'AccountSummary (New)'!K$3,Accounts!$W:$W,0,Accounts!$C:$C,"Customer",Accounts!$H:$H,"&gt;"&amp;180)/K61)</f>
        <v>0</v>
      </c>
      <c r="L63" s="4">
        <f>IF(L61=0,0,SUMIFS(Accounts!$M:$M,Accounts!$E:$E,'AccountSummary (New)'!L$1,Accounts!$G:$G,'AccountSummary (New)'!L$2,Accounts!$F:$F,'AccountSummary (New)'!L$3,Accounts!$W:$W,0,Accounts!$C:$C,"Customer",Accounts!$H:$H,"&gt;"&amp;180)/L61)</f>
        <v>0</v>
      </c>
      <c r="M63" s="4">
        <f>IF(M61=0,0,SUMIFS(Accounts!$M:$M,Accounts!$E:$E,'AccountSummary (New)'!M$1,Accounts!$G:$G,'AccountSummary (New)'!M$2,Accounts!$F:$F,'AccountSummary (New)'!M$3,Accounts!$W:$W,0,Accounts!$C:$C,"Customer",Accounts!$H:$H,"&gt;"&amp;180)/M61)</f>
        <v>0</v>
      </c>
      <c r="N63" s="4">
        <f>IF(N61=0,0,SUMIFS(Accounts!$M:$M,Accounts!$E:$E,'AccountSummary (New)'!N$1,Accounts!$G:$G,'AccountSummary (New)'!N$2,Accounts!$F:$F,'AccountSummary (New)'!N$3,Accounts!$W:$W,0,Accounts!$C:$C,"Customer",Accounts!$H:$H,"&gt;"&amp;180)/N61)</f>
        <v>0</v>
      </c>
      <c r="O63" s="4">
        <f>IF(O61=0,0,SUMIFS(Accounts!$M:$M,Accounts!$E:$E,'AccountSummary (New)'!O$1,Accounts!$G:$G,'AccountSummary (New)'!O$2,Accounts!$F:$F,'AccountSummary (New)'!O$3,Accounts!$W:$W,0,Accounts!$C:$C,"Customer",Accounts!$H:$H,"&gt;"&amp;180)/O61)</f>
        <v>0</v>
      </c>
      <c r="P63" s="5">
        <f>IF(P61=0,0,SUMIFS(Accounts!$M:$M,Accounts!$F:$F,'AccountSummary (New)'!P$3,Accounts!$W:$W,0,Accounts!$C:$C,"Customer",Accounts!$H:$H,"&gt;"&amp;60,Accounts!$H:$H,"&lt;="&amp;180)/P61)</f>
        <v>0</v>
      </c>
      <c r="Q63" s="4">
        <f>IF(Q61=0,0,SUMIFS(Accounts!$M:$M,Accounts!$E:$E,'AccountSummary (New)'!Q$1,Accounts!$G:$G,'AccountSummary (New)'!Q$2,Accounts!$F:$F,'AccountSummary (New)'!Q$3,Accounts!$W:$W,0,Accounts!$C:$C,"Customer",Accounts!$H:$H,"&gt;"&amp;180)/Q61)</f>
        <v>0</v>
      </c>
      <c r="R63" s="4">
        <f>IF(R61=0,0,SUMIFS(Accounts!$M:$M,Accounts!$E:$E,'AccountSummary (New)'!R$1,Accounts!$G:$G,'AccountSummary (New)'!R$2,Accounts!$F:$F,'AccountSummary (New)'!R$3,Accounts!$W:$W,0,Accounts!$C:$C,"Customer",Accounts!$H:$H,"&gt;"&amp;180)/R61)</f>
        <v>2</v>
      </c>
      <c r="S63" s="4">
        <f>IF(S61=0,0,SUMIFS(Accounts!$M:$M,Accounts!$E:$E,'AccountSummary (New)'!S$1,Accounts!$G:$G,'AccountSummary (New)'!S$2,Accounts!$F:$F,'AccountSummary (New)'!S$3,Accounts!$W:$W,0,Accounts!$C:$C,"Customer",Accounts!$H:$H,"&gt;"&amp;180)/S61)</f>
        <v>0</v>
      </c>
      <c r="T63" s="4">
        <f>IF(T61=0,0,SUMIFS(Accounts!$M:$M,Accounts!$E:$E,'AccountSummary (New)'!T$1,Accounts!$G:$G,'AccountSummary (New)'!T$2,Accounts!$F:$F,'AccountSummary (New)'!T$3,Accounts!$W:$W,0,Accounts!$C:$C,"Customer",Accounts!$H:$H,"&gt;"&amp;180)/T61)</f>
        <v>0</v>
      </c>
      <c r="U63" s="4">
        <f>IF(U61=0,0,SUMIFS(Accounts!$M:$M,Accounts!$E:$E,'AccountSummary (New)'!U$1,Accounts!$G:$G,'AccountSummary (New)'!U$2,Accounts!$F:$F,'AccountSummary (New)'!U$3,Accounts!$W:$W,0,Accounts!$C:$C,"Customer",Accounts!$H:$H,"&gt;"&amp;180)/U61)</f>
        <v>0</v>
      </c>
      <c r="V63" s="4">
        <f>IF(V61=0,0,SUMIFS(Accounts!$M:$M,Accounts!$E:$E,'AccountSummary (New)'!V$1,Accounts!$G:$G,'AccountSummary (New)'!V$2,Accounts!$F:$F,'AccountSummary (New)'!V$3,Accounts!$W:$W,0,Accounts!$C:$C,"Customer",Accounts!$H:$H,"&gt;"&amp;180)/V61)</f>
        <v>0</v>
      </c>
      <c r="W63" s="5">
        <f>IF(W61=0,0,SUMIFS(Accounts!$M:$M,Accounts!$F:$F,'AccountSummary (New)'!W$3,Accounts!$W:$W,0,Accounts!$C:$C,"Customer",Accounts!$H:$H,"&gt;"&amp;60,Accounts!$H:$H,"&lt;="&amp;180)/W61)</f>
        <v>0</v>
      </c>
    </row>
    <row r="64" spans="1:23" x14ac:dyDescent="0.2">
      <c r="A64" s="1" t="s">
        <v>92</v>
      </c>
      <c r="B64" s="10">
        <f t="shared" ref="B64:W64" si="19">IF(B61=0,0,B65/B61)</f>
        <v>0</v>
      </c>
      <c r="C64" s="18">
        <f t="shared" si="19"/>
        <v>0</v>
      </c>
      <c r="D64" s="18">
        <f t="shared" si="19"/>
        <v>0</v>
      </c>
      <c r="E64" s="18">
        <f t="shared" si="19"/>
        <v>0</v>
      </c>
      <c r="F64" s="18">
        <f t="shared" si="19"/>
        <v>0</v>
      </c>
      <c r="G64" s="18">
        <f t="shared" si="19"/>
        <v>0</v>
      </c>
      <c r="H64" s="18">
        <f t="shared" si="19"/>
        <v>0</v>
      </c>
      <c r="I64" s="6">
        <f t="shared" si="19"/>
        <v>0</v>
      </c>
      <c r="J64" s="18">
        <f t="shared" si="19"/>
        <v>0</v>
      </c>
      <c r="K64" s="18">
        <f t="shared" si="19"/>
        <v>0</v>
      </c>
      <c r="L64" s="18">
        <f t="shared" si="19"/>
        <v>0</v>
      </c>
      <c r="M64" s="18">
        <f t="shared" si="19"/>
        <v>0</v>
      </c>
      <c r="N64" s="18">
        <f t="shared" si="19"/>
        <v>0</v>
      </c>
      <c r="O64" s="18">
        <f t="shared" si="19"/>
        <v>0</v>
      </c>
      <c r="P64" s="6">
        <f t="shared" si="19"/>
        <v>0</v>
      </c>
      <c r="Q64" s="18">
        <f t="shared" si="19"/>
        <v>0</v>
      </c>
      <c r="R64" s="18">
        <f t="shared" si="19"/>
        <v>0</v>
      </c>
      <c r="S64" s="18">
        <f t="shared" si="19"/>
        <v>0</v>
      </c>
      <c r="T64" s="18">
        <f t="shared" si="19"/>
        <v>0</v>
      </c>
      <c r="U64" s="18">
        <f t="shared" si="19"/>
        <v>0</v>
      </c>
      <c r="V64" s="18">
        <f t="shared" si="19"/>
        <v>0</v>
      </c>
      <c r="W64" s="6">
        <f t="shared" si="19"/>
        <v>0</v>
      </c>
    </row>
    <row r="65" spans="1:23" x14ac:dyDescent="0.2">
      <c r="A65" s="1" t="s">
        <v>93</v>
      </c>
      <c r="B65" s="10">
        <f>I65+P65+W65</f>
        <v>0</v>
      </c>
      <c r="C65" s="18">
        <f>SUMIFS(Accounts!$I:$I,Accounts!$E:$E,'AccountSummary (New)'!C$1,Accounts!$G:$G,'AccountSummary (New)'!C$2,Accounts!$F:$F,'AccountSummary (New)'!C$3,Accounts!$W:$W,0,Accounts!$C:$C,"Customer",Accounts!$C:$C,"Customer",Accounts!$H:$H,"&gt;"&amp;180)</f>
        <v>0</v>
      </c>
      <c r="D65" s="18">
        <f>SUMIFS(Accounts!$I:$I,Accounts!$E:$E,'AccountSummary (New)'!D$1,Accounts!$G:$G,'AccountSummary (New)'!D$2,Accounts!$F:$F,'AccountSummary (New)'!D$3,Accounts!$W:$W,0,Accounts!$C:$C,"Customer",Accounts!$C:$C,"Customer",Accounts!$H:$H,"&gt;"&amp;180)</f>
        <v>0</v>
      </c>
      <c r="E65" s="18">
        <f>SUMIFS(Accounts!$I:$I,Accounts!$E:$E,'AccountSummary (New)'!E$1,Accounts!$G:$G,'AccountSummary (New)'!E$2,Accounts!$F:$F,'AccountSummary (New)'!E$3,Accounts!$W:$W,0,Accounts!$C:$C,"Customer",Accounts!$C:$C,"Customer",Accounts!$H:$H,"&gt;"&amp;180)</f>
        <v>0</v>
      </c>
      <c r="F65" s="18">
        <f>SUMIFS(Accounts!$I:$I,Accounts!$E:$E,'AccountSummary (New)'!F$1,Accounts!$G:$G,'AccountSummary (New)'!F$2,Accounts!$F:$F,'AccountSummary (New)'!F$3,Accounts!$W:$W,0,Accounts!$C:$C,"Customer",Accounts!$C:$C,"Customer",Accounts!$H:$H,"&gt;"&amp;180)</f>
        <v>0</v>
      </c>
      <c r="G65" s="18">
        <f>SUMIFS(Accounts!$I:$I,Accounts!$E:$E,'AccountSummary (New)'!G$1,Accounts!$G:$G,'AccountSummary (New)'!G$2,Accounts!$F:$F,'AccountSummary (New)'!G$3,Accounts!$W:$W,0,Accounts!$C:$C,"Customer",Accounts!$C:$C,"Customer",Accounts!$H:$H,"&gt;"&amp;180)</f>
        <v>0</v>
      </c>
      <c r="H65" s="18">
        <f>SUMIFS(Accounts!$I:$I,Accounts!$E:$E,'AccountSummary (New)'!H$1,Accounts!$G:$G,'AccountSummary (New)'!H$2,Accounts!$F:$F,'AccountSummary (New)'!H$3,Accounts!$W:$W,0,Accounts!$C:$C,"Customer",Accounts!$C:$C,"Customer",Accounts!$H:$H,"&gt;"&amp;180)</f>
        <v>0</v>
      </c>
      <c r="I65" s="6">
        <f>SUM(C65:H65)</f>
        <v>0</v>
      </c>
      <c r="J65" s="18">
        <f>SUMIFS(Accounts!$I:$I,Accounts!$E:$E,'AccountSummary (New)'!J$1,Accounts!$G:$G,'AccountSummary (New)'!J$2,Accounts!$F:$F,'AccountSummary (New)'!J$3,Accounts!$W:$W,0,Accounts!$C:$C,"Customer",Accounts!$C:$C,"Customer",Accounts!$H:$H,"&gt;"&amp;180)</f>
        <v>0</v>
      </c>
      <c r="K65" s="18">
        <f>SUMIFS(Accounts!$I:$I,Accounts!$E:$E,'AccountSummary (New)'!K$1,Accounts!$G:$G,'AccountSummary (New)'!K$2,Accounts!$F:$F,'AccountSummary (New)'!K$3,Accounts!$W:$W,0,Accounts!$C:$C,"Customer",Accounts!$C:$C,"Customer",Accounts!$H:$H,"&gt;"&amp;180)</f>
        <v>0</v>
      </c>
      <c r="L65" s="18">
        <f>SUMIFS(Accounts!$I:$I,Accounts!$E:$E,'AccountSummary (New)'!L$1,Accounts!$G:$G,'AccountSummary (New)'!L$2,Accounts!$F:$F,'AccountSummary (New)'!L$3,Accounts!$W:$W,0,Accounts!$C:$C,"Customer",Accounts!$C:$C,"Customer",Accounts!$H:$H,"&gt;"&amp;180)</f>
        <v>0</v>
      </c>
      <c r="M65" s="18">
        <f>SUMIFS(Accounts!$I:$I,Accounts!$E:$E,'AccountSummary (New)'!M$1,Accounts!$G:$G,'AccountSummary (New)'!M$2,Accounts!$F:$F,'AccountSummary (New)'!M$3,Accounts!$W:$W,0,Accounts!$C:$C,"Customer",Accounts!$C:$C,"Customer",Accounts!$H:$H,"&gt;"&amp;180)</f>
        <v>0</v>
      </c>
      <c r="N65" s="18">
        <f>SUMIFS(Accounts!$I:$I,Accounts!$E:$E,'AccountSummary (New)'!N$1,Accounts!$G:$G,'AccountSummary (New)'!N$2,Accounts!$F:$F,'AccountSummary (New)'!N$3,Accounts!$W:$W,0,Accounts!$C:$C,"Customer",Accounts!$C:$C,"Customer",Accounts!$H:$H,"&gt;"&amp;180)</f>
        <v>0</v>
      </c>
      <c r="O65" s="18">
        <f>SUMIFS(Accounts!$I:$I,Accounts!$E:$E,'AccountSummary (New)'!O$1,Accounts!$G:$G,'AccountSummary (New)'!O$2,Accounts!$F:$F,'AccountSummary (New)'!O$3,Accounts!$W:$W,0,Accounts!$C:$C,"Customer",Accounts!$C:$C,"Customer",Accounts!$H:$H,"&gt;"&amp;180)</f>
        <v>0</v>
      </c>
      <c r="P65" s="6">
        <f>SUM(J65:O65)</f>
        <v>0</v>
      </c>
      <c r="Q65" s="18">
        <f>SUMIFS(Accounts!$I:$I,Accounts!$E:$E,'AccountSummary (New)'!Q$1,Accounts!$G:$G,'AccountSummary (New)'!Q$2,Accounts!$F:$F,'AccountSummary (New)'!Q$3,Accounts!$W:$W,0,Accounts!$C:$C,"Customer",Accounts!$C:$C,"Customer",Accounts!$H:$H,"&gt;"&amp;180)</f>
        <v>0</v>
      </c>
      <c r="R65" s="18">
        <f>SUMIFS(Accounts!$I:$I,Accounts!$E:$E,'AccountSummary (New)'!R$1,Accounts!$G:$G,'AccountSummary (New)'!R$2,Accounts!$F:$F,'AccountSummary (New)'!R$3,Accounts!$W:$W,0,Accounts!$C:$C,"Customer",Accounts!$C:$C,"Customer",Accounts!$H:$H,"&gt;"&amp;180)</f>
        <v>0</v>
      </c>
      <c r="S65" s="18">
        <f>SUMIFS(Accounts!$I:$I,Accounts!$E:$E,'AccountSummary (New)'!S$1,Accounts!$G:$G,'AccountSummary (New)'!S$2,Accounts!$F:$F,'AccountSummary (New)'!S$3,Accounts!$W:$W,0,Accounts!$C:$C,"Customer",Accounts!$C:$C,"Customer",Accounts!$H:$H,"&gt;"&amp;180)</f>
        <v>0</v>
      </c>
      <c r="T65" s="18">
        <f>SUMIFS(Accounts!$I:$I,Accounts!$E:$E,'AccountSummary (New)'!T$1,Accounts!$G:$G,'AccountSummary (New)'!T$2,Accounts!$F:$F,'AccountSummary (New)'!T$3,Accounts!$W:$W,0,Accounts!$C:$C,"Customer",Accounts!$C:$C,"Customer",Accounts!$H:$H,"&gt;"&amp;180)</f>
        <v>0</v>
      </c>
      <c r="U65" s="18">
        <f>SUMIFS(Accounts!$I:$I,Accounts!$E:$E,'AccountSummary (New)'!U$1,Accounts!$G:$G,'AccountSummary (New)'!U$2,Accounts!$F:$F,'AccountSummary (New)'!U$3,Accounts!$W:$W,0,Accounts!$C:$C,"Customer",Accounts!$C:$C,"Customer",Accounts!$H:$H,"&gt;"&amp;180)</f>
        <v>0</v>
      </c>
      <c r="V65" s="18">
        <f>SUMIFS(Accounts!$I:$I,Accounts!$E:$E,'AccountSummary (New)'!V$1,Accounts!$G:$G,'AccountSummary (New)'!V$2,Accounts!$F:$F,'AccountSummary (New)'!V$3,Accounts!$W:$W,0,Accounts!$C:$C,"Customer",Accounts!$C:$C,"Customer",Accounts!$H:$H,"&gt;"&amp;180)</f>
        <v>0</v>
      </c>
      <c r="W65" s="6">
        <f>SUM(Q65:V65)</f>
        <v>0</v>
      </c>
    </row>
    <row r="66" spans="1:23" x14ac:dyDescent="0.2">
      <c r="A66" s="1" t="s">
        <v>98</v>
      </c>
      <c r="B66" s="9">
        <f>I66+P66+W66</f>
        <v>0</v>
      </c>
      <c r="C66">
        <f t="shared" ref="C66:H67" si="20">C24+C33+C42+C51+C60</f>
        <v>0</v>
      </c>
      <c r="D66">
        <f t="shared" si="20"/>
        <v>0</v>
      </c>
      <c r="E66">
        <f t="shared" si="20"/>
        <v>0</v>
      </c>
      <c r="F66">
        <f t="shared" si="20"/>
        <v>0</v>
      </c>
      <c r="G66">
        <f t="shared" si="20"/>
        <v>0</v>
      </c>
      <c r="H66">
        <f t="shared" si="20"/>
        <v>0</v>
      </c>
      <c r="I66" s="15">
        <f>SUM(C66:H66)</f>
        <v>0</v>
      </c>
      <c r="J66">
        <f>J24+J33+J42+J51+J60</f>
        <v>0</v>
      </c>
      <c r="K66">
        <f>K24+K33+K42+K51+K60</f>
        <v>0</v>
      </c>
      <c r="L66">
        <f>L24+L33+L42+L60</f>
        <v>0</v>
      </c>
      <c r="M66">
        <f t="shared" ref="M66:O67" si="21">M24+M33+M42+M51+M60</f>
        <v>0</v>
      </c>
      <c r="N66">
        <f t="shared" si="21"/>
        <v>0</v>
      </c>
      <c r="O66">
        <f t="shared" si="21"/>
        <v>0</v>
      </c>
      <c r="P66" s="15">
        <f>SUM(J66:O66)</f>
        <v>0</v>
      </c>
      <c r="Q66">
        <f t="shared" ref="Q66:V67" si="22">Q24+Q33+Q42+Q51+Q60</f>
        <v>0</v>
      </c>
      <c r="R66">
        <f t="shared" si="22"/>
        <v>0</v>
      </c>
      <c r="S66">
        <f t="shared" si="22"/>
        <v>0</v>
      </c>
      <c r="T66">
        <f t="shared" si="22"/>
        <v>0</v>
      </c>
      <c r="U66">
        <f t="shared" si="22"/>
        <v>0</v>
      </c>
      <c r="V66">
        <f t="shared" si="22"/>
        <v>0</v>
      </c>
      <c r="W66" s="15">
        <f>SUM(Q66:V66)</f>
        <v>0</v>
      </c>
    </row>
    <row r="67" spans="1:23" x14ac:dyDescent="0.2">
      <c r="A67" s="1" t="s">
        <v>99</v>
      </c>
      <c r="B67" s="9">
        <f>I67+P67+W67</f>
        <v>1</v>
      </c>
      <c r="C67">
        <f t="shared" si="20"/>
        <v>0</v>
      </c>
      <c r="D67">
        <f t="shared" si="20"/>
        <v>0</v>
      </c>
      <c r="E67">
        <f t="shared" si="20"/>
        <v>0</v>
      </c>
      <c r="F67">
        <f t="shared" si="20"/>
        <v>0</v>
      </c>
      <c r="G67">
        <f t="shared" si="20"/>
        <v>0</v>
      </c>
      <c r="H67">
        <f t="shared" si="20"/>
        <v>0</v>
      </c>
      <c r="I67" s="15">
        <f>SUM(C67:H67)</f>
        <v>0</v>
      </c>
      <c r="J67">
        <f>J25+J34+J43+J52+J61</f>
        <v>0</v>
      </c>
      <c r="K67">
        <f>K25+K34+K43+K52+K61</f>
        <v>0</v>
      </c>
      <c r="L67">
        <f>L25+L34+L43+L52+L61</f>
        <v>0</v>
      </c>
      <c r="M67">
        <f t="shared" si="21"/>
        <v>0</v>
      </c>
      <c r="N67">
        <f t="shared" si="21"/>
        <v>0</v>
      </c>
      <c r="O67">
        <f t="shared" si="21"/>
        <v>0</v>
      </c>
      <c r="P67" s="15">
        <f>SUM(J67:O67)</f>
        <v>0</v>
      </c>
      <c r="Q67">
        <f t="shared" si="22"/>
        <v>0</v>
      </c>
      <c r="R67">
        <f t="shared" si="22"/>
        <v>1</v>
      </c>
      <c r="S67">
        <f t="shared" si="22"/>
        <v>0</v>
      </c>
      <c r="T67">
        <f t="shared" si="22"/>
        <v>0</v>
      </c>
      <c r="U67">
        <f t="shared" si="22"/>
        <v>0</v>
      </c>
      <c r="V67">
        <f t="shared" si="22"/>
        <v>0</v>
      </c>
      <c r="W67" s="15">
        <f>SUM(Q67:V67)</f>
        <v>1</v>
      </c>
    </row>
    <row r="68" spans="1:23" x14ac:dyDescent="0.2">
      <c r="A68" s="7" t="s">
        <v>100</v>
      </c>
      <c r="B68" s="10">
        <f>I68+P68+W68</f>
        <v>0</v>
      </c>
      <c r="C68" s="18">
        <f t="shared" ref="C68:H68" si="23">C29+C38+C47+C56+C65</f>
        <v>0</v>
      </c>
      <c r="D68" s="18">
        <f t="shared" si="23"/>
        <v>0</v>
      </c>
      <c r="E68" s="18">
        <f t="shared" si="23"/>
        <v>0</v>
      </c>
      <c r="F68" s="18">
        <f t="shared" si="23"/>
        <v>0</v>
      </c>
      <c r="G68" s="18">
        <f t="shared" si="23"/>
        <v>0</v>
      </c>
      <c r="H68" s="18">
        <f t="shared" si="23"/>
        <v>0</v>
      </c>
      <c r="I68" s="6">
        <f>SUM(C68:H68)</f>
        <v>0</v>
      </c>
      <c r="J68" s="18">
        <f t="shared" ref="J68:O68" si="24">J29+J38+J47+J56+J65</f>
        <v>0</v>
      </c>
      <c r="K68" s="18">
        <f t="shared" si="24"/>
        <v>0</v>
      </c>
      <c r="L68" s="18">
        <f t="shared" si="24"/>
        <v>0</v>
      </c>
      <c r="M68" s="18">
        <f t="shared" si="24"/>
        <v>0</v>
      </c>
      <c r="N68" s="18">
        <f t="shared" si="24"/>
        <v>0</v>
      </c>
      <c r="O68" s="18">
        <f t="shared" si="24"/>
        <v>0</v>
      </c>
      <c r="P68" s="6">
        <f>SUM(J68:O68)</f>
        <v>0</v>
      </c>
      <c r="Q68" s="18">
        <f t="shared" ref="Q68:V68" si="25">Q29+Q38+Q47+Q56+Q65</f>
        <v>0</v>
      </c>
      <c r="R68" s="18">
        <f t="shared" si="25"/>
        <v>0</v>
      </c>
      <c r="S68" s="18">
        <f t="shared" si="25"/>
        <v>0</v>
      </c>
      <c r="T68" s="18">
        <f t="shared" si="25"/>
        <v>0</v>
      </c>
      <c r="U68" s="18">
        <f t="shared" si="25"/>
        <v>0</v>
      </c>
      <c r="V68" s="18">
        <f t="shared" si="25"/>
        <v>0</v>
      </c>
      <c r="W68" s="6">
        <f>SUM(Q68:V68)</f>
        <v>0</v>
      </c>
    </row>
    <row r="69" spans="1:23" x14ac:dyDescent="0.2">
      <c r="B69" s="9"/>
    </row>
    <row r="70" spans="1:23" x14ac:dyDescent="0.2">
      <c r="A70" s="1" t="s">
        <v>101</v>
      </c>
      <c r="B70" s="11">
        <f t="shared" ref="B70:J70" si="26">IF(B19=0,0,B71/B19)</f>
        <v>0</v>
      </c>
      <c r="C70" s="8">
        <f t="shared" si="26"/>
        <v>0</v>
      </c>
      <c r="D70" s="8">
        <f t="shared" si="26"/>
        <v>0</v>
      </c>
      <c r="E70" s="8">
        <f t="shared" si="26"/>
        <v>0</v>
      </c>
      <c r="F70" s="8">
        <f t="shared" si="26"/>
        <v>0</v>
      </c>
      <c r="G70" s="8">
        <f t="shared" si="26"/>
        <v>0</v>
      </c>
      <c r="H70" s="8">
        <f t="shared" si="26"/>
        <v>0</v>
      </c>
      <c r="I70" s="20">
        <f t="shared" si="26"/>
        <v>0</v>
      </c>
      <c r="J70" s="8">
        <f t="shared" si="26"/>
        <v>0</v>
      </c>
      <c r="K70" s="8">
        <f>IF(K18=0,0,K71/K19)</f>
        <v>0</v>
      </c>
      <c r="L70" s="8">
        <f t="shared" ref="L70:W70" si="27">IF(L19=0,0,L71/L19)</f>
        <v>0</v>
      </c>
      <c r="M70" s="8">
        <f t="shared" si="27"/>
        <v>0</v>
      </c>
      <c r="N70" s="8">
        <f t="shared" si="27"/>
        <v>0</v>
      </c>
      <c r="O70" s="8">
        <f t="shared" si="27"/>
        <v>0</v>
      </c>
      <c r="P70" s="20">
        <f t="shared" si="27"/>
        <v>0</v>
      </c>
      <c r="Q70" s="8">
        <f t="shared" si="27"/>
        <v>0</v>
      </c>
      <c r="R70" s="8">
        <f t="shared" si="27"/>
        <v>0</v>
      </c>
      <c r="S70" s="8">
        <f t="shared" si="27"/>
        <v>0</v>
      </c>
      <c r="T70" s="8">
        <f t="shared" si="27"/>
        <v>0</v>
      </c>
      <c r="U70" s="8">
        <f t="shared" si="27"/>
        <v>0</v>
      </c>
      <c r="V70" s="8">
        <f t="shared" si="27"/>
        <v>0</v>
      </c>
      <c r="W70" s="20">
        <f t="shared" si="27"/>
        <v>0</v>
      </c>
    </row>
    <row r="71" spans="1:23" x14ac:dyDescent="0.2">
      <c r="A71" s="1" t="s">
        <v>102</v>
      </c>
      <c r="B71" s="9">
        <f>I71+P71+W71</f>
        <v>0</v>
      </c>
      <c r="C71">
        <f>COUNTIFS(Accounts!$E:$E,'AccountSummary (New)'!C$1,Accounts!$G:$G,'AccountSummary (New)'!C$2,Accounts!$F:$F,'AccountSummary (New)'!C$3,Accounts!$B:$B,"Customer",Accounts!$D:$D,"Prepay")</f>
        <v>0</v>
      </c>
      <c r="D71">
        <f>COUNTIFS(Accounts!$E:$E,'AccountSummary (New)'!D$1,Accounts!$G:$G,'AccountSummary (New)'!D$2,Accounts!$F:$F,'AccountSummary (New)'!D$3,Accounts!$B:$B,"Customer",Accounts!$D:$D,"Prepay")</f>
        <v>0</v>
      </c>
      <c r="E71">
        <f>COUNTIFS(Accounts!$E:$E,'AccountSummary (New)'!E$1,Accounts!$G:$G,'AccountSummary (New)'!E$2,Accounts!$F:$F,'AccountSummary (New)'!E$3,Accounts!$B:$B,"Customer",Accounts!$D:$D,"Prepay")</f>
        <v>0</v>
      </c>
      <c r="F71">
        <f>COUNTIFS(Accounts!$E:$E,'AccountSummary (New)'!F$1,Accounts!$G:$G,'AccountSummary (New)'!F$2,Accounts!$F:$F,'AccountSummary (New)'!F$3,Accounts!$B:$B,"Customer",Accounts!$D:$D,"Prepay")</f>
        <v>0</v>
      </c>
      <c r="G71">
        <f>COUNTIFS(Accounts!$E:$E,'AccountSummary (New)'!G$1,Accounts!$G:$G,'AccountSummary (New)'!G$2,Accounts!$F:$F,'AccountSummary (New)'!G$3,Accounts!$B:$B,"Customer",Accounts!$D:$D,"Prepay")</f>
        <v>0</v>
      </c>
      <c r="H71">
        <f>COUNTIFS(Accounts!$E:$E,'AccountSummary (New)'!H$1,Accounts!$G:$G,'AccountSummary (New)'!H$2,Accounts!$F:$F,'AccountSummary (New)'!H$3,Accounts!$B:$B,"Customer",Accounts!$D:$D,"Prepay")</f>
        <v>0</v>
      </c>
      <c r="I71" s="15">
        <f>SUM(C71:H71)</f>
        <v>0</v>
      </c>
      <c r="J71">
        <f>COUNTIFS(Accounts!$E:$E,'AccountSummary (New)'!J$1,Accounts!$G:$G,'AccountSummary (New)'!J$2,Accounts!$F:$F,'AccountSummary (New)'!J$3,Accounts!$B:$B,"Customer",Accounts!$D:$D,"Prepay")</f>
        <v>0</v>
      </c>
      <c r="K71">
        <f>COUNTIFS(Accounts!$E:$E,'AccountSummary (New)'!K$1,Accounts!$G:$G,'AccountSummary (New)'!K$2,Accounts!$F:$F,'AccountSummary (New)'!K$3,Accounts!$B:$B,"Customer",Accounts!$D:$D,"Prepay")</f>
        <v>0</v>
      </c>
      <c r="L71">
        <f>COUNTIFS(Accounts!$E:$E,'AccountSummary (New)'!L$1,Accounts!$G:$G,'AccountSummary (New)'!L$2,Accounts!$F:$F,'AccountSummary (New)'!L$3,Accounts!$B:$B,"Customer",Accounts!$D:$D,"Prepay")</f>
        <v>0</v>
      </c>
      <c r="M71">
        <f>COUNTIFS(Accounts!$E:$E,'AccountSummary (New)'!M$1,Accounts!$G:$G,'AccountSummary (New)'!M$2,Accounts!$F:$F,'AccountSummary (New)'!M$3,Accounts!$B:$B,"Customer",Accounts!$D:$D,"Prepay")</f>
        <v>0</v>
      </c>
      <c r="N71">
        <f>COUNTIFS(Accounts!$E:$E,'AccountSummary (New)'!N$1,Accounts!$G:$G,'AccountSummary (New)'!N$2,Accounts!$F:$F,'AccountSummary (New)'!N$3,Accounts!$B:$B,"Customer",Accounts!$D:$D,"Prepay")</f>
        <v>0</v>
      </c>
      <c r="O71">
        <f>COUNTIFS(Accounts!$E:$E,'AccountSummary (New)'!O$1,Accounts!$G:$G,'AccountSummary (New)'!O$2,Accounts!$F:$F,'AccountSummary (New)'!O$3,Accounts!$B:$B,"Customer",Accounts!$D:$D,"Prepay")</f>
        <v>0</v>
      </c>
      <c r="P71" s="15">
        <f>SUM(J71:O71)</f>
        <v>0</v>
      </c>
      <c r="Q71">
        <f>COUNTIFS(Accounts!$E:$E,'AccountSummary (New)'!Q$1,Accounts!$G:$G,'AccountSummary (New)'!Q$2,Accounts!$F:$F,'AccountSummary (New)'!Q$3,Accounts!$B:$B,"Customer",Accounts!$D:$D,"Prepay")</f>
        <v>0</v>
      </c>
      <c r="R71">
        <f>COUNTIFS(Accounts!$E:$E,'AccountSummary (New)'!R$1,Accounts!$G:$G,'AccountSummary (New)'!R$2,Accounts!$F:$F,'AccountSummary (New)'!R$3,Accounts!$B:$B,"Customer",Accounts!$D:$D,"Prepay")</f>
        <v>0</v>
      </c>
      <c r="S71">
        <f>COUNTIFS(Accounts!$E:$E,'AccountSummary (New)'!S$1,Accounts!$G:$G,'AccountSummary (New)'!S$2,Accounts!$F:$F,'AccountSummary (New)'!S$3,Accounts!$B:$B,"Customer",Accounts!$D:$D,"Prepay")</f>
        <v>0</v>
      </c>
      <c r="T71">
        <f>COUNTIFS(Accounts!$E:$E,'AccountSummary (New)'!T$1,Accounts!$G:$G,'AccountSummary (New)'!T$2,Accounts!$F:$F,'AccountSummary (New)'!T$3,Accounts!$B:$B,"Customer",Accounts!$D:$D,"Prepay")</f>
        <v>0</v>
      </c>
      <c r="U71">
        <f>COUNTIFS(Accounts!$E:$E,'AccountSummary (New)'!U$1,Accounts!$G:$G,'AccountSummary (New)'!U$2,Accounts!$F:$F,'AccountSummary (New)'!U$3,Accounts!$B:$B,"Customer",Accounts!$D:$D,"Prepay")</f>
        <v>0</v>
      </c>
      <c r="V71">
        <f>COUNTIFS(Accounts!$E:$E,'AccountSummary (New)'!V$1,Accounts!$G:$G,'AccountSummary (New)'!V$2,Accounts!$F:$F,'AccountSummary (New)'!V$3,Accounts!$B:$B,"Customer",Accounts!$D:$D,"Prepay")</f>
        <v>0</v>
      </c>
      <c r="W71" s="15">
        <f>SUM(Q71:V71)</f>
        <v>0</v>
      </c>
    </row>
    <row r="72" spans="1:23" x14ac:dyDescent="0.2">
      <c r="A72" s="1" t="s">
        <v>103</v>
      </c>
      <c r="B72" s="11">
        <f t="shared" ref="B72:W72" si="28">IF(B71=0,0,B73/B71)</f>
        <v>0</v>
      </c>
      <c r="C72" s="8">
        <f t="shared" si="28"/>
        <v>0</v>
      </c>
      <c r="D72" s="8">
        <f t="shared" si="28"/>
        <v>0</v>
      </c>
      <c r="E72" s="8">
        <f t="shared" si="28"/>
        <v>0</v>
      </c>
      <c r="F72" s="8">
        <f t="shared" si="28"/>
        <v>0</v>
      </c>
      <c r="G72" s="8">
        <f t="shared" si="28"/>
        <v>0</v>
      </c>
      <c r="H72" s="8">
        <f t="shared" si="28"/>
        <v>0</v>
      </c>
      <c r="I72" s="20">
        <f t="shared" si="28"/>
        <v>0</v>
      </c>
      <c r="J72" s="8">
        <f t="shared" si="28"/>
        <v>0</v>
      </c>
      <c r="K72" s="8">
        <f t="shared" si="28"/>
        <v>0</v>
      </c>
      <c r="L72" s="8">
        <f t="shared" si="28"/>
        <v>0</v>
      </c>
      <c r="M72" s="8">
        <f t="shared" si="28"/>
        <v>0</v>
      </c>
      <c r="N72" s="8">
        <f t="shared" si="28"/>
        <v>0</v>
      </c>
      <c r="O72" s="8">
        <f t="shared" si="28"/>
        <v>0</v>
      </c>
      <c r="P72" s="20">
        <f t="shared" si="28"/>
        <v>0</v>
      </c>
      <c r="Q72" s="8">
        <f t="shared" si="28"/>
        <v>0</v>
      </c>
      <c r="R72" s="8">
        <f t="shared" si="28"/>
        <v>0</v>
      </c>
      <c r="S72" s="8">
        <f t="shared" si="28"/>
        <v>0</v>
      </c>
      <c r="T72" s="8">
        <f t="shared" si="28"/>
        <v>0</v>
      </c>
      <c r="U72" s="8">
        <f t="shared" si="28"/>
        <v>0</v>
      </c>
      <c r="V72" s="8">
        <f t="shared" si="28"/>
        <v>0</v>
      </c>
      <c r="W72" s="20">
        <f t="shared" si="28"/>
        <v>0</v>
      </c>
    </row>
    <row r="73" spans="1:23" x14ac:dyDescent="0.2">
      <c r="A73" s="1" t="s">
        <v>104</v>
      </c>
      <c r="B73" s="9">
        <f>I73+P73+W73</f>
        <v>0</v>
      </c>
      <c r="C73">
        <f>COUNTIFS(Accounts!$E:$E,'AccountSummary (New)'!C$1,Accounts!$G:$G,'AccountSummary (New)'!C$2,Accounts!$F:$F,'AccountSummary (New)'!C$3,Accounts!$B:$B,"Customer",Accounts!$D:$D,"Prepay",Accounts!$C:$C,"Lost")</f>
        <v>0</v>
      </c>
      <c r="D73">
        <f>COUNTIFS(Accounts!$E:$E,'AccountSummary (New)'!D$1,Accounts!$G:$G,'AccountSummary (New)'!D$2,Accounts!$F:$F,'AccountSummary (New)'!D$3,Accounts!$B:$B,"Customer",Accounts!$D:$D,"Prepay",Accounts!$C:$C,"Lost")</f>
        <v>0</v>
      </c>
      <c r="E73">
        <f>COUNTIFS(Accounts!$E:$E,'AccountSummary (New)'!E$1,Accounts!$G:$G,'AccountSummary (New)'!E$2,Accounts!$F:$F,'AccountSummary (New)'!E$3,Accounts!$B:$B,"Customer",Accounts!$D:$D,"Prepay",Accounts!$C:$C,"Lost")</f>
        <v>0</v>
      </c>
      <c r="F73">
        <f>COUNTIFS(Accounts!$E:$E,'AccountSummary (New)'!F$1,Accounts!$G:$G,'AccountSummary (New)'!F$2,Accounts!$F:$F,'AccountSummary (New)'!F$3,Accounts!$B:$B,"Customer",Accounts!$D:$D,"Prepay",Accounts!$C:$C,"Lost")</f>
        <v>0</v>
      </c>
      <c r="G73">
        <f>COUNTIFS(Accounts!$E:$E,'AccountSummary (New)'!G$1,Accounts!$G:$G,'AccountSummary (New)'!G$2,Accounts!$F:$F,'AccountSummary (New)'!G$3,Accounts!$B:$B,"Customer",Accounts!$D:$D,"Prepay",Accounts!$C:$C,"Lost")</f>
        <v>0</v>
      </c>
      <c r="H73">
        <f>COUNTIFS(Accounts!$E:$E,'AccountSummary (New)'!H$1,Accounts!$G:$G,'AccountSummary (New)'!H$2,Accounts!$F:$F,'AccountSummary (New)'!H$3,Accounts!$B:$B,"Customer",Accounts!$D:$D,"Prepay",Accounts!$C:$C,"Lost")</f>
        <v>0</v>
      </c>
      <c r="I73" s="15">
        <f>SUM(C73:H73)</f>
        <v>0</v>
      </c>
      <c r="J73">
        <f>COUNTIFS(Accounts!$E:$E,'AccountSummary (New)'!J$1,Accounts!$G:$G,'AccountSummary (New)'!J$2,Accounts!$F:$F,'AccountSummary (New)'!J$3,Accounts!$B:$B,"Customer",Accounts!$D:$D,"Prepay",Accounts!$C:$C,"Lost")</f>
        <v>0</v>
      </c>
      <c r="K73">
        <f>COUNTIFS(Accounts!$E:$E,'AccountSummary (New)'!K$1,Accounts!$G:$G,'AccountSummary (New)'!K$2,Accounts!$F:$F,'AccountSummary (New)'!K$3,Accounts!$B:$B,"Customer",Accounts!$D:$D,"Prepay",Accounts!$C:$C,"Lost")</f>
        <v>0</v>
      </c>
      <c r="L73">
        <f>COUNTIFS(Accounts!$E:$E,'AccountSummary (New)'!L$1,Accounts!$G:$G,'AccountSummary (New)'!L$2,Accounts!$F:$F,'AccountSummary (New)'!L$3,Accounts!$B:$B,"Customer",Accounts!$D:$D,"Prepay",Accounts!$C:$C,"Lost")</f>
        <v>0</v>
      </c>
      <c r="M73">
        <f>COUNTIFS(Accounts!$E:$E,'AccountSummary (New)'!M$1,Accounts!$G:$G,'AccountSummary (New)'!M$2,Accounts!$F:$F,'AccountSummary (New)'!M$3,Accounts!$B:$B,"Customer",Accounts!$D:$D,"Prepay",Accounts!$C:$C,"Lost")</f>
        <v>0</v>
      </c>
      <c r="N73">
        <f>COUNTIFS(Accounts!$E:$E,'AccountSummary (New)'!N$1,Accounts!$G:$G,'AccountSummary (New)'!N$2,Accounts!$F:$F,'AccountSummary (New)'!N$3,Accounts!$B:$B,"Customer",Accounts!$D:$D,"Prepay",Accounts!$C:$C,"Lost")</f>
        <v>0</v>
      </c>
      <c r="O73">
        <f>COUNTIFS(Accounts!$E:$E,'AccountSummary (New)'!O$1,Accounts!$G:$G,'AccountSummary (New)'!O$2,Accounts!$F:$F,'AccountSummary (New)'!O$3,Accounts!$B:$B,"Customer",Accounts!$D:$D,"Prepay",Accounts!$C:$C,"Lost")</f>
        <v>0</v>
      </c>
      <c r="P73" s="15">
        <f>SUM(J73:O73)</f>
        <v>0</v>
      </c>
      <c r="Q73">
        <f>COUNTIFS(Accounts!$E:$E,'AccountSummary (New)'!Q$1,Accounts!$G:$G,'AccountSummary (New)'!Q$2,Accounts!$F:$F,'AccountSummary (New)'!Q$3,Accounts!$B:$B,"Customer",Accounts!$D:$D,"Prepay",Accounts!$C:$C,"Lost")</f>
        <v>0</v>
      </c>
      <c r="R73">
        <f>COUNTIFS(Accounts!$E:$E,'AccountSummary (New)'!R$1,Accounts!$G:$G,'AccountSummary (New)'!R$2,Accounts!$F:$F,'AccountSummary (New)'!R$3,Accounts!$B:$B,"Customer",Accounts!$D:$D,"Prepay",Accounts!$C:$C,"Lost")</f>
        <v>0</v>
      </c>
      <c r="S73">
        <f>COUNTIFS(Accounts!$E:$E,'AccountSummary (New)'!S$1,Accounts!$G:$G,'AccountSummary (New)'!S$2,Accounts!$F:$F,'AccountSummary (New)'!S$3,Accounts!$B:$B,"Customer",Accounts!$D:$D,"Prepay",Accounts!$C:$C,"Lost")</f>
        <v>0</v>
      </c>
      <c r="T73">
        <f>COUNTIFS(Accounts!$E:$E,'AccountSummary (New)'!T$1,Accounts!$G:$G,'AccountSummary (New)'!T$2,Accounts!$F:$F,'AccountSummary (New)'!T$3,Accounts!$B:$B,"Customer",Accounts!$D:$D,"Prepay",Accounts!$C:$C,"Lost")</f>
        <v>0</v>
      </c>
      <c r="U73">
        <f>COUNTIFS(Accounts!$E:$E,'AccountSummary (New)'!U$1,Accounts!$G:$G,'AccountSummary (New)'!U$2,Accounts!$F:$F,'AccountSummary (New)'!U$3,Accounts!$B:$B,"Customer",Accounts!$D:$D,"Prepay",Accounts!$C:$C,"Lost")</f>
        <v>0</v>
      </c>
      <c r="V73">
        <f>COUNTIFS(Accounts!$E:$E,'AccountSummary (New)'!V$1,Accounts!$G:$G,'AccountSummary (New)'!V$2,Accounts!$F:$F,'AccountSummary (New)'!V$3,Accounts!$B:$B,"Customer",Accounts!$D:$D,"Prepay",Accounts!$C:$C,"Lost")</f>
        <v>0</v>
      </c>
      <c r="W73" s="15">
        <f>SUM(Q73:V73)</f>
        <v>0</v>
      </c>
    </row>
    <row r="74" spans="1:23" x14ac:dyDescent="0.2">
      <c r="A74" s="1" t="s">
        <v>105</v>
      </c>
      <c r="B74" s="9">
        <f>I74+P74+W74</f>
        <v>0</v>
      </c>
      <c r="C74">
        <f>COUNTIFS(Accounts!$E:$E,'AccountSummary (New)'!C$1,Accounts!$G:$G,'AccountSummary (New)'!C$2,Accounts!$F:$F,'AccountSummary (New)'!C$3,Accounts!$B:$B,"Customer",Accounts!$D:$D,"Prepay",Accounts!$C:$C,"Customer")</f>
        <v>0</v>
      </c>
      <c r="D74">
        <f>COUNTIFS(Accounts!$E:$E,'AccountSummary (New)'!D$1,Accounts!$G:$G,'AccountSummary (New)'!D$2,Accounts!$F:$F,'AccountSummary (New)'!D$3,Accounts!$B:$B,"Customer",Accounts!$D:$D,"Prepay",Accounts!$C:$C,"Customer")</f>
        <v>0</v>
      </c>
      <c r="E74">
        <f>COUNTIFS(Accounts!$E:$E,'AccountSummary (New)'!E$1,Accounts!$G:$G,'AccountSummary (New)'!E$2,Accounts!$F:$F,'AccountSummary (New)'!E$3,Accounts!$B:$B,"Customer",Accounts!$D:$D,"Prepay",Accounts!$C:$C,"Customer")</f>
        <v>0</v>
      </c>
      <c r="F74">
        <f>COUNTIFS(Accounts!$E:$E,'AccountSummary (New)'!F$1,Accounts!$G:$G,'AccountSummary (New)'!F$2,Accounts!$F:$F,'AccountSummary (New)'!F$3,Accounts!$B:$B,"Customer",Accounts!$D:$D,"Prepay",Accounts!$C:$C,"Customer")</f>
        <v>0</v>
      </c>
      <c r="G74">
        <f>COUNTIFS(Accounts!$E:$E,'AccountSummary (New)'!G$1,Accounts!$G:$G,'AccountSummary (New)'!G$2,Accounts!$F:$F,'AccountSummary (New)'!G$3,Accounts!$B:$B,"Customer",Accounts!$D:$D,"Prepay",Accounts!$C:$C,"Customer")</f>
        <v>0</v>
      </c>
      <c r="H74">
        <f>COUNTIFS(Accounts!$E:$E,'AccountSummary (New)'!H$1,Accounts!$G:$G,'AccountSummary (New)'!H$2,Accounts!$F:$F,'AccountSummary (New)'!H$3,Accounts!$B:$B,"Customer",Accounts!$D:$D,"Prepay",Accounts!$C:$C,"Customer")</f>
        <v>0</v>
      </c>
      <c r="I74" s="15">
        <f>SUM(C74:H74)</f>
        <v>0</v>
      </c>
      <c r="J74">
        <f>COUNTIFS(Accounts!$E:$E,'AccountSummary (New)'!J$1,Accounts!$G:$G,'AccountSummary (New)'!J$2,Accounts!$F:$F,'AccountSummary (New)'!J$3,Accounts!$B:$B,"Customer",Accounts!$D:$D,"Prepay",Accounts!$C:$C,"Customer")</f>
        <v>0</v>
      </c>
      <c r="K74">
        <f>COUNTIFS(Accounts!$E:$E,'AccountSummary (New)'!K$1,Accounts!$G:$G,'AccountSummary (New)'!K$2,Accounts!$F:$F,'AccountSummary (New)'!K$3,Accounts!$B:$B,"Customer",Accounts!$D:$D,"Prepay",Accounts!$C:$C,"Customer")</f>
        <v>0</v>
      </c>
      <c r="L74">
        <f>COUNTIFS(Accounts!$E:$E,'AccountSummary (New)'!L$1,Accounts!$G:$G,'AccountSummary (New)'!L$2,Accounts!$F:$F,'AccountSummary (New)'!L$3,Accounts!$B:$B,"Customer",Accounts!$D:$D,"Prepay",Accounts!$C:$C,"Customer")</f>
        <v>0</v>
      </c>
      <c r="M74">
        <f>COUNTIFS(Accounts!$E:$E,'AccountSummary (New)'!M$1,Accounts!$G:$G,'AccountSummary (New)'!M$2,Accounts!$F:$F,'AccountSummary (New)'!M$3,Accounts!$B:$B,"Customer",Accounts!$D:$D,"Prepay",Accounts!$C:$C,"Customer")</f>
        <v>0</v>
      </c>
      <c r="N74">
        <f>COUNTIFS(Accounts!$E:$E,'AccountSummary (New)'!N$1,Accounts!$G:$G,'AccountSummary (New)'!N$2,Accounts!$F:$F,'AccountSummary (New)'!N$3,Accounts!$B:$B,"Customer",Accounts!$D:$D,"Prepay",Accounts!$C:$C,"Customer")</f>
        <v>0</v>
      </c>
      <c r="O74">
        <f>COUNTIFS(Accounts!$E:$E,'AccountSummary (New)'!O$1,Accounts!$G:$G,'AccountSummary (New)'!O$2,Accounts!$F:$F,'AccountSummary (New)'!O$3,Accounts!$B:$B,"Customer",Accounts!$D:$D,"Prepay",Accounts!$C:$C,"Customer")</f>
        <v>0</v>
      </c>
      <c r="P74" s="15">
        <f>SUM(J74:O74)</f>
        <v>0</v>
      </c>
      <c r="Q74">
        <f>COUNTIFS(Accounts!$E:$E,'AccountSummary (New)'!Q$1,Accounts!$G:$G,'AccountSummary (New)'!Q$2,Accounts!$F:$F,'AccountSummary (New)'!Q$3,Accounts!$B:$B,"Customer",Accounts!$D:$D,"Prepay",Accounts!$C:$C,"Customer")</f>
        <v>0</v>
      </c>
      <c r="R74">
        <f>COUNTIFS(Accounts!$E:$E,'AccountSummary (New)'!R$1,Accounts!$G:$G,'AccountSummary (New)'!R$2,Accounts!$F:$F,'AccountSummary (New)'!R$3,Accounts!$B:$B,"Customer",Accounts!$D:$D,"Prepay",Accounts!$C:$C,"Customer")</f>
        <v>0</v>
      </c>
      <c r="S74">
        <f>COUNTIFS(Accounts!$E:$E,'AccountSummary (New)'!S$1,Accounts!$G:$G,'AccountSummary (New)'!S$2,Accounts!$F:$F,'AccountSummary (New)'!S$3,Accounts!$B:$B,"Customer",Accounts!$D:$D,"Prepay",Accounts!$C:$C,"Customer")</f>
        <v>0</v>
      </c>
      <c r="T74">
        <f>COUNTIFS(Accounts!$E:$E,'AccountSummary (New)'!T$1,Accounts!$G:$G,'AccountSummary (New)'!T$2,Accounts!$F:$F,'AccountSummary (New)'!T$3,Accounts!$B:$B,"Customer",Accounts!$D:$D,"Prepay",Accounts!$C:$C,"Customer")</f>
        <v>0</v>
      </c>
      <c r="U74">
        <f>COUNTIFS(Accounts!$E:$E,'AccountSummary (New)'!U$1,Accounts!$G:$G,'AccountSummary (New)'!U$2,Accounts!$F:$F,'AccountSummary (New)'!U$3,Accounts!$B:$B,"Customer",Accounts!$D:$D,"Prepay",Accounts!$C:$C,"Customer")</f>
        <v>0</v>
      </c>
      <c r="V74">
        <f>COUNTIFS(Accounts!$E:$E,'AccountSummary (New)'!V$1,Accounts!$G:$G,'AccountSummary (New)'!V$2,Accounts!$F:$F,'AccountSummary (New)'!V$3,Accounts!$B:$B,"Customer",Accounts!$D:$D,"Prepay",Accounts!$C:$C,"Customer")</f>
        <v>0</v>
      </c>
      <c r="W74" s="15">
        <f>SUM(Q74:V74)</f>
        <v>0</v>
      </c>
    </row>
    <row r="75" spans="1:23" x14ac:dyDescent="0.2">
      <c r="A75" s="2" t="s">
        <v>75</v>
      </c>
      <c r="B75" s="13">
        <f>IF(B74=0,0,SUMIFS(Accounts!$L:$L,Accounts!$W:$W,0,Accounts!$C:$C,"Customer",Accounts!$D:$D,"Prepay")/B74)</f>
        <v>0</v>
      </c>
      <c r="C75" s="4">
        <f>IF(C74=0,0,SUMIFS(Accounts!$L:$L,Accounts!$E:$E,'AccountSummary (New)'!C$1,Accounts!$G:$G,'AccountSummary (New)'!C$2,Accounts!$F:$F,'AccountSummary (New)'!C$3,Accounts!$W:$W,0,Accounts!$C:$C,"Customer",Accounts!$D:$D,"Prepay")/C74)</f>
        <v>0</v>
      </c>
      <c r="D75" s="4">
        <f>IF(D74=0,0,SUMIFS(Accounts!$L:$L,Accounts!$E:$E,'AccountSummary (New)'!D$1,Accounts!$G:$G,'AccountSummary (New)'!D$2,Accounts!$F:$F,'AccountSummary (New)'!D$3,Accounts!$W:$W,0,Accounts!$C:$C,"Customer",Accounts!$D:$D,"Prepay")/D74)</f>
        <v>0</v>
      </c>
      <c r="E75" s="4">
        <f>IF(E74=0,0,SUMIFS(Accounts!$L:$L,Accounts!$E:$E,'AccountSummary (New)'!E$1,Accounts!$G:$G,'AccountSummary (New)'!E$2,Accounts!$F:$F,'AccountSummary (New)'!E$3,Accounts!$W:$W,0,Accounts!$C:$C,"Customer",Accounts!$D:$D,"Prepay")/E74)</f>
        <v>0</v>
      </c>
      <c r="F75" s="4">
        <f>IF(F74=0,0,SUMIFS(Accounts!$L:$L,Accounts!$E:$E,'AccountSummary (New)'!F$1,Accounts!$G:$G,'AccountSummary (New)'!F$2,Accounts!$F:$F,'AccountSummary (New)'!F$3,Accounts!$W:$W,0,Accounts!$C:$C,"Customer",Accounts!$D:$D,"Prepay")/F74)</f>
        <v>0</v>
      </c>
      <c r="G75" s="4">
        <f>IF(G74=0,0,SUMIFS(Accounts!$L:$L,Accounts!$E:$E,'AccountSummary (New)'!G$1,Accounts!$G:$G,'AccountSummary (New)'!G$2,Accounts!$F:$F,'AccountSummary (New)'!G$3,Accounts!$W:$W,0,Accounts!$C:$C,"Customer",Accounts!$D:$D,"Prepay")/G74)</f>
        <v>0</v>
      </c>
      <c r="H75" s="4">
        <f>IF(H74=0,0,SUMIFS(Accounts!$L:$L,Accounts!$E:$E,'AccountSummary (New)'!H$1,Accounts!$G:$G,'AccountSummary (New)'!H$2,Accounts!$F:$F,'AccountSummary (New)'!H$3,Accounts!$W:$W,0,Accounts!$C:$C,"Customer",Accounts!$D:$D,"Prepay")/H74)</f>
        <v>0</v>
      </c>
      <c r="I75" s="5">
        <f>IF(I74=0,0,SUMIFS(Accounts!$L:$L,Accounts!$F:$F,'AccountSummary (New)'!I$3,Accounts!$W:$W,0,Accounts!$C:$C,"Customer",Accounts!$D:$D,"Prepay")/I74)</f>
        <v>0</v>
      </c>
      <c r="J75" s="4">
        <f>IF(J74=0,0,SUMIFS(Accounts!$L:$L,Accounts!$E:$E,'AccountSummary (New)'!J$1,Accounts!$G:$G,'AccountSummary (New)'!J$2,Accounts!$F:$F,'AccountSummary (New)'!J$3,Accounts!$W:$W,0,Accounts!$C:$C,"Customer",Accounts!$D:$D,"Prepay")/J74)</f>
        <v>0</v>
      </c>
      <c r="K75" s="4">
        <f>IF(K74=0,0,SUMIFS(Accounts!$L:$L,Accounts!$E:$E,'AccountSummary (New)'!K$1,Accounts!$G:$G,'AccountSummary (New)'!K$2,Accounts!$F:$F,'AccountSummary (New)'!K$3,Accounts!$W:$W,0,Accounts!$C:$C,"Customer",Accounts!$D:$D,"Prepay")/K74)</f>
        <v>0</v>
      </c>
      <c r="L75" s="4">
        <f>IF(L74=0,0,SUMIFS(Accounts!$L:$L,Accounts!$E:$E,'AccountSummary (New)'!L$1,Accounts!$G:$G,'AccountSummary (New)'!L$2,Accounts!$F:$F,'AccountSummary (New)'!L$3,Accounts!$W:$W,0,Accounts!$C:$C,"Customer",Accounts!$D:$D,"Prepay")/L74)</f>
        <v>0</v>
      </c>
      <c r="M75" s="4">
        <f>IF(M74=0,0,SUMIFS(Accounts!$L:$L,Accounts!$E:$E,'AccountSummary (New)'!M$1,Accounts!$G:$G,'AccountSummary (New)'!M$2,Accounts!$F:$F,'AccountSummary (New)'!M$3,Accounts!$W:$W,0,Accounts!$C:$C,"Customer",Accounts!$D:$D,"Prepay")/M74)</f>
        <v>0</v>
      </c>
      <c r="N75" s="4">
        <f>IF(N74=0,0,SUMIFS(Accounts!$L:$L,Accounts!$E:$E,'AccountSummary (New)'!N$1,Accounts!$G:$G,'AccountSummary (New)'!N$2,Accounts!$F:$F,'AccountSummary (New)'!N$3,Accounts!$W:$W,0,Accounts!$C:$C,"Customer",Accounts!$D:$D,"Prepay")/N74)</f>
        <v>0</v>
      </c>
      <c r="O75" s="4">
        <f>IF(O74=0,0,SUMIFS(Accounts!$L:$L,Accounts!$E:$E,'AccountSummary (New)'!O$1,Accounts!$G:$G,'AccountSummary (New)'!O$2,Accounts!$F:$F,'AccountSummary (New)'!O$3,Accounts!$W:$W,0,Accounts!$C:$C,"Customer",Accounts!$D:$D,"Prepay")/O74)</f>
        <v>0</v>
      </c>
      <c r="P75" s="5">
        <f>IF(P74=0,0,SUMIFS(Accounts!$L:$L,Accounts!$F:$F,'AccountSummary (New)'!P$3,Accounts!$W:$W,0,Accounts!$C:$C,"Customer",Accounts!$D:$D,"Prepay")/P74)</f>
        <v>0</v>
      </c>
      <c r="Q75" s="4">
        <f>IF(Q74=0,0,SUMIFS(Accounts!$L:$L,Accounts!$E:$E,'AccountSummary (New)'!Q$1,Accounts!$G:$G,'AccountSummary (New)'!Q$2,Accounts!$F:$F,'AccountSummary (New)'!Q$3,Accounts!$W:$W,0,Accounts!$C:$C,"Customer",Accounts!$D:$D,"Prepay")/Q74)</f>
        <v>0</v>
      </c>
      <c r="R75" s="4">
        <f>IF(R74=0,0,SUMIFS(Accounts!$L:$L,Accounts!$E:$E,'AccountSummary (New)'!R$1,Accounts!$G:$G,'AccountSummary (New)'!R$2,Accounts!$F:$F,'AccountSummary (New)'!R$3,Accounts!$W:$W,0,Accounts!$C:$C,"Customer",Accounts!$D:$D,"Prepay")/R74)</f>
        <v>0</v>
      </c>
      <c r="S75" s="4">
        <f>IF(S74=0,0,SUMIFS(Accounts!$L:$L,Accounts!$E:$E,'AccountSummary (New)'!S$1,Accounts!$G:$G,'AccountSummary (New)'!S$2,Accounts!$F:$F,'AccountSummary (New)'!S$3,Accounts!$W:$W,0,Accounts!$C:$C,"Customer",Accounts!$D:$D,"Prepay")/S74)</f>
        <v>0</v>
      </c>
      <c r="T75" s="4">
        <f>IF(T74=0,0,SUMIFS(Accounts!$L:$L,Accounts!$E:$E,'AccountSummary (New)'!T$1,Accounts!$G:$G,'AccountSummary (New)'!T$2,Accounts!$F:$F,'AccountSummary (New)'!T$3,Accounts!$W:$W,0,Accounts!$C:$C,"Customer",Accounts!$D:$D,"Prepay")/T74)</f>
        <v>0</v>
      </c>
      <c r="U75" s="4">
        <f>IF(U74=0,0,SUMIFS(Accounts!$L:$L,Accounts!$E:$E,'AccountSummary (New)'!U$1,Accounts!$G:$G,'AccountSummary (New)'!U$2,Accounts!$F:$F,'AccountSummary (New)'!U$3,Accounts!$W:$W,0,Accounts!$C:$C,"Customer",Accounts!$D:$D,"Prepay")/U74)</f>
        <v>0</v>
      </c>
      <c r="V75" s="4">
        <f>IF(V74=0,0,SUMIFS(Accounts!$L:$L,Accounts!$E:$E,'AccountSummary (New)'!V$1,Accounts!$G:$G,'AccountSummary (New)'!V$2,Accounts!$F:$F,'AccountSummary (New)'!V$3,Accounts!$W:$W,0,Accounts!$C:$C,"Customer",Accounts!$D:$D,"Prepay")/V74)</f>
        <v>0</v>
      </c>
      <c r="W75" s="5">
        <f>IF(W74=0,0,SUMIFS(Accounts!$L:$L,Accounts!$F:$F,'AccountSummary (New)'!W$3,Accounts!$W:$W,0,Accounts!$C:$C,"Customer",Accounts!$D:$D,"Prepay")/W74)</f>
        <v>0</v>
      </c>
    </row>
    <row r="76" spans="1:23" x14ac:dyDescent="0.2">
      <c r="A76" s="2" t="s">
        <v>76</v>
      </c>
      <c r="B76" s="13">
        <f>IF(B74=0,0,SUMIFS(Accounts!$M:$M,Accounts!$W:$W,0,Accounts!$C:$C,"Customer",Accounts!$D:$D,"Prepay")/B74)</f>
        <v>0</v>
      </c>
      <c r="C76" s="4">
        <f>IF(C74=0,0,SUMIFS(Accounts!$M:$M,Accounts!$E:$E,'AccountSummary (New)'!C$1,Accounts!$G:$G,'AccountSummary (New)'!C$2,Accounts!$F:$F,'AccountSummary (New)'!C$3,Accounts!$W:$W,0,Accounts!$C:$C,"Customer",Accounts!$D:$D,"Prepay")/C74)</f>
        <v>0</v>
      </c>
      <c r="D76" s="4">
        <f>IF(D74=0,0,SUMIFS(Accounts!$M:$M,Accounts!$E:$E,'AccountSummary (New)'!D$1,Accounts!$G:$G,'AccountSummary (New)'!D$2,Accounts!$F:$F,'AccountSummary (New)'!D$3,Accounts!$W:$W,0,Accounts!$C:$C,"Customer",Accounts!$D:$D,"Prepay")/D74)</f>
        <v>0</v>
      </c>
      <c r="E76" s="4">
        <f>IF(E74=0,0,SUMIFS(Accounts!$M:$M,Accounts!$E:$E,'AccountSummary (New)'!E$1,Accounts!$G:$G,'AccountSummary (New)'!E$2,Accounts!$F:$F,'AccountSummary (New)'!E$3,Accounts!$W:$W,0,Accounts!$C:$C,"Customer",Accounts!$D:$D,"Prepay")/E74)</f>
        <v>0</v>
      </c>
      <c r="F76" s="4">
        <f>IF(F74=0,0,SUMIFS(Accounts!$M:$M,Accounts!$E:$E,'AccountSummary (New)'!F$1,Accounts!$G:$G,'AccountSummary (New)'!F$2,Accounts!$F:$F,'AccountSummary (New)'!F$3,Accounts!$W:$W,0,Accounts!$C:$C,"Customer",Accounts!$D:$D,"Prepay")/F74)</f>
        <v>0</v>
      </c>
      <c r="G76" s="4">
        <f>IF(G74=0,0,SUMIFS(Accounts!$M:$M,Accounts!$E:$E,'AccountSummary (New)'!G$1,Accounts!$G:$G,'AccountSummary (New)'!G$2,Accounts!$F:$F,'AccountSummary (New)'!G$3,Accounts!$W:$W,0,Accounts!$C:$C,"Customer",Accounts!$D:$D,"Prepay")/G74)</f>
        <v>0</v>
      </c>
      <c r="H76" s="4">
        <f>IF(H74=0,0,SUMIFS(Accounts!$M:$M,Accounts!$E:$E,'AccountSummary (New)'!H$1,Accounts!$G:$G,'AccountSummary (New)'!H$2,Accounts!$F:$F,'AccountSummary (New)'!H$3,Accounts!$W:$W,0,Accounts!$C:$C,"Customer",Accounts!$D:$D,"Prepay")/H74)</f>
        <v>0</v>
      </c>
      <c r="I76" s="5">
        <f>IF(I74=0,0,SUMIFS(Accounts!$M:$M,Accounts!$F:$F,'AccountSummary (New)'!I$3,Accounts!$W:$W,0,Accounts!$C:$C,"Customer",Accounts!$D:$D,"Prepay")/I74)</f>
        <v>0</v>
      </c>
      <c r="J76" s="4">
        <f>IF(J74=0,0,SUMIFS(Accounts!$M:$M,Accounts!$E:$E,'AccountSummary (New)'!J$1,Accounts!$G:$G,'AccountSummary (New)'!J$2,Accounts!$F:$F,'AccountSummary (New)'!J$3,Accounts!$W:$W,0,Accounts!$C:$C,"Customer",Accounts!$D:$D,"Prepay")/J74)</f>
        <v>0</v>
      </c>
      <c r="K76" s="4">
        <f>IF(K74=0,0,SUMIFS(Accounts!$M:$M,Accounts!$E:$E,'AccountSummary (New)'!K$1,Accounts!$G:$G,'AccountSummary (New)'!K$2,Accounts!$F:$F,'AccountSummary (New)'!K$3,Accounts!$W:$W,0,Accounts!$C:$C,"Customer",Accounts!$D:$D,"Prepay")/K74)</f>
        <v>0</v>
      </c>
      <c r="L76" s="4">
        <f>IF(L74=0,0,SUMIFS(Accounts!$M:$M,Accounts!$E:$E,'AccountSummary (New)'!L$1,Accounts!$G:$G,'AccountSummary (New)'!L$2,Accounts!$F:$F,'AccountSummary (New)'!L$3,Accounts!$W:$W,0,Accounts!$C:$C,"Customer",Accounts!$D:$D,"Prepay")/L74)</f>
        <v>0</v>
      </c>
      <c r="M76" s="4">
        <f>IF(M74=0,0,SUMIFS(Accounts!$M:$M,Accounts!$E:$E,'AccountSummary (New)'!M$1,Accounts!$G:$G,'AccountSummary (New)'!M$2,Accounts!$F:$F,'AccountSummary (New)'!M$3,Accounts!$W:$W,0,Accounts!$C:$C,"Customer",Accounts!$D:$D,"Prepay")/M74)</f>
        <v>0</v>
      </c>
      <c r="N76" s="4">
        <f>IF(N74=0,0,SUMIFS(Accounts!$M:$M,Accounts!$E:$E,'AccountSummary (New)'!N$1,Accounts!$G:$G,'AccountSummary (New)'!N$2,Accounts!$F:$F,'AccountSummary (New)'!N$3,Accounts!$W:$W,0,Accounts!$C:$C,"Customer",Accounts!$D:$D,"Prepay")/N74)</f>
        <v>0</v>
      </c>
      <c r="O76" s="4">
        <f>IF(O74=0,0,SUMIFS(Accounts!$M:$M,Accounts!$E:$E,'AccountSummary (New)'!O$1,Accounts!$G:$G,'AccountSummary (New)'!O$2,Accounts!$F:$F,'AccountSummary (New)'!O$3,Accounts!$W:$W,0,Accounts!$C:$C,"Customer",Accounts!$D:$D,"Prepay")/O74)</f>
        <v>0</v>
      </c>
      <c r="P76" s="5">
        <f>IF(P74=0,0,SUMIFS(Accounts!$M:$M,Accounts!$F:$F,'AccountSummary (New)'!P$3,Accounts!$W:$W,0,Accounts!$C:$C,"Customer",Accounts!$D:$D,"Prepay")/P74)</f>
        <v>0</v>
      </c>
      <c r="Q76" s="4">
        <f>IF(Q74=0,0,SUMIFS(Accounts!$M:$M,Accounts!$E:$E,'AccountSummary (New)'!Q$1,Accounts!$G:$G,'AccountSummary (New)'!Q$2,Accounts!$F:$F,'AccountSummary (New)'!Q$3,Accounts!$W:$W,0,Accounts!$C:$C,"Customer",Accounts!$D:$D,"Prepay")/Q74)</f>
        <v>0</v>
      </c>
      <c r="R76" s="4">
        <f>IF(R74=0,0,SUMIFS(Accounts!$M:$M,Accounts!$E:$E,'AccountSummary (New)'!R$1,Accounts!$G:$G,'AccountSummary (New)'!R$2,Accounts!$F:$F,'AccountSummary (New)'!R$3,Accounts!$W:$W,0,Accounts!$C:$C,"Customer",Accounts!$D:$D,"Prepay")/R74)</f>
        <v>0</v>
      </c>
      <c r="S76" s="4">
        <f>IF(S74=0,0,SUMIFS(Accounts!$M:$M,Accounts!$E:$E,'AccountSummary (New)'!S$1,Accounts!$G:$G,'AccountSummary (New)'!S$2,Accounts!$F:$F,'AccountSummary (New)'!S$3,Accounts!$W:$W,0,Accounts!$C:$C,"Customer",Accounts!$D:$D,"Prepay")/S74)</f>
        <v>0</v>
      </c>
      <c r="T76" s="4">
        <f>IF(T74=0,0,SUMIFS(Accounts!$M:$M,Accounts!$E:$E,'AccountSummary (New)'!T$1,Accounts!$G:$G,'AccountSummary (New)'!T$2,Accounts!$F:$F,'AccountSummary (New)'!T$3,Accounts!$W:$W,0,Accounts!$C:$C,"Customer",Accounts!$D:$D,"Prepay")/T74)</f>
        <v>0</v>
      </c>
      <c r="U76" s="4">
        <f>IF(U74=0,0,SUMIFS(Accounts!$M:$M,Accounts!$E:$E,'AccountSummary (New)'!U$1,Accounts!$G:$G,'AccountSummary (New)'!U$2,Accounts!$F:$F,'AccountSummary (New)'!U$3,Accounts!$W:$W,0,Accounts!$C:$C,"Customer",Accounts!$D:$D,"Prepay")/U74)</f>
        <v>0</v>
      </c>
      <c r="V76" s="4">
        <f>IF(V74=0,0,SUMIFS(Accounts!$M:$M,Accounts!$E:$E,'AccountSummary (New)'!V$1,Accounts!$G:$G,'AccountSummary (New)'!V$2,Accounts!$F:$F,'AccountSummary (New)'!V$3,Accounts!$W:$W,0,Accounts!$C:$C,"Customer",Accounts!$D:$D,"Prepay")/V74)</f>
        <v>0</v>
      </c>
      <c r="W76" s="5">
        <f>IF(W74=0,0,SUMIFS(Accounts!$M:$M,Accounts!$F:$F,'AccountSummary (New)'!W$3,Accounts!$W:$W,0,Accounts!$C:$C,"Customer",Accounts!$D:$D,"Prepay")/W74)</f>
        <v>0</v>
      </c>
    </row>
    <row r="77" spans="1:23" x14ac:dyDescent="0.2">
      <c r="A77" s="1" t="s">
        <v>106</v>
      </c>
      <c r="B77" s="10">
        <f t="shared" ref="B77:W77" si="29">IF(B74=0,0,B78/B74)</f>
        <v>0</v>
      </c>
      <c r="C77" s="18">
        <f t="shared" si="29"/>
        <v>0</v>
      </c>
      <c r="D77" s="18">
        <f t="shared" si="29"/>
        <v>0</v>
      </c>
      <c r="E77" s="18">
        <f t="shared" si="29"/>
        <v>0</v>
      </c>
      <c r="F77" s="18">
        <f t="shared" si="29"/>
        <v>0</v>
      </c>
      <c r="G77" s="18">
        <f t="shared" si="29"/>
        <v>0</v>
      </c>
      <c r="H77" s="18">
        <f t="shared" si="29"/>
        <v>0</v>
      </c>
      <c r="I77" s="6">
        <f t="shared" si="29"/>
        <v>0</v>
      </c>
      <c r="J77" s="18">
        <f t="shared" si="29"/>
        <v>0</v>
      </c>
      <c r="K77" s="18">
        <f t="shared" si="29"/>
        <v>0</v>
      </c>
      <c r="L77" s="18">
        <f t="shared" si="29"/>
        <v>0</v>
      </c>
      <c r="M77" s="18">
        <f t="shared" si="29"/>
        <v>0</v>
      </c>
      <c r="N77" s="18">
        <f t="shared" si="29"/>
        <v>0</v>
      </c>
      <c r="O77" s="18">
        <f t="shared" si="29"/>
        <v>0</v>
      </c>
      <c r="P77" s="6">
        <f t="shared" si="29"/>
        <v>0</v>
      </c>
      <c r="Q77" s="18">
        <f t="shared" si="29"/>
        <v>0</v>
      </c>
      <c r="R77" s="18">
        <f t="shared" si="29"/>
        <v>0</v>
      </c>
      <c r="S77" s="18">
        <f t="shared" si="29"/>
        <v>0</v>
      </c>
      <c r="T77" s="18">
        <f t="shared" si="29"/>
        <v>0</v>
      </c>
      <c r="U77" s="18">
        <f t="shared" si="29"/>
        <v>0</v>
      </c>
      <c r="V77" s="18">
        <f t="shared" si="29"/>
        <v>0</v>
      </c>
      <c r="W77" s="6">
        <f t="shared" si="29"/>
        <v>0</v>
      </c>
    </row>
    <row r="78" spans="1:23" x14ac:dyDescent="0.2">
      <c r="A78" s="1" t="s">
        <v>107</v>
      </c>
      <c r="B78" s="10">
        <f>I78+P78+W78</f>
        <v>0</v>
      </c>
      <c r="C78" s="18">
        <f>SUMIFS(Accounts!$I:$I,Accounts!$E:$E,'AccountSummary (New)'!C$1,Accounts!$G:$G,'AccountSummary (New)'!C$2,Accounts!$F:$F,'AccountSummary (New)'!C$3,Accounts!$W:$W,0,Accounts!$C:$C,"Customer",Accounts!$D:$D,"Prepay")</f>
        <v>0</v>
      </c>
      <c r="D78" s="18">
        <f>SUMIFS(Accounts!$I:$I,Accounts!$E:$E,'AccountSummary (New)'!D$1,Accounts!$G:$G,'AccountSummary (New)'!D$2,Accounts!$F:$F,'AccountSummary (New)'!D$3,Accounts!$W:$W,0,Accounts!$C:$C,"Customer",Accounts!$D:$D,"Prepay")</f>
        <v>0</v>
      </c>
      <c r="E78" s="18">
        <f>SUMIFS(Accounts!$I:$I,Accounts!$E:$E,'AccountSummary (New)'!E$1,Accounts!$G:$G,'AccountSummary (New)'!E$2,Accounts!$F:$F,'AccountSummary (New)'!E$3,Accounts!$W:$W,0,Accounts!$C:$C,"Customer",Accounts!$D:$D,"Prepay")</f>
        <v>0</v>
      </c>
      <c r="F78" s="18">
        <f>SUMIFS(Accounts!$I:$I,Accounts!$E:$E,'AccountSummary (New)'!F$1,Accounts!$G:$G,'AccountSummary (New)'!F$2,Accounts!$F:$F,'AccountSummary (New)'!F$3,Accounts!$W:$W,0,Accounts!$C:$C,"Customer",Accounts!$D:$D,"Prepay")</f>
        <v>0</v>
      </c>
      <c r="G78" s="18">
        <f>SUMIFS(Accounts!$I:$I,Accounts!$E:$E,'AccountSummary (New)'!G$1,Accounts!$G:$G,'AccountSummary (New)'!G$2,Accounts!$F:$F,'AccountSummary (New)'!G$3,Accounts!$W:$W,0,Accounts!$C:$C,"Customer",Accounts!$D:$D,"Prepay")</f>
        <v>0</v>
      </c>
      <c r="H78" s="18">
        <f>SUMIFS(Accounts!$I:$I,Accounts!$E:$E,'AccountSummary (New)'!H$1,Accounts!$G:$G,'AccountSummary (New)'!H$2,Accounts!$F:$F,'AccountSummary (New)'!H$3,Accounts!$W:$W,0,Accounts!$C:$C,"Customer",Accounts!$D:$D,"Prepay")</f>
        <v>0</v>
      </c>
      <c r="I78" s="6">
        <f>SUM(C78:H78)</f>
        <v>0</v>
      </c>
      <c r="J78" s="18">
        <f>SUMIFS(Accounts!$I:$I,Accounts!$E:$E,'AccountSummary (New)'!J$1,Accounts!$G:$G,'AccountSummary (New)'!J$2,Accounts!$F:$F,'AccountSummary (New)'!J$3,Accounts!$W:$W,0,Accounts!$C:$C,"Customer",Accounts!$D:$D,"Prepay")</f>
        <v>0</v>
      </c>
      <c r="K78" s="18">
        <f>SUMIFS(Accounts!$I:$I,Accounts!$E:$E,'AccountSummary (New)'!K$1,Accounts!$G:$G,'AccountSummary (New)'!K$2,Accounts!$F:$F,'AccountSummary (New)'!K$3,Accounts!$W:$W,0,Accounts!$C:$C,"Customer",Accounts!$D:$D,"Prepay")</f>
        <v>0</v>
      </c>
      <c r="L78" s="18">
        <f>SUMIFS(Accounts!$I:$I,Accounts!$E:$E,'AccountSummary (New)'!L$1,Accounts!$G:$G,'AccountSummary (New)'!L$2,Accounts!$F:$F,'AccountSummary (New)'!L$3,Accounts!$W:$W,0,Accounts!$C:$C,"Customer",Accounts!$D:$D,"Prepay")</f>
        <v>0</v>
      </c>
      <c r="M78" s="18">
        <f>SUMIFS(Accounts!$I:$I,Accounts!$E:$E,'AccountSummary (New)'!M$1,Accounts!$G:$G,'AccountSummary (New)'!M$2,Accounts!$F:$F,'AccountSummary (New)'!M$3,Accounts!$W:$W,0,Accounts!$C:$C,"Customer",Accounts!$D:$D,"Prepay")</f>
        <v>0</v>
      </c>
      <c r="N78" s="18">
        <f>SUMIFS(Accounts!$I:$I,Accounts!$E:$E,'AccountSummary (New)'!N$1,Accounts!$G:$G,'AccountSummary (New)'!N$2,Accounts!$F:$F,'AccountSummary (New)'!N$3,Accounts!$W:$W,0,Accounts!$C:$C,"Customer",Accounts!$D:$D,"Prepay")</f>
        <v>0</v>
      </c>
      <c r="O78" s="18">
        <f>SUMIFS(Accounts!$I:$I,Accounts!$E:$E,'AccountSummary (New)'!O$1,Accounts!$G:$G,'AccountSummary (New)'!O$2,Accounts!$F:$F,'AccountSummary (New)'!O$3,Accounts!$W:$W,0,Accounts!$C:$C,"Customer",Accounts!$D:$D,"Prepay")</f>
        <v>0</v>
      </c>
      <c r="P78" s="6">
        <f>SUM(J78:O78)</f>
        <v>0</v>
      </c>
      <c r="Q78" s="18">
        <f>SUMIFS(Accounts!$I:$I,Accounts!$E:$E,'AccountSummary (New)'!Q$1,Accounts!$G:$G,'AccountSummary (New)'!Q$2,Accounts!$F:$F,'AccountSummary (New)'!Q$3,Accounts!$W:$W,0,Accounts!$C:$C,"Customer",Accounts!$D:$D,"Prepay")</f>
        <v>0</v>
      </c>
      <c r="R78" s="18">
        <f>SUMIFS(Accounts!$I:$I,Accounts!$E:$E,'AccountSummary (New)'!R$1,Accounts!$G:$G,'AccountSummary (New)'!R$2,Accounts!$F:$F,'AccountSummary (New)'!R$3,Accounts!$W:$W,0,Accounts!$C:$C,"Customer",Accounts!$D:$D,"Prepay")</f>
        <v>0</v>
      </c>
      <c r="S78" s="18">
        <f>SUMIFS(Accounts!$I:$I,Accounts!$E:$E,'AccountSummary (New)'!S$1,Accounts!$G:$G,'AccountSummary (New)'!S$2,Accounts!$F:$F,'AccountSummary (New)'!S$3,Accounts!$W:$W,0,Accounts!$C:$C,"Customer",Accounts!$D:$D,"Prepay")</f>
        <v>0</v>
      </c>
      <c r="T78" s="18">
        <f>SUMIFS(Accounts!$I:$I,Accounts!$E:$E,'AccountSummary (New)'!T$1,Accounts!$G:$G,'AccountSummary (New)'!T$2,Accounts!$F:$F,'AccountSummary (New)'!T$3,Accounts!$W:$W,0,Accounts!$C:$C,"Customer",Accounts!$D:$D,"Prepay")</f>
        <v>0</v>
      </c>
      <c r="U78" s="18">
        <f>SUMIFS(Accounts!$I:$I,Accounts!$E:$E,'AccountSummary (New)'!U$1,Accounts!$G:$G,'AccountSummary (New)'!U$2,Accounts!$F:$F,'AccountSummary (New)'!U$3,Accounts!$W:$W,0,Accounts!$C:$C,"Customer",Accounts!$D:$D,"Prepay")</f>
        <v>0</v>
      </c>
      <c r="V78" s="18">
        <f>SUMIFS(Accounts!$I:$I,Accounts!$E:$E,'AccountSummary (New)'!V$1,Accounts!$G:$G,'AccountSummary (New)'!V$2,Accounts!$F:$F,'AccountSummary (New)'!V$3,Accounts!$W:$W,0,Accounts!$C:$C,"Customer",Accounts!$D:$D,"Prepay")</f>
        <v>0</v>
      </c>
      <c r="W78" s="6">
        <f>SUM(Q78:V78)</f>
        <v>0</v>
      </c>
    </row>
    <row r="79" spans="1:23" x14ac:dyDescent="0.2">
      <c r="A79" s="1" t="s">
        <v>108</v>
      </c>
      <c r="B79" s="21" t="e">
        <f t="shared" ref="B79:W79" si="30">B78/B68</f>
        <v>#DIV/0!</v>
      </c>
      <c r="C79" s="19" t="e">
        <f t="shared" si="30"/>
        <v>#DIV/0!</v>
      </c>
      <c r="D79" s="19" t="e">
        <f t="shared" si="30"/>
        <v>#DIV/0!</v>
      </c>
      <c r="E79" s="19" t="e">
        <f t="shared" si="30"/>
        <v>#DIV/0!</v>
      </c>
      <c r="F79" s="19" t="e">
        <f t="shared" si="30"/>
        <v>#DIV/0!</v>
      </c>
      <c r="G79" s="19" t="e">
        <f t="shared" si="30"/>
        <v>#DIV/0!</v>
      </c>
      <c r="H79" s="19" t="e">
        <f t="shared" si="30"/>
        <v>#DIV/0!</v>
      </c>
      <c r="I79" s="20" t="e">
        <f t="shared" si="30"/>
        <v>#DIV/0!</v>
      </c>
      <c r="J79" s="19" t="e">
        <f t="shared" si="30"/>
        <v>#DIV/0!</v>
      </c>
      <c r="K79" s="19" t="e">
        <f t="shared" si="30"/>
        <v>#DIV/0!</v>
      </c>
      <c r="L79" s="19" t="e">
        <f t="shared" si="30"/>
        <v>#DIV/0!</v>
      </c>
      <c r="M79" s="19" t="e">
        <f t="shared" si="30"/>
        <v>#DIV/0!</v>
      </c>
      <c r="N79" s="19" t="e">
        <f t="shared" si="30"/>
        <v>#DIV/0!</v>
      </c>
      <c r="O79" s="19" t="e">
        <f t="shared" si="30"/>
        <v>#DIV/0!</v>
      </c>
      <c r="P79" s="20" t="e">
        <f t="shared" si="30"/>
        <v>#DIV/0!</v>
      </c>
      <c r="Q79" s="19" t="e">
        <f t="shared" si="30"/>
        <v>#DIV/0!</v>
      </c>
      <c r="R79" s="19" t="e">
        <f t="shared" si="30"/>
        <v>#DIV/0!</v>
      </c>
      <c r="S79" s="19" t="e">
        <f t="shared" si="30"/>
        <v>#DIV/0!</v>
      </c>
      <c r="T79" s="19" t="e">
        <f t="shared" si="30"/>
        <v>#DIV/0!</v>
      </c>
      <c r="U79" s="19" t="e">
        <f t="shared" si="30"/>
        <v>#DIV/0!</v>
      </c>
      <c r="V79" s="19" t="e">
        <f t="shared" si="30"/>
        <v>#DIV/0!</v>
      </c>
      <c r="W79" s="20" t="e">
        <f t="shared" si="30"/>
        <v>#DIV/0!</v>
      </c>
    </row>
    <row r="80" spans="1:23" x14ac:dyDescent="0.2">
      <c r="A80" s="1"/>
      <c r="B80" s="9"/>
    </row>
    <row r="81" spans="1:23" x14ac:dyDescent="0.2">
      <c r="A81" s="1" t="s">
        <v>109</v>
      </c>
      <c r="B81" s="9">
        <f>I81+P81+W81</f>
        <v>0</v>
      </c>
      <c r="C81">
        <f>COUNTIFS(Accounts!$E:$E,'AccountSummary (New)'!C$1,Accounts!$G:$G,'AccountSummary (New)'!C$2,Accounts!$F:$F,'AccountSummary (New)'!C$3,Accounts!$C:$C,"Lost",Accounts!$BG:$BG,FALSE)</f>
        <v>0</v>
      </c>
      <c r="D81">
        <f>COUNTIFS(Accounts!$E:$E,'AccountSummary (New)'!D$1,Accounts!$G:$G,'AccountSummary (New)'!D$2,Accounts!$F:$F,'AccountSummary (New)'!D$3,Accounts!$C:$C,"Lost",Accounts!$BG:$BG,FALSE)</f>
        <v>0</v>
      </c>
      <c r="E81">
        <f>COUNTIFS(Accounts!$E:$E,'AccountSummary (New)'!E$1,Accounts!$G:$G,'AccountSummary (New)'!E$2,Accounts!$F:$F,'AccountSummary (New)'!E$3,Accounts!$C:$C,"Lost",Accounts!$BG:$BG,FALSE)</f>
        <v>0</v>
      </c>
      <c r="F81">
        <f>COUNTIFS(Accounts!$E:$E,'AccountSummary (New)'!F$1,Accounts!$G:$G,'AccountSummary (New)'!F$2,Accounts!$F:$F,'AccountSummary (New)'!F$3,Accounts!$C:$C,"Lost",Accounts!$BG:$BG,FALSE)</f>
        <v>0</v>
      </c>
      <c r="G81">
        <f>COUNTIFS(Accounts!$E:$E,'AccountSummary (New)'!G$1,Accounts!$G:$G,'AccountSummary (New)'!G$2,Accounts!$F:$F,'AccountSummary (New)'!G$3,Accounts!$C:$C,"Lost",Accounts!$BG:$BG,FALSE)</f>
        <v>0</v>
      </c>
      <c r="H81">
        <f>COUNTIFS(Accounts!$E:$E,'AccountSummary (New)'!H$1,Accounts!$G:$G,'AccountSummary (New)'!H$2,Accounts!$F:$F,'AccountSummary (New)'!H$3,Accounts!$C:$C,"Lost",Accounts!$BG:$BG,FALSE)</f>
        <v>0</v>
      </c>
      <c r="I81" s="15">
        <f>SUM(C81:H81)</f>
        <v>0</v>
      </c>
      <c r="J81">
        <f>COUNTIFS(Accounts!$E:$E,'AccountSummary (New)'!J$1,Accounts!$G:$G,'AccountSummary (New)'!J$2,Accounts!$F:$F,'AccountSummary (New)'!J$3,Accounts!$C:$C,"Lost",Accounts!$BG:$BG,FALSE)</f>
        <v>0</v>
      </c>
      <c r="K81">
        <f>COUNTIFS(Accounts!$E:$E,'AccountSummary (New)'!K$1,Accounts!$G:$G,'AccountSummary (New)'!K$2,Accounts!$F:$F,'AccountSummary (New)'!K$3,Accounts!$C:$C,"Lost",Accounts!$BG:$BG,FALSE)</f>
        <v>0</v>
      </c>
      <c r="L81">
        <f>COUNTIFS(Accounts!$E:$E,'AccountSummary (New)'!L$1,Accounts!$G:$G,'AccountSummary (New)'!L$2,Accounts!$F:$F,'AccountSummary (New)'!L$3,Accounts!$C:$C,"Lost",Accounts!$BG:$BG,FALSE)</f>
        <v>0</v>
      </c>
      <c r="M81">
        <f>COUNTIFS(Accounts!$E:$E,'AccountSummary (New)'!M$1,Accounts!$G:$G,'AccountSummary (New)'!M$2,Accounts!$F:$F,'AccountSummary (New)'!M$3,Accounts!$C:$C,"Lost",Accounts!$BG:$BG,FALSE)</f>
        <v>0</v>
      </c>
      <c r="N81">
        <f>COUNTIFS(Accounts!$E:$E,'AccountSummary (New)'!N$1,Accounts!$G:$G,'AccountSummary (New)'!N$2,Accounts!$F:$F,'AccountSummary (New)'!N$3,Accounts!$C:$C,"Lost",Accounts!$BG:$BG,FALSE)</f>
        <v>0</v>
      </c>
      <c r="O81">
        <f>COUNTIFS(Accounts!$E:$E,'AccountSummary (New)'!O$1,Accounts!$G:$G,'AccountSummary (New)'!O$2,Accounts!$F:$F,'AccountSummary (New)'!O$3,Accounts!$C:$C,"Lost",Accounts!$BG:$BG,FALSE)</f>
        <v>0</v>
      </c>
      <c r="P81" s="15">
        <f>SUM(J81:O81)</f>
        <v>0</v>
      </c>
      <c r="Q81">
        <f>COUNTIFS(Accounts!$E:$E,'AccountSummary (New)'!Q$1,Accounts!$G:$G,'AccountSummary (New)'!Q$2,Accounts!$F:$F,'AccountSummary (New)'!Q$3,Accounts!$C:$C,"Lost",Accounts!$BG:$BG,FALSE)</f>
        <v>0</v>
      </c>
      <c r="R81">
        <f>COUNTIFS(Accounts!$E:$E,'AccountSummary (New)'!R$1,Accounts!$G:$G,'AccountSummary (New)'!R$2,Accounts!$F:$F,'AccountSummary (New)'!R$3,Accounts!$C:$C,"Lost",Accounts!$BG:$BG,FALSE)</f>
        <v>0</v>
      </c>
      <c r="S81">
        <f>COUNTIFS(Accounts!$E:$E,'AccountSummary (New)'!S$1,Accounts!$G:$G,'AccountSummary (New)'!S$2,Accounts!$F:$F,'AccountSummary (New)'!S$3,Accounts!$C:$C,"Lost",Accounts!$BG:$BG,FALSE)</f>
        <v>0</v>
      </c>
      <c r="T81">
        <f>COUNTIFS(Accounts!$E:$E,'AccountSummary (New)'!T$1,Accounts!$G:$G,'AccountSummary (New)'!T$2,Accounts!$F:$F,'AccountSummary (New)'!T$3,Accounts!$C:$C,"Lost",Accounts!$BG:$BG,FALSE)</f>
        <v>0</v>
      </c>
      <c r="U81">
        <f>COUNTIFS(Accounts!$E:$E,'AccountSummary (New)'!U$1,Accounts!$G:$G,'AccountSummary (New)'!U$2,Accounts!$F:$F,'AccountSummary (New)'!U$3,Accounts!$C:$C,"Lost",Accounts!$BG:$BG,FALSE)</f>
        <v>0</v>
      </c>
      <c r="V81">
        <f>COUNTIFS(Accounts!$E:$E,'AccountSummary (New)'!V$1,Accounts!$G:$G,'AccountSummary (New)'!V$2,Accounts!$F:$F,'AccountSummary (New)'!V$3,Accounts!$C:$C,"Lost",Accounts!$BG:$BG,FALSE)</f>
        <v>0</v>
      </c>
      <c r="W81" s="15">
        <f>SUM(Q81:V81)</f>
        <v>0</v>
      </c>
    </row>
    <row r="82" spans="1:23" x14ac:dyDescent="0.2">
      <c r="A82" s="1" t="s">
        <v>110</v>
      </c>
      <c r="B82" s="11">
        <f t="shared" ref="B82:W82" si="31">IF(B81=0,0,B83/B81)</f>
        <v>0</v>
      </c>
      <c r="C82" s="8">
        <f t="shared" si="31"/>
        <v>0</v>
      </c>
      <c r="D82" s="8">
        <f t="shared" si="31"/>
        <v>0</v>
      </c>
      <c r="E82" s="8">
        <f t="shared" si="31"/>
        <v>0</v>
      </c>
      <c r="F82" s="8">
        <f t="shared" si="31"/>
        <v>0</v>
      </c>
      <c r="G82" s="8">
        <f t="shared" si="31"/>
        <v>0</v>
      </c>
      <c r="H82" s="8">
        <f t="shared" si="31"/>
        <v>0</v>
      </c>
      <c r="I82" s="20">
        <f t="shared" si="31"/>
        <v>0</v>
      </c>
      <c r="J82" s="8">
        <f t="shared" si="31"/>
        <v>0</v>
      </c>
      <c r="K82" s="8">
        <f t="shared" si="31"/>
        <v>0</v>
      </c>
      <c r="L82" s="8">
        <f t="shared" si="31"/>
        <v>0</v>
      </c>
      <c r="M82" s="8">
        <f t="shared" si="31"/>
        <v>0</v>
      </c>
      <c r="N82" s="8">
        <f t="shared" si="31"/>
        <v>0</v>
      </c>
      <c r="O82" s="8">
        <f t="shared" si="31"/>
        <v>0</v>
      </c>
      <c r="P82" s="20">
        <f t="shared" si="31"/>
        <v>0</v>
      </c>
      <c r="Q82" s="8">
        <f t="shared" si="31"/>
        <v>0</v>
      </c>
      <c r="R82" s="8">
        <f t="shared" si="31"/>
        <v>0</v>
      </c>
      <c r="S82" s="8">
        <f t="shared" si="31"/>
        <v>0</v>
      </c>
      <c r="T82" s="8">
        <f t="shared" si="31"/>
        <v>0</v>
      </c>
      <c r="U82" s="8">
        <f t="shared" si="31"/>
        <v>0</v>
      </c>
      <c r="V82" s="8">
        <f t="shared" si="31"/>
        <v>0</v>
      </c>
      <c r="W82" s="20">
        <f t="shared" si="31"/>
        <v>0</v>
      </c>
    </row>
    <row r="83" spans="1:23" x14ac:dyDescent="0.2">
      <c r="A83" s="1" t="s">
        <v>111</v>
      </c>
      <c r="B83" s="9">
        <f>I83+P83+W83</f>
        <v>0</v>
      </c>
      <c r="C83">
        <f>COUNTIFS(Accounts!$E:$E,'AccountSummary (New)'!C$1,Accounts!$G:$G,'AccountSummary (New)'!C$2,Accounts!$F:$F,'AccountSummary (New)'!C$3,Accounts!$B:$B,"Customer",Accounts!$C:$C,"Lost",Accounts!$I:$I,"&gt;"&amp;0)</f>
        <v>0</v>
      </c>
      <c r="D83">
        <f>COUNTIFS(Accounts!$E:$E,'AccountSummary (New)'!D$1,Accounts!$G:$G,'AccountSummary (New)'!D$2,Accounts!$F:$F,'AccountSummary (New)'!D$3,Accounts!$B:$B,"Customer",Accounts!$C:$C,"Lost",Accounts!$I:$I,"&gt;"&amp;0)</f>
        <v>0</v>
      </c>
      <c r="E83">
        <f>COUNTIFS(Accounts!$E:$E,'AccountSummary (New)'!E$1,Accounts!$G:$G,'AccountSummary (New)'!E$2,Accounts!$F:$F,'AccountSummary (New)'!E$3,Accounts!$B:$B,"Customer",Accounts!$C:$C,"Lost",Accounts!$I:$I,"&gt;"&amp;0)</f>
        <v>0</v>
      </c>
      <c r="F83">
        <f>COUNTIFS(Accounts!$E:$E,'AccountSummary (New)'!F$1,Accounts!$G:$G,'AccountSummary (New)'!F$2,Accounts!$F:$F,'AccountSummary (New)'!F$3,Accounts!$B:$B,"Customer",Accounts!$C:$C,"Lost",Accounts!$I:$I,"&gt;"&amp;0)</f>
        <v>0</v>
      </c>
      <c r="G83">
        <f>COUNTIFS(Accounts!$E:$E,'AccountSummary (New)'!G$1,Accounts!$G:$G,'AccountSummary (New)'!G$2,Accounts!$F:$F,'AccountSummary (New)'!G$3,Accounts!$B:$B,"Customer",Accounts!$C:$C,"Lost",Accounts!$I:$I,"&gt;"&amp;0)</f>
        <v>0</v>
      </c>
      <c r="H83">
        <f>COUNTIFS(Accounts!$E:$E,'AccountSummary (New)'!H$1,Accounts!$G:$G,'AccountSummary (New)'!H$2,Accounts!$F:$F,'AccountSummary (New)'!H$3,Accounts!$B:$B,"Customer",Accounts!$C:$C,"Lost",Accounts!$I:$I,"&gt;"&amp;0)</f>
        <v>0</v>
      </c>
      <c r="I83" s="15">
        <f>SUM(C83:H83)</f>
        <v>0</v>
      </c>
      <c r="J83">
        <f>COUNTIFS(Accounts!$E:$E,'AccountSummary (New)'!J$1,Accounts!$G:$G,'AccountSummary (New)'!J$2,Accounts!$F:$F,'AccountSummary (New)'!J$3,Accounts!$B:$B,"Customer",Accounts!$C:$C,"Lost",Accounts!$I:$I,"&gt;"&amp;0)</f>
        <v>0</v>
      </c>
      <c r="K83">
        <f>COUNTIFS(Accounts!$E:$E,'AccountSummary (New)'!K$1,Accounts!$G:$G,'AccountSummary (New)'!K$2,Accounts!$F:$F,'AccountSummary (New)'!K$3,Accounts!$B:$B,"Customer",Accounts!$C:$C,"Lost",Accounts!$I:$I,"&gt;"&amp;0)</f>
        <v>0</v>
      </c>
      <c r="L83">
        <f>COUNTIFS(Accounts!$E:$E,'AccountSummary (New)'!L$1,Accounts!$G:$G,'AccountSummary (New)'!L$2,Accounts!$F:$F,'AccountSummary (New)'!L$3,Accounts!$B:$B,"Customer",Accounts!$C:$C,"Lost",Accounts!$I:$I,"&gt;"&amp;0)</f>
        <v>0</v>
      </c>
      <c r="M83">
        <f>COUNTIFS(Accounts!$E:$E,'AccountSummary (New)'!M$1,Accounts!$G:$G,'AccountSummary (New)'!M$2,Accounts!$F:$F,'AccountSummary (New)'!M$3,Accounts!$B:$B,"Customer",Accounts!$C:$C,"Lost",Accounts!$I:$I,"&gt;"&amp;0)</f>
        <v>0</v>
      </c>
      <c r="N83">
        <f>COUNTIFS(Accounts!$E:$E,'AccountSummary (New)'!N$1,Accounts!$G:$G,'AccountSummary (New)'!N$2,Accounts!$F:$F,'AccountSummary (New)'!N$3,Accounts!$B:$B,"Customer",Accounts!$C:$C,"Lost",Accounts!$I:$I,"&gt;"&amp;0)</f>
        <v>0</v>
      </c>
      <c r="O83">
        <f>COUNTIFS(Accounts!$E:$E,'AccountSummary (New)'!O$1,Accounts!$G:$G,'AccountSummary (New)'!O$2,Accounts!$F:$F,'AccountSummary (New)'!O$3,Accounts!$B:$B,"Customer",Accounts!$C:$C,"Lost",Accounts!$I:$I,"&gt;"&amp;0)</f>
        <v>0</v>
      </c>
      <c r="P83" s="15">
        <f>SUM(J83:O83)</f>
        <v>0</v>
      </c>
      <c r="Q83">
        <f>COUNTIFS(Accounts!$E:$E,'AccountSummary (New)'!Q$1,Accounts!$G:$G,'AccountSummary (New)'!Q$2,Accounts!$F:$F,'AccountSummary (New)'!Q$3,Accounts!$B:$B,"Customer",Accounts!$C:$C,"Lost",Accounts!$I:$I,"&gt;"&amp;0)</f>
        <v>0</v>
      </c>
      <c r="R83">
        <f>COUNTIFS(Accounts!$E:$E,'AccountSummary (New)'!R$1,Accounts!$G:$G,'AccountSummary (New)'!R$2,Accounts!$F:$F,'AccountSummary (New)'!R$3,Accounts!$B:$B,"Customer",Accounts!$C:$C,"Lost",Accounts!$I:$I,"&gt;"&amp;0)</f>
        <v>0</v>
      </c>
      <c r="S83">
        <f>COUNTIFS(Accounts!$E:$E,'AccountSummary (New)'!S$1,Accounts!$G:$G,'AccountSummary (New)'!S$2,Accounts!$F:$F,'AccountSummary (New)'!S$3,Accounts!$B:$B,"Customer",Accounts!$C:$C,"Lost",Accounts!$I:$I,"&gt;"&amp;0)</f>
        <v>0</v>
      </c>
      <c r="T83">
        <f>COUNTIFS(Accounts!$E:$E,'AccountSummary (New)'!T$1,Accounts!$G:$G,'AccountSummary (New)'!T$2,Accounts!$F:$F,'AccountSummary (New)'!T$3,Accounts!$B:$B,"Customer",Accounts!$C:$C,"Lost",Accounts!$I:$I,"&gt;"&amp;0)</f>
        <v>0</v>
      </c>
      <c r="U83">
        <f>COUNTIFS(Accounts!$E:$E,'AccountSummary (New)'!U$1,Accounts!$G:$G,'AccountSummary (New)'!U$2,Accounts!$F:$F,'AccountSummary (New)'!U$3,Accounts!$B:$B,"Customer",Accounts!$C:$C,"Lost",Accounts!$I:$I,"&gt;"&amp;0)</f>
        <v>0</v>
      </c>
      <c r="V83">
        <f>COUNTIFS(Accounts!$E:$E,'AccountSummary (New)'!V$1,Accounts!$G:$G,'AccountSummary (New)'!V$2,Accounts!$F:$F,'AccountSummary (New)'!V$3,Accounts!$B:$B,"Customer",Accounts!$C:$C,"Lost",Accounts!$I:$I,"&gt;"&amp;0)</f>
        <v>0</v>
      </c>
      <c r="W83" s="15">
        <f>SUM(Q83:V83)</f>
        <v>0</v>
      </c>
    </row>
    <row r="84" spans="1:23" x14ac:dyDescent="0.2">
      <c r="A84" s="1" t="s">
        <v>112</v>
      </c>
      <c r="B84" s="14">
        <f>IF(B83=0,0,B85/B83)</f>
        <v>0</v>
      </c>
      <c r="C84" s="18">
        <f t="shared" ref="C84:H84" si="32">IF(C81=0,0,C85/C81)</f>
        <v>0</v>
      </c>
      <c r="D84" s="18">
        <f t="shared" si="32"/>
        <v>0</v>
      </c>
      <c r="E84" s="18">
        <f t="shared" si="32"/>
        <v>0</v>
      </c>
      <c r="F84" s="18">
        <f t="shared" si="32"/>
        <v>0</v>
      </c>
      <c r="G84" s="18">
        <f t="shared" si="32"/>
        <v>0</v>
      </c>
      <c r="H84" s="18">
        <f t="shared" si="32"/>
        <v>0</v>
      </c>
      <c r="I84" s="6">
        <f>IF(I83=0,0,I85/I83)</f>
        <v>0</v>
      </c>
      <c r="J84" s="18">
        <f t="shared" ref="J84:O84" si="33">IF(J81=0,0,J85/J81)</f>
        <v>0</v>
      </c>
      <c r="K84" s="18">
        <f t="shared" si="33"/>
        <v>0</v>
      </c>
      <c r="L84" s="18">
        <f t="shared" si="33"/>
        <v>0</v>
      </c>
      <c r="M84" s="18">
        <f t="shared" si="33"/>
        <v>0</v>
      </c>
      <c r="N84" s="18">
        <f t="shared" si="33"/>
        <v>0</v>
      </c>
      <c r="O84" s="18">
        <f t="shared" si="33"/>
        <v>0</v>
      </c>
      <c r="P84" s="6">
        <f>IF(P83=0,0,P85/P83)</f>
        <v>0</v>
      </c>
      <c r="Q84" s="18">
        <f t="shared" ref="Q84:V84" si="34">IF(Q81=0,0,Q85/Q81)</f>
        <v>0</v>
      </c>
      <c r="R84" s="18">
        <f t="shared" si="34"/>
        <v>0</v>
      </c>
      <c r="S84" s="18">
        <f t="shared" si="34"/>
        <v>0</v>
      </c>
      <c r="T84" s="18">
        <f t="shared" si="34"/>
        <v>0</v>
      </c>
      <c r="U84" s="18">
        <f t="shared" si="34"/>
        <v>0</v>
      </c>
      <c r="V84" s="18">
        <f t="shared" si="34"/>
        <v>0</v>
      </c>
      <c r="W84" s="6">
        <f>IF(W83=0,0,W85/W83)</f>
        <v>0</v>
      </c>
    </row>
    <row r="85" spans="1:23" x14ac:dyDescent="0.2">
      <c r="A85" s="7" t="s">
        <v>113</v>
      </c>
      <c r="B85" s="10">
        <f>I85+P85+W85</f>
        <v>0</v>
      </c>
      <c r="C85" s="18">
        <f>SUMIFS(Accounts!$I:$I,Accounts!$E:$E,'AccountSummary (New)'!C$1,Accounts!$G:$G,'AccountSummary (New)'!C$2,Accounts!$F:$F,'AccountSummary (New)'!C$3,Accounts!$W:$W,0,Accounts!$C:$C,"Lost")</f>
        <v>0</v>
      </c>
      <c r="D85" s="18">
        <f>SUMIFS(Accounts!$I:$I,Accounts!$E:$E,'AccountSummary (New)'!D$1,Accounts!$G:$G,'AccountSummary (New)'!D$2,Accounts!$F:$F,'AccountSummary (New)'!D$3,Accounts!$W:$W,0,Accounts!$C:$C,"Lost")</f>
        <v>0</v>
      </c>
      <c r="E85" s="18">
        <f>SUMIFS(Accounts!$I:$I,Accounts!$E:$E,'AccountSummary (New)'!E$1,Accounts!$G:$G,'AccountSummary (New)'!E$2,Accounts!$F:$F,'AccountSummary (New)'!E$3,Accounts!$W:$W,0,Accounts!$C:$C,"Lost")</f>
        <v>0</v>
      </c>
      <c r="F85" s="18">
        <f>SUMIFS(Accounts!$I:$I,Accounts!$E:$E,'AccountSummary (New)'!F$1,Accounts!$G:$G,'AccountSummary (New)'!F$2,Accounts!$F:$F,'AccountSummary (New)'!F$3,Accounts!$W:$W,0,Accounts!$C:$C,"Lost")</f>
        <v>0</v>
      </c>
      <c r="G85" s="18">
        <f>SUMIFS(Accounts!$I:$I,Accounts!$E:$E,'AccountSummary (New)'!G$1,Accounts!$G:$G,'AccountSummary (New)'!G$2,Accounts!$F:$F,'AccountSummary (New)'!G$3,Accounts!$W:$W,0,Accounts!$C:$C,"Lost")</f>
        <v>0</v>
      </c>
      <c r="H85" s="18">
        <f>SUMIFS(Accounts!$I:$I,Accounts!$E:$E,'AccountSummary (New)'!H$1,Accounts!$G:$G,'AccountSummary (New)'!H$2,Accounts!$F:$F,'AccountSummary (New)'!H$3,Accounts!$W:$W,0,Accounts!$C:$C,"Lost")</f>
        <v>0</v>
      </c>
      <c r="I85" s="6">
        <f>SUM(C85:H85)</f>
        <v>0</v>
      </c>
      <c r="J85" s="18">
        <f>SUMIFS(Accounts!$I:$I,Accounts!$E:$E,'AccountSummary (New)'!J$1,Accounts!$G:$G,'AccountSummary (New)'!J$2,Accounts!$F:$F,'AccountSummary (New)'!J$3,Accounts!$W:$W,0,Accounts!$C:$C,"Lost")</f>
        <v>0</v>
      </c>
      <c r="K85" s="18">
        <f>SUMIFS(Accounts!$I:$I,Accounts!$E:$E,'AccountSummary (New)'!K$1,Accounts!$G:$G,'AccountSummary (New)'!K$2,Accounts!$F:$F,'AccountSummary (New)'!K$3,Accounts!$W:$W,0,Accounts!$C:$C,"Lost")</f>
        <v>0</v>
      </c>
      <c r="L85" s="18">
        <f>SUMIFS(Accounts!$I:$I,Accounts!$E:$E,'AccountSummary (New)'!L$1,Accounts!$G:$G,'AccountSummary (New)'!L$2,Accounts!$F:$F,'AccountSummary (New)'!L$3,Accounts!$W:$W,0,Accounts!$C:$C,"Lost")</f>
        <v>0</v>
      </c>
      <c r="M85" s="18">
        <f>SUMIFS(Accounts!$I:$I,Accounts!$E:$E,'AccountSummary (New)'!M$1,Accounts!$G:$G,'AccountSummary (New)'!M$2,Accounts!$F:$F,'AccountSummary (New)'!M$3,Accounts!$W:$W,0,Accounts!$C:$C,"Lost")</f>
        <v>0</v>
      </c>
      <c r="N85" s="18">
        <f>SUMIFS(Accounts!$I:$I,Accounts!$E:$E,'AccountSummary (New)'!N$1,Accounts!$G:$G,'AccountSummary (New)'!N$2,Accounts!$F:$F,'AccountSummary (New)'!N$3,Accounts!$W:$W,0,Accounts!$C:$C,"Lost")</f>
        <v>0</v>
      </c>
      <c r="O85" s="18">
        <f>SUMIFS(Accounts!$I:$I,Accounts!$E:$E,'AccountSummary (New)'!O$1,Accounts!$G:$G,'AccountSummary (New)'!O$2,Accounts!$F:$F,'AccountSummary (New)'!O$3,Accounts!$W:$W,0,Accounts!$C:$C,"Lost")</f>
        <v>0</v>
      </c>
      <c r="P85" s="6">
        <f>SUM(J85:O85)</f>
        <v>0</v>
      </c>
      <c r="Q85" s="18">
        <f>SUMIFS(Accounts!$I:$I,Accounts!$E:$E,'AccountSummary (New)'!Q$1,Accounts!$G:$G,'AccountSummary (New)'!Q$2,Accounts!$F:$F,'AccountSummary (New)'!Q$3,Accounts!$W:$W,0,Accounts!$C:$C,"Lost")</f>
        <v>0</v>
      </c>
      <c r="R85" s="18">
        <f>SUMIFS(Accounts!$I:$I,Accounts!$E:$E,'AccountSummary (New)'!R$1,Accounts!$G:$G,'AccountSummary (New)'!R$2,Accounts!$F:$F,'AccountSummary (New)'!R$3,Accounts!$W:$W,0,Accounts!$C:$C,"Lost")</f>
        <v>0</v>
      </c>
      <c r="S85" s="18">
        <f>SUMIFS(Accounts!$I:$I,Accounts!$E:$E,'AccountSummary (New)'!S$1,Accounts!$G:$G,'AccountSummary (New)'!S$2,Accounts!$F:$F,'AccountSummary (New)'!S$3,Accounts!$W:$W,0,Accounts!$C:$C,"Lost")</f>
        <v>0</v>
      </c>
      <c r="T85" s="18">
        <f>SUMIFS(Accounts!$I:$I,Accounts!$E:$E,'AccountSummary (New)'!T$1,Accounts!$G:$G,'AccountSummary (New)'!T$2,Accounts!$F:$F,'AccountSummary (New)'!T$3,Accounts!$W:$W,0,Accounts!$C:$C,"Lost")</f>
        <v>0</v>
      </c>
      <c r="U85" s="18">
        <f>SUMIFS(Accounts!$I:$I,Accounts!$E:$E,'AccountSummary (New)'!U$1,Accounts!$G:$G,'AccountSummary (New)'!U$2,Accounts!$F:$F,'AccountSummary (New)'!U$3,Accounts!$W:$W,0,Accounts!$C:$C,"Lost")</f>
        <v>0</v>
      </c>
      <c r="V85" s="18">
        <f>SUMIFS(Accounts!$I:$I,Accounts!$E:$E,'AccountSummary (New)'!V$1,Accounts!$G:$G,'AccountSummary (New)'!V$2,Accounts!$F:$F,'AccountSummary (New)'!V$3,Accounts!$W:$W,0,Accounts!$C:$C,"Lost")</f>
        <v>0</v>
      </c>
      <c r="W85" s="6">
        <f>SUM(Q85:V85)</f>
        <v>0</v>
      </c>
    </row>
    <row r="86" spans="1:23" x14ac:dyDescent="0.2">
      <c r="A86" s="1"/>
    </row>
    <row r="87" spans="1:23" x14ac:dyDescent="0.2">
      <c r="A87" s="1" t="s">
        <v>114</v>
      </c>
      <c r="B87" s="18">
        <f>I87+P87+W87</f>
        <v>0</v>
      </c>
      <c r="C87" s="18">
        <f t="shared" ref="C87:H87" si="35">C11</f>
        <v>0</v>
      </c>
      <c r="D87" s="18">
        <f t="shared" si="35"/>
        <v>0</v>
      </c>
      <c r="E87" s="18">
        <f t="shared" si="35"/>
        <v>0</v>
      </c>
      <c r="F87" s="18">
        <f t="shared" si="35"/>
        <v>0</v>
      </c>
      <c r="G87" s="18">
        <f t="shared" si="35"/>
        <v>0</v>
      </c>
      <c r="H87" s="18">
        <f t="shared" si="35"/>
        <v>0</v>
      </c>
      <c r="I87" s="6">
        <f>SUM(C87:H87)</f>
        <v>0</v>
      </c>
      <c r="J87" s="18">
        <f t="shared" ref="J87:O87" si="36">J11</f>
        <v>0</v>
      </c>
      <c r="K87" s="18">
        <f t="shared" si="36"/>
        <v>0</v>
      </c>
      <c r="L87" s="18">
        <f t="shared" si="36"/>
        <v>0</v>
      </c>
      <c r="M87" s="18">
        <f t="shared" si="36"/>
        <v>0</v>
      </c>
      <c r="N87" s="18">
        <f t="shared" si="36"/>
        <v>0</v>
      </c>
      <c r="O87" s="18">
        <f t="shared" si="36"/>
        <v>0</v>
      </c>
      <c r="P87" s="6">
        <f>SUM(J87:O87)</f>
        <v>0</v>
      </c>
      <c r="Q87" s="18">
        <f t="shared" ref="Q87:V87" si="37">Q11</f>
        <v>0</v>
      </c>
      <c r="R87" s="18">
        <f t="shared" si="37"/>
        <v>0</v>
      </c>
      <c r="S87" s="18">
        <f t="shared" si="37"/>
        <v>0</v>
      </c>
      <c r="T87" s="18">
        <f t="shared" si="37"/>
        <v>0</v>
      </c>
      <c r="U87" s="18">
        <f t="shared" si="37"/>
        <v>0</v>
      </c>
      <c r="V87" s="18">
        <f t="shared" si="37"/>
        <v>0</v>
      </c>
      <c r="W87" s="6">
        <f>SUM(Q87:V87)</f>
        <v>0</v>
      </c>
    </row>
    <row r="88" spans="1:23" x14ac:dyDescent="0.2">
      <c r="A88" s="1" t="s">
        <v>100</v>
      </c>
      <c r="B88" s="18">
        <f>I88+P88+W88</f>
        <v>0</v>
      </c>
      <c r="C88" s="18">
        <f t="shared" ref="C88:H88" si="38">C68</f>
        <v>0</v>
      </c>
      <c r="D88" s="18">
        <f t="shared" si="38"/>
        <v>0</v>
      </c>
      <c r="E88" s="18">
        <f t="shared" si="38"/>
        <v>0</v>
      </c>
      <c r="F88" s="18">
        <f t="shared" si="38"/>
        <v>0</v>
      </c>
      <c r="G88" s="18">
        <f t="shared" si="38"/>
        <v>0</v>
      </c>
      <c r="H88" s="18">
        <f t="shared" si="38"/>
        <v>0</v>
      </c>
      <c r="I88" s="6">
        <f>SUM(C88:H88)</f>
        <v>0</v>
      </c>
      <c r="J88" s="18">
        <f t="shared" ref="J88:O88" si="39">J68</f>
        <v>0</v>
      </c>
      <c r="K88" s="18">
        <f t="shared" si="39"/>
        <v>0</v>
      </c>
      <c r="L88" s="18">
        <f t="shared" si="39"/>
        <v>0</v>
      </c>
      <c r="M88" s="18">
        <f t="shared" si="39"/>
        <v>0</v>
      </c>
      <c r="N88" s="18">
        <f t="shared" si="39"/>
        <v>0</v>
      </c>
      <c r="O88" s="18">
        <f t="shared" si="39"/>
        <v>0</v>
      </c>
      <c r="P88" s="6">
        <f>SUM(J88:O88)</f>
        <v>0</v>
      </c>
      <c r="Q88" s="18">
        <f t="shared" ref="Q88:V88" si="40">Q68</f>
        <v>0</v>
      </c>
      <c r="R88" s="18">
        <f t="shared" si="40"/>
        <v>0</v>
      </c>
      <c r="S88" s="18">
        <f t="shared" si="40"/>
        <v>0</v>
      </c>
      <c r="T88" s="18">
        <f t="shared" si="40"/>
        <v>0</v>
      </c>
      <c r="U88" s="18">
        <f t="shared" si="40"/>
        <v>0</v>
      </c>
      <c r="V88" s="18">
        <f t="shared" si="40"/>
        <v>0</v>
      </c>
      <c r="W88" s="6">
        <f>SUM(Q88:V88)</f>
        <v>0</v>
      </c>
    </row>
    <row r="89" spans="1:23" x14ac:dyDescent="0.2">
      <c r="A89" s="1" t="s">
        <v>113</v>
      </c>
      <c r="B89" s="18">
        <f>I89+P89+W89</f>
        <v>0</v>
      </c>
      <c r="C89" s="18">
        <f t="shared" ref="C89:H89" si="41">C85</f>
        <v>0</v>
      </c>
      <c r="D89" s="18">
        <f t="shared" si="41"/>
        <v>0</v>
      </c>
      <c r="E89" s="18">
        <f t="shared" si="41"/>
        <v>0</v>
      </c>
      <c r="F89" s="18">
        <f t="shared" si="41"/>
        <v>0</v>
      </c>
      <c r="G89" s="18">
        <f t="shared" si="41"/>
        <v>0</v>
      </c>
      <c r="H89" s="18">
        <f t="shared" si="41"/>
        <v>0</v>
      </c>
      <c r="I89" s="6">
        <f>SUM(C89:H89)</f>
        <v>0</v>
      </c>
      <c r="J89" s="18">
        <f t="shared" ref="J89:O89" si="42">J85</f>
        <v>0</v>
      </c>
      <c r="K89" s="18">
        <f t="shared" si="42"/>
        <v>0</v>
      </c>
      <c r="L89" s="18">
        <f t="shared" si="42"/>
        <v>0</v>
      </c>
      <c r="M89" s="18">
        <f t="shared" si="42"/>
        <v>0</v>
      </c>
      <c r="N89" s="18">
        <f t="shared" si="42"/>
        <v>0</v>
      </c>
      <c r="O89" s="18">
        <f t="shared" si="42"/>
        <v>0</v>
      </c>
      <c r="P89" s="6">
        <f>SUM(J89:O89)</f>
        <v>0</v>
      </c>
      <c r="Q89" s="18">
        <f t="shared" ref="Q89:V89" si="43">Q85</f>
        <v>0</v>
      </c>
      <c r="R89" s="18">
        <f t="shared" si="43"/>
        <v>0</v>
      </c>
      <c r="S89" s="18">
        <f t="shared" si="43"/>
        <v>0</v>
      </c>
      <c r="T89" s="18">
        <f t="shared" si="43"/>
        <v>0</v>
      </c>
      <c r="U89" s="18">
        <f t="shared" si="43"/>
        <v>0</v>
      </c>
      <c r="V89" s="18">
        <f t="shared" si="43"/>
        <v>0</v>
      </c>
      <c r="W89" s="6">
        <f>SUM(Q89:V89)</f>
        <v>0</v>
      </c>
    </row>
    <row r="90" spans="1:23" x14ac:dyDescent="0.2">
      <c r="A90" s="1"/>
    </row>
    <row r="91" spans="1:23" x14ac:dyDescent="0.2">
      <c r="A91" s="7" t="s">
        <v>115</v>
      </c>
      <c r="B91" s="18">
        <f>I91+P91+W91</f>
        <v>0</v>
      </c>
      <c r="C91" s="18">
        <f t="shared" ref="C91:H91" si="44">C87+C88+C89</f>
        <v>0</v>
      </c>
      <c r="D91" s="18">
        <f t="shared" si="44"/>
        <v>0</v>
      </c>
      <c r="E91" s="18">
        <f t="shared" si="44"/>
        <v>0</v>
      </c>
      <c r="F91" s="18">
        <f t="shared" si="44"/>
        <v>0</v>
      </c>
      <c r="G91" s="18">
        <f t="shared" si="44"/>
        <v>0</v>
      </c>
      <c r="H91" s="18">
        <f t="shared" si="44"/>
        <v>0</v>
      </c>
      <c r="I91" s="6">
        <f>SUM(C91:H91)</f>
        <v>0</v>
      </c>
      <c r="J91" s="18">
        <f t="shared" ref="J91:O91" si="45">J87+J88+J89</f>
        <v>0</v>
      </c>
      <c r="K91" s="18">
        <f t="shared" si="45"/>
        <v>0</v>
      </c>
      <c r="L91" s="18">
        <f t="shared" si="45"/>
        <v>0</v>
      </c>
      <c r="M91" s="18">
        <f t="shared" si="45"/>
        <v>0</v>
      </c>
      <c r="N91" s="18">
        <f t="shared" si="45"/>
        <v>0</v>
      </c>
      <c r="O91" s="18">
        <f t="shared" si="45"/>
        <v>0</v>
      </c>
      <c r="P91" s="6">
        <f>SUM(J91:O91)</f>
        <v>0</v>
      </c>
      <c r="Q91" s="18">
        <f t="shared" ref="Q91:V91" si="46">Q87+Q88+Q89</f>
        <v>0</v>
      </c>
      <c r="R91" s="18">
        <f t="shared" si="46"/>
        <v>0</v>
      </c>
      <c r="S91" s="18">
        <f t="shared" si="46"/>
        <v>0</v>
      </c>
      <c r="T91" s="18">
        <f t="shared" si="46"/>
        <v>0</v>
      </c>
      <c r="U91" s="18">
        <f t="shared" si="46"/>
        <v>0</v>
      </c>
      <c r="V91" s="18">
        <f t="shared" si="46"/>
        <v>0</v>
      </c>
      <c r="W91" s="6">
        <f>SUM(Q91:V91)</f>
        <v>0</v>
      </c>
    </row>
  </sheetData>
  <pageMargins left="0.7" right="0.7" top="0.75" bottom="0.75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3"/>
  <sheetViews>
    <sheetView tabSelected="1"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V5" sqref="V5"/>
    </sheetView>
  </sheetViews>
  <sheetFormatPr baseColWidth="10" defaultColWidth="8.6640625" defaultRowHeight="15" x14ac:dyDescent="0.2"/>
  <cols>
    <col min="1" max="1" width="37" customWidth="1"/>
    <col min="2" max="8" width="12.33203125" bestFit="1" customWidth="1"/>
    <col min="9" max="9" width="12.33203125" style="15" bestFit="1" customWidth="1"/>
    <col min="10" max="15" width="12.33203125" bestFit="1" customWidth="1"/>
    <col min="16" max="16" width="12.33203125" style="15" bestFit="1" customWidth="1"/>
    <col min="17" max="19" width="12.33203125" bestFit="1" customWidth="1"/>
    <col min="20" max="22" width="12.5" bestFit="1" customWidth="1"/>
    <col min="23" max="23" width="12.5" style="15" bestFit="1" customWidth="1"/>
  </cols>
  <sheetData>
    <row r="1" spans="1:23" x14ac:dyDescent="0.2">
      <c r="A1" s="3" t="s">
        <v>4</v>
      </c>
      <c r="B1" s="15" t="s">
        <v>71</v>
      </c>
      <c r="C1" t="s">
        <v>59</v>
      </c>
      <c r="D1" t="s">
        <v>59</v>
      </c>
      <c r="E1" t="s">
        <v>70</v>
      </c>
      <c r="F1" t="s">
        <v>70</v>
      </c>
      <c r="G1" t="s">
        <v>644</v>
      </c>
      <c r="H1" t="s">
        <v>645</v>
      </c>
      <c r="I1" s="15" t="s">
        <v>71</v>
      </c>
      <c r="J1" t="s">
        <v>59</v>
      </c>
      <c r="K1" t="s">
        <v>59</v>
      </c>
      <c r="L1" t="s">
        <v>70</v>
      </c>
      <c r="M1" t="s">
        <v>70</v>
      </c>
      <c r="N1" t="s">
        <v>644</v>
      </c>
      <c r="O1" t="s">
        <v>645</v>
      </c>
      <c r="P1" s="15" t="s">
        <v>71</v>
      </c>
      <c r="Q1" t="s">
        <v>59</v>
      </c>
      <c r="R1" t="s">
        <v>59</v>
      </c>
      <c r="S1" t="s">
        <v>70</v>
      </c>
      <c r="T1" t="s">
        <v>70</v>
      </c>
      <c r="U1" t="s">
        <v>644</v>
      </c>
      <c r="V1" t="s">
        <v>645</v>
      </c>
      <c r="W1" s="15" t="s">
        <v>71</v>
      </c>
    </row>
    <row r="2" spans="1:23" x14ac:dyDescent="0.2">
      <c r="A2" s="3" t="s">
        <v>6</v>
      </c>
      <c r="B2" s="15" t="s">
        <v>71</v>
      </c>
      <c r="C2" t="s">
        <v>67</v>
      </c>
      <c r="D2" t="s">
        <v>61</v>
      </c>
      <c r="E2" t="s">
        <v>67</v>
      </c>
      <c r="F2" t="s">
        <v>61</v>
      </c>
      <c r="G2" t="s">
        <v>61</v>
      </c>
      <c r="H2" t="s">
        <v>61</v>
      </c>
      <c r="I2" s="15" t="s">
        <v>71</v>
      </c>
      <c r="J2" t="s">
        <v>67</v>
      </c>
      <c r="K2" t="s">
        <v>61</v>
      </c>
      <c r="L2" t="s">
        <v>67</v>
      </c>
      <c r="M2" t="s">
        <v>61</v>
      </c>
      <c r="N2" t="s">
        <v>61</v>
      </c>
      <c r="O2" t="s">
        <v>61</v>
      </c>
      <c r="P2" s="15" t="s">
        <v>71</v>
      </c>
      <c r="Q2" t="s">
        <v>67</v>
      </c>
      <c r="R2" t="s">
        <v>61</v>
      </c>
      <c r="S2" t="s">
        <v>67</v>
      </c>
      <c r="T2" t="s">
        <v>61</v>
      </c>
      <c r="U2" t="s">
        <v>61</v>
      </c>
      <c r="V2" t="s">
        <v>61</v>
      </c>
      <c r="W2" s="15" t="s">
        <v>71</v>
      </c>
    </row>
    <row r="3" spans="1:23" x14ac:dyDescent="0.2">
      <c r="A3" s="3" t="s">
        <v>5</v>
      </c>
      <c r="B3" s="15" t="s">
        <v>71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s="15" t="s">
        <v>68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s="15" t="s">
        <v>69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s="15" t="s">
        <v>60</v>
      </c>
    </row>
    <row r="4" spans="1:23" x14ac:dyDescent="0.2">
      <c r="A4" s="1" t="s">
        <v>72</v>
      </c>
      <c r="D4" s="4"/>
    </row>
    <row r="5" spans="1:23" x14ac:dyDescent="0.2">
      <c r="A5" s="1" t="s">
        <v>73</v>
      </c>
      <c r="B5">
        <f>I5+P5+W5</f>
        <v>0</v>
      </c>
      <c r="C5">
        <f>COUNTIFS(Accounts!$E:$E,C$1,Accounts!$G:$G,C$2,Accounts!$F:$F,C$3,Accounts!$B:$B,"none",Accounts!$BF:$BF,FALSE)</f>
        <v>0</v>
      </c>
      <c r="D5">
        <f>COUNTIFS(Accounts!$E:$E,D$1,Accounts!$G:$G,D$2,Accounts!$F:$F,D$3,Accounts!$B:$B,"none",Accounts!$BF:$BF,FALSE)</f>
        <v>0</v>
      </c>
      <c r="E5">
        <f>COUNTIFS(Accounts!$E:$E,E$1,Accounts!$G:$G,E$2,Accounts!$F:$F,E$3,Accounts!$B:$B,"none",Accounts!$BF:$BF,FALSE)</f>
        <v>0</v>
      </c>
      <c r="F5">
        <f>COUNTIFS(Accounts!$E:$E,F$1,Accounts!$G:$G,F$2,Accounts!$F:$F,F$3,Accounts!$B:$B,"none",Accounts!$BF:$BF,FALSE)</f>
        <v>0</v>
      </c>
      <c r="G5">
        <f>COUNTIFS(Accounts!$E:$E,G$1,Accounts!$G:$G,G$2,Accounts!$F:$F,G$3,Accounts!$B:$B,"none",Accounts!$BF:$BF,FALSE)</f>
        <v>0</v>
      </c>
      <c r="H5">
        <f>COUNTIFS(Accounts!$E:$E,H$1,Accounts!$G:$G,H$2,Accounts!$F:$F,H$3,Accounts!$B:$B,"none",Accounts!$BF:$BF,FALSE)+COUNTIFS(Accounts!$E:$E,"QuickBooks",Accounts!$G:$G,H$2,Accounts!$F:$F,H$3,Accounts!$B:$B,"none",Accounts!$BF:$BF,FALSE)</f>
        <v>0</v>
      </c>
      <c r="I5" s="15">
        <f>SUM(C5:H5)</f>
        <v>0</v>
      </c>
      <c r="J5">
        <f>COUNTIFS(Accounts!$E:$E,J$1,Accounts!$G:$G,J$2,Accounts!$F:$F,J$3,Accounts!$B:$B,"none",Accounts!$BF:$BF,FALSE)</f>
        <v>0</v>
      </c>
      <c r="K5">
        <f>COUNTIFS(Accounts!$E:$E,K$1,Accounts!$G:$G,K$2,Accounts!$F:$F,K$3,Accounts!$B:$B,"none",Accounts!$BF:$BF,FALSE)</f>
        <v>0</v>
      </c>
      <c r="L5">
        <f>COUNTIFS(Accounts!$E:$E,L$1,Accounts!$G:$G,L$2,Accounts!$F:$F,L$3,Accounts!$B:$B,"none",Accounts!$BF:$BF,FALSE)</f>
        <v>0</v>
      </c>
      <c r="M5">
        <f>COUNTIFS(Accounts!$E:$E,M$1,Accounts!$G:$G,M$2,Accounts!$F:$F,M$3,Accounts!$B:$B,"none",Accounts!$BF:$BF,FALSE)</f>
        <v>0</v>
      </c>
      <c r="N5">
        <f>COUNTIFS(Accounts!$E:$E,N$1,Accounts!$G:$G,N$2,Accounts!$F:$F,N$3,Accounts!$B:$B,"none",Accounts!$BF:$BF,FALSE)</f>
        <v>0</v>
      </c>
      <c r="O5">
        <f>COUNTIFS(Accounts!$E:$E,O$1,Accounts!$G:$G,O$2,Accounts!$F:$F,O$3,Accounts!$B:$B,"none",Accounts!$BF:$BF,FALSE)+COUNTIFS(Accounts!$E:$E,"QuickBooks",Accounts!$G:$G,O$2,Accounts!$F:$F,O$3,Accounts!$B:$B,"none",Accounts!$BF:$BF,FALSE)</f>
        <v>0</v>
      </c>
      <c r="P5" s="15">
        <f>SUM(J5:O5)</f>
        <v>0</v>
      </c>
      <c r="Q5">
        <f>COUNTIFS(Accounts!$E:$E,Q$1,Accounts!$G:$G,Q$2,Accounts!$F:$F,Q$3,Accounts!$B:$B,"none",Accounts!$BF:$BF,FALSE)</f>
        <v>0</v>
      </c>
      <c r="R5">
        <f>COUNTIFS(Accounts!$E:$E,R$1,Accounts!$G:$G,R$2,Accounts!$F:$F,R$3,Accounts!$B:$B,"none",Accounts!$BF:$BF,FALSE)</f>
        <v>0</v>
      </c>
      <c r="S5">
        <f>COUNTIFS(Accounts!$E:$E,S$1,Accounts!$G:$G,S$2,Accounts!$F:$F,S$3,Accounts!$B:$B,"none",Accounts!$BF:$BF,FALSE)</f>
        <v>0</v>
      </c>
      <c r="T5">
        <f>COUNTIFS(Accounts!$E:$E,T$1,Accounts!$G:$G,T$2,Accounts!$F:$F,T$3,Accounts!$B:$B,"none",Accounts!$BF:$BF,FALSE)</f>
        <v>0</v>
      </c>
      <c r="U5">
        <f>COUNTIFS(Accounts!$E:$E,U$1,Accounts!$G:$G,U$2,Accounts!$F:$F,U$3,Accounts!$B:$B,"none",Accounts!$BF:$BF,FALSE)</f>
        <v>0</v>
      </c>
      <c r="V5">
        <f>COUNTIFS(Accounts!$E:$E,V$1,Accounts!$G:$G,V$2,Accounts!$F:$F,V$3,Accounts!$B:$B,"none",Accounts!$BF:$BF,FALSE)+COUNTIFS(Accounts!$E:$E,"QuickBooks",Accounts!$G:$G,V$2,Accounts!$F:$F,V$3,Accounts!$B:$B,"none",Accounts!$BF:$BF,FALSE)</f>
        <v>0</v>
      </c>
      <c r="W5" s="15">
        <f>SUM(Q5:V5)</f>
        <v>0</v>
      </c>
    </row>
    <row r="6" spans="1:23" x14ac:dyDescent="0.2">
      <c r="A6" s="1"/>
    </row>
    <row r="7" spans="1:23" x14ac:dyDescent="0.2">
      <c r="A7" s="1" t="s">
        <v>74</v>
      </c>
      <c r="B7" s="9">
        <f ca="1">I7+P7+W7</f>
        <v>0</v>
      </c>
      <c r="C7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""),1)</f>
        <v>0</v>
      </c>
      <c r="D7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""),1)</f>
        <v>0</v>
      </c>
      <c r="E7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""),1)</f>
        <v>0</v>
      </c>
      <c r="F7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""),1)</f>
        <v>0</v>
      </c>
      <c r="G7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""),1)</f>
        <v>0</v>
      </c>
      <c r="H7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""),1)</f>
        <v>0</v>
      </c>
      <c r="I7" s="15">
        <f ca="1">SUM(C7:H7)</f>
        <v>0</v>
      </c>
      <c r="J7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""),1)</f>
        <v>0</v>
      </c>
      <c r="K7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""),1)</f>
        <v>0</v>
      </c>
      <c r="L7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""),1)</f>
        <v>0</v>
      </c>
      <c r="M7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""),1)</f>
        <v>0</v>
      </c>
      <c r="N7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""),1)</f>
        <v>0</v>
      </c>
      <c r="O7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""),1)</f>
        <v>0</v>
      </c>
      <c r="P7" s="15">
        <f ca="1">SUM(J7:O7)</f>
        <v>0</v>
      </c>
      <c r="Q7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""),1)</f>
        <v>0</v>
      </c>
      <c r="R7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""),1)</f>
        <v>0</v>
      </c>
      <c r="S7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""),1)</f>
        <v>0</v>
      </c>
      <c r="T7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""),1)</f>
        <v>0</v>
      </c>
      <c r="U7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""),1)</f>
        <v>0</v>
      </c>
      <c r="V7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""),1)</f>
        <v>0</v>
      </c>
      <c r="W7" s="15">
        <f ca="1">SUM(Q7:V7)</f>
        <v>0</v>
      </c>
    </row>
    <row r="8" spans="1:23" x14ac:dyDescent="0.2">
      <c r="A8" s="2" t="s">
        <v>75</v>
      </c>
      <c r="B8" s="13">
        <f ca="1">IF(B7=0,0,SUMIFS(INDIRECT("Accounts!$L$2:$L$" &amp; CountsForFormulas!$D$3 &amp; ""),INDIRECT("Accounts!$W$2:$W$" &amp; CountsForFormulas!$D$3 &amp; ""),1)/B7)</f>
        <v>0</v>
      </c>
      <c r="C8" s="4">
        <f ca="1">IF(C7=0,0,SUMIFS(INDIRECT("Accounts!$L$2:$L$"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""),1)/C7)</f>
        <v>0</v>
      </c>
      <c r="D8" s="4">
        <f ca="1">IF(D7=0,0,SUMIFS(INDIRECT("Accounts!$L$2:$L$"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""),1)/D7)</f>
        <v>0</v>
      </c>
      <c r="E8" s="4">
        <f ca="1">IF(E7=0,0,SUMIFS(INDIRECT("Accounts!$L$2:$L$"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""),1)/E7)</f>
        <v>0</v>
      </c>
      <c r="F8" s="4">
        <f ca="1">IF(F7=0,0,SUMIFS(INDIRECT("Accounts!$L$2:$L$"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""),1)/F7)</f>
        <v>0</v>
      </c>
      <c r="G8" s="4">
        <f ca="1">IF(G7=0,0,SUMIFS(INDIRECT("Accounts!$L$2:$L$"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""),1)/G7)</f>
        <v>0</v>
      </c>
      <c r="H8" s="4">
        <f ca="1">IF(H7=0,0,SUMIFS(INDIRECT("Accounts!$L$2:$L$"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""),1)/H7)</f>
        <v>0</v>
      </c>
      <c r="I8" s="5">
        <f ca="1">IF(I7=0,0,SUMIFS(INDIRECT("Accounts!$L$2:$L$" &amp; CountsForFormulas!$D$3 &amp; ""),INDIRECT("Accounts!$F$2:$F$" &amp; CountsForFormulas!$D$3 &amp; ""),AccountSummary!I$3,INDIRECT("Accounts!$W$2:$W$" &amp; CountsForFormulas!$D$3 &amp; ""),1)/I7)</f>
        <v>0</v>
      </c>
      <c r="J8" s="4">
        <f ca="1">IF(J7=0,0,SUMIFS(INDIRECT("Accounts!$L$2:$L$"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""),1)/J7)</f>
        <v>0</v>
      </c>
      <c r="K8" s="4">
        <f ca="1">IF(K7=0,0,SUMIFS(INDIRECT("Accounts!$L$2:$L$"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""),1)/K7)</f>
        <v>0</v>
      </c>
      <c r="L8" s="4">
        <f ca="1">IF(L7=0,0,SUMIFS(INDIRECT("Accounts!$L$2:$L$"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""),1)/L7)</f>
        <v>0</v>
      </c>
      <c r="M8" s="4">
        <f ca="1">IF(M7=0,0,SUMIFS(INDIRECT("Accounts!$L$2:$L$"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""),1)/M7)</f>
        <v>0</v>
      </c>
      <c r="N8" s="4">
        <f ca="1">IF(N7=0,0,SUMIFS(INDIRECT("Accounts!$L$2:$L$"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""),1)/N7)</f>
        <v>0</v>
      </c>
      <c r="O8" s="4">
        <f ca="1">IF(O7=0,0,SUMIFS(INDIRECT("Accounts!$L$2:$L$"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""),1)/O7)</f>
        <v>0</v>
      </c>
      <c r="P8" s="5">
        <f ca="1">IF(P7=0,0,SUMIFS(INDIRECT("Accounts!$L$2:$L$" &amp; CountsForFormulas!$D$3 &amp; ""),INDIRECT("Accounts!$F$2:$F$" &amp; CountsForFormulas!$D$3 &amp; ""),AccountSummary!P$3,INDIRECT("Accounts!$W$2:$W$" &amp; CountsForFormulas!$D$3 &amp; ""),1)/P7)</f>
        <v>0</v>
      </c>
      <c r="Q8" s="4">
        <f ca="1">IF(Q7=0,0,SUMIFS(INDIRECT("Accounts!$L$2:$L$"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""),1)/Q7)</f>
        <v>0</v>
      </c>
      <c r="R8" s="4">
        <f ca="1">IF(R7=0,0,SUMIFS(INDIRECT("Accounts!$L$2:$L$"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""),1)/R7)</f>
        <v>0</v>
      </c>
      <c r="S8" s="4">
        <f ca="1">IF(S7=0,0,SUMIFS(INDIRECT("Accounts!$L$2:$L$"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""),1)/S7)</f>
        <v>0</v>
      </c>
      <c r="T8" s="4">
        <f ca="1">IF(T7=0,0,SUMIFS(INDIRECT("Accounts!$L$2:$L$"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""),1)/T7)</f>
        <v>0</v>
      </c>
      <c r="U8" s="4">
        <f ca="1">IF(U7=0,0,SUMIFS(INDIRECT("Accounts!$L$2:$L$"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""),1)/U7)</f>
        <v>0</v>
      </c>
      <c r="V8" s="4">
        <f ca="1">IF(V7=0,0,SUMIFS(INDIRECT("Accounts!$L$2:$L$"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""),1)/V7)</f>
        <v>0</v>
      </c>
      <c r="W8" s="5">
        <f ca="1">IF(W7=0,0,SUMIFS(INDIRECT("Accounts!$L$2:$L$" &amp; CountsForFormulas!$D$3 &amp; ""),INDIRECT("Accounts!$F$2:$F$" &amp; CountsForFormulas!$D$3 &amp; ""),AccountSummary!W$3,INDIRECT("Accounts!$W$2:$W$" &amp; CountsForFormulas!$D$3 &amp; ""),1)/W7)</f>
        <v>0</v>
      </c>
    </row>
    <row r="9" spans="1:23" x14ac:dyDescent="0.2">
      <c r="A9" s="2" t="s">
        <v>76</v>
      </c>
      <c r="B9" s="13">
        <f ca="1">IF(B7=0,0,SUMIFS(INDIRECT("Accounts!$M$2:$M$" &amp; CountsForFormulas!$D$3 &amp; ""),INDIRECT("Accounts!$W$2:$W$" &amp; CountsForFormulas!$D$3 &amp; ""),1)/B7)</f>
        <v>0</v>
      </c>
      <c r="C9" s="4">
        <f ca="1">IF(C7=0,0,SUMIFS(INDIRECT("Accounts!$M$2:$M$"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""),1)/C7)</f>
        <v>0</v>
      </c>
      <c r="D9" s="4">
        <f ca="1">IF(D7=0,0,SUMIFS(INDIRECT("Accounts!$M$2:$M$"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""),1)/D7)</f>
        <v>0</v>
      </c>
      <c r="E9" s="4">
        <f ca="1">IF(E7=0,0,SUMIFS(INDIRECT("Accounts!$M$2:$M$"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""),1)/E7)</f>
        <v>0</v>
      </c>
      <c r="F9" s="4">
        <f ca="1">IF(F7=0,0,SUMIFS(INDIRECT("Accounts!$M$2:$M$"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""),1)/F7)</f>
        <v>0</v>
      </c>
      <c r="G9" s="4">
        <f ca="1">IF(G7=0,0,SUMIFS(INDIRECT("Accounts!$M$2:$M$"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""),1)/G7)</f>
        <v>0</v>
      </c>
      <c r="H9" s="4">
        <f ca="1">IF(H7=0,0,SUMIFS(INDIRECT("Accounts!$M$2:$M$"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""),1)/H7)</f>
        <v>0</v>
      </c>
      <c r="I9" s="5">
        <f ca="1">IF(I7=0,0,SUMIFS(INDIRECT("Accounts!$M$2:$M$" &amp; CountsForFormulas!$D$3 &amp; ""),INDIRECT("Accounts!$F$2:$F$" &amp; CountsForFormulas!$D$3 &amp; ""),AccountSummary!I$3,INDIRECT("Accounts!$W$2:$W$" &amp; CountsForFormulas!$D$3 &amp; ""),1)/I7)</f>
        <v>0</v>
      </c>
      <c r="J9" s="4">
        <f ca="1">IF(J7=0,0,SUMIFS(INDIRECT("Accounts!$M$2:$M$"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""),1)/J7)</f>
        <v>0</v>
      </c>
      <c r="K9" s="4">
        <f ca="1">IF(K7=0,0,SUMIFS(INDIRECT("Accounts!$M$2:$M$"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""),1)/K7)</f>
        <v>0</v>
      </c>
      <c r="L9" s="4">
        <f ca="1">IF(L7=0,0,SUMIFS(INDIRECT("Accounts!$M$2:$M$"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""),1)/L7)</f>
        <v>0</v>
      </c>
      <c r="M9" s="4">
        <f ca="1">IF(M7=0,0,SUMIFS(INDIRECT("Accounts!$M$2:$M$"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""),1)/M7)</f>
        <v>0</v>
      </c>
      <c r="N9" s="4">
        <f ca="1">IF(N7=0,0,SUMIFS(INDIRECT("Accounts!$M$2:$M$"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""),1)/N7)</f>
        <v>0</v>
      </c>
      <c r="O9" s="4">
        <f ca="1">IF(O7=0,0,SUMIFS(INDIRECT("Accounts!$M$2:$M$"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""),1)/O7)</f>
        <v>0</v>
      </c>
      <c r="P9" s="5">
        <f ca="1">IF(P7=0,0,SUMIFS(INDIRECT("Accounts!$M$2:$M$" &amp; CountsForFormulas!$D$3 &amp; ""),INDIRECT("Accounts!$F$2:$F$" &amp; CountsForFormulas!$D$3 &amp; ""),AccountSummary!P$3,INDIRECT("Accounts!$W$2:$W$" &amp; CountsForFormulas!$D$3 &amp; ""),1)/P7)</f>
        <v>0</v>
      </c>
      <c r="Q9" s="4">
        <f ca="1">IF(Q7=0,0,SUMIFS(INDIRECT("Accounts!$M$2:$M$"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""),1)/Q7)</f>
        <v>0</v>
      </c>
      <c r="R9" s="4">
        <f ca="1">IF(R7=0,0,SUMIFS(INDIRECT("Accounts!$M$2:$M$"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""),1)/R7)</f>
        <v>0</v>
      </c>
      <c r="S9" s="4">
        <f ca="1">IF(S7=0,0,SUMIFS(INDIRECT("Accounts!$M$2:$M$"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""),1)/S7)</f>
        <v>0</v>
      </c>
      <c r="T9" s="4">
        <f ca="1">IF(T7=0,0,SUMIFS(INDIRECT("Accounts!$M$2:$M$"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""),1)/T7)</f>
        <v>0</v>
      </c>
      <c r="U9" s="4">
        <f ca="1">IF(U7=0,0,SUMIFS(INDIRECT("Accounts!$M$2:$M$"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""),1)/U7)</f>
        <v>0</v>
      </c>
      <c r="V9" s="4">
        <f ca="1">IF(V7=0,0,SUMIFS(INDIRECT("Accounts!$M$2:$M$"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""),1)/V7)</f>
        <v>0</v>
      </c>
      <c r="W9" s="5">
        <f ca="1">IF(W7=0,0,SUMIFS(INDIRECT("Accounts!$M$2:$M$" &amp; CountsForFormulas!$D$3 &amp; ""),INDIRECT("Accounts!$F$2:$F$" &amp; CountsForFormulas!$D$3 &amp; ""),AccountSummary!W$3,INDIRECT("Accounts!$W$2:$W$" &amp; CountsForFormulas!$D$3 &amp; ""),1)/W7)</f>
        <v>0</v>
      </c>
    </row>
    <row r="10" spans="1:23" x14ac:dyDescent="0.2">
      <c r="A10" s="1" t="s">
        <v>77</v>
      </c>
      <c r="B10" s="10">
        <f t="shared" ref="B10:W10" ca="1" si="0">IF(B7=0,0,B11/B7)</f>
        <v>0</v>
      </c>
      <c r="C10" s="18">
        <f t="shared" ca="1" si="0"/>
        <v>0</v>
      </c>
      <c r="D10" s="18">
        <f t="shared" ca="1" si="0"/>
        <v>0</v>
      </c>
      <c r="E10" s="18">
        <f t="shared" ca="1" si="0"/>
        <v>0</v>
      </c>
      <c r="F10" s="18">
        <f t="shared" ca="1" si="0"/>
        <v>0</v>
      </c>
      <c r="G10" s="18">
        <f t="shared" ca="1" si="0"/>
        <v>0</v>
      </c>
      <c r="H10" s="18">
        <f t="shared" ca="1" si="0"/>
        <v>0</v>
      </c>
      <c r="I10" s="6">
        <f t="shared" ca="1" si="0"/>
        <v>0</v>
      </c>
      <c r="J10" s="18">
        <f t="shared" ca="1" si="0"/>
        <v>0</v>
      </c>
      <c r="K10" s="18">
        <f t="shared" ca="1" si="0"/>
        <v>0</v>
      </c>
      <c r="L10" s="18">
        <f t="shared" ca="1" si="0"/>
        <v>0</v>
      </c>
      <c r="M10" s="18">
        <f t="shared" ca="1" si="0"/>
        <v>0</v>
      </c>
      <c r="N10" s="18">
        <f t="shared" ca="1" si="0"/>
        <v>0</v>
      </c>
      <c r="O10" s="18">
        <f t="shared" ca="1" si="0"/>
        <v>0</v>
      </c>
      <c r="P10" s="6">
        <f t="shared" ca="1" si="0"/>
        <v>0</v>
      </c>
      <c r="Q10" s="18">
        <f t="shared" ca="1" si="0"/>
        <v>0</v>
      </c>
      <c r="R10" s="18">
        <f t="shared" ca="1" si="0"/>
        <v>0</v>
      </c>
      <c r="S10" s="18">
        <f t="shared" ca="1" si="0"/>
        <v>0</v>
      </c>
      <c r="T10" s="18">
        <f t="shared" ca="1" si="0"/>
        <v>0</v>
      </c>
      <c r="U10" s="18">
        <f t="shared" ca="1" si="0"/>
        <v>0</v>
      </c>
      <c r="V10" s="18">
        <f t="shared" ca="1" si="0"/>
        <v>0</v>
      </c>
      <c r="W10" s="6">
        <f t="shared" ca="1" si="0"/>
        <v>0</v>
      </c>
    </row>
    <row r="11" spans="1:23" x14ac:dyDescent="0.2">
      <c r="A11" s="7" t="s">
        <v>78</v>
      </c>
      <c r="B11" s="10">
        <f ca="1">I11+P11+W11</f>
        <v>0</v>
      </c>
      <c r="C11" s="18">
        <f ca="1"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""),1)</f>
        <v>0</v>
      </c>
      <c r="D11" s="18">
        <f ca="1"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""),1)</f>
        <v>0</v>
      </c>
      <c r="E11" s="18">
        <f ca="1"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""),1)</f>
        <v>0</v>
      </c>
      <c r="F11" s="18">
        <f ca="1"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""),1)</f>
        <v>0</v>
      </c>
      <c r="G11" s="18">
        <f ca="1"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""),1)</f>
        <v>0</v>
      </c>
      <c r="H11" s="18">
        <f ca="1"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""),1)</f>
        <v>0</v>
      </c>
      <c r="I11" s="6">
        <f ca="1">SUM(C11:H11)</f>
        <v>0</v>
      </c>
      <c r="J11" s="18">
        <f ca="1"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""),1)</f>
        <v>0</v>
      </c>
      <c r="K11" s="18">
        <f ca="1"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""),1)</f>
        <v>0</v>
      </c>
      <c r="L11" s="18">
        <f ca="1"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""),1)</f>
        <v>0</v>
      </c>
      <c r="M11" s="18">
        <f ca="1"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""),1)</f>
        <v>0</v>
      </c>
      <c r="N11" s="18">
        <f ca="1"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""),1)</f>
        <v>0</v>
      </c>
      <c r="O11" s="18">
        <f ca="1"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""),1)</f>
        <v>0</v>
      </c>
      <c r="P11" s="6">
        <f ca="1">SUM(J11:O11)</f>
        <v>0</v>
      </c>
      <c r="Q11" s="18">
        <f ca="1"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""),1)</f>
        <v>0</v>
      </c>
      <c r="R11" s="18">
        <f ca="1"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""),1)</f>
        <v>0</v>
      </c>
      <c r="S11" s="18">
        <f ca="1"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""),1)</f>
        <v>0</v>
      </c>
      <c r="T11" s="18">
        <f ca="1"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""),1)</f>
        <v>0</v>
      </c>
      <c r="U11" s="18">
        <f ca="1"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""),1)</f>
        <v>0</v>
      </c>
      <c r="V11" s="18">
        <f ca="1"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""),1)</f>
        <v>0</v>
      </c>
      <c r="W11" s="6">
        <f ca="1">SUM(Q11:V11)</f>
        <v>0</v>
      </c>
    </row>
    <row r="12" spans="1:23" x14ac:dyDescent="0.2">
      <c r="A12" s="7"/>
      <c r="B12" s="9"/>
    </row>
    <row r="13" spans="1:23" x14ac:dyDescent="0.2">
      <c r="A13" s="1" t="s">
        <v>79</v>
      </c>
      <c r="B13" s="9"/>
    </row>
    <row r="14" spans="1:23" x14ac:dyDescent="0.2">
      <c r="A14" s="1" t="s">
        <v>80</v>
      </c>
      <c r="B14" s="11">
        <f t="shared" ref="B14:W14" ca="1" si="1">IF(B7=0,0,B15/B7)</f>
        <v>0</v>
      </c>
      <c r="C14" s="8">
        <f t="shared" ca="1" si="1"/>
        <v>0</v>
      </c>
      <c r="D14" s="8">
        <f t="shared" ca="1" si="1"/>
        <v>0</v>
      </c>
      <c r="E14" s="8">
        <f t="shared" ca="1" si="1"/>
        <v>0</v>
      </c>
      <c r="F14" s="8">
        <f t="shared" ca="1" si="1"/>
        <v>0</v>
      </c>
      <c r="G14" s="8">
        <f t="shared" ca="1" si="1"/>
        <v>0</v>
      </c>
      <c r="H14" s="8">
        <f t="shared" ca="1" si="1"/>
        <v>0</v>
      </c>
      <c r="I14" s="20">
        <f t="shared" ca="1" si="1"/>
        <v>0</v>
      </c>
      <c r="J14" s="8">
        <f t="shared" ca="1" si="1"/>
        <v>0</v>
      </c>
      <c r="K14" s="8">
        <f t="shared" ca="1" si="1"/>
        <v>0</v>
      </c>
      <c r="L14" s="8">
        <f t="shared" ca="1" si="1"/>
        <v>0</v>
      </c>
      <c r="M14" s="8">
        <f t="shared" ca="1" si="1"/>
        <v>0</v>
      </c>
      <c r="N14" s="8">
        <f t="shared" ca="1" si="1"/>
        <v>0</v>
      </c>
      <c r="O14" s="8">
        <f t="shared" ca="1" si="1"/>
        <v>0</v>
      </c>
      <c r="P14" s="20">
        <f t="shared" ca="1" si="1"/>
        <v>0</v>
      </c>
      <c r="Q14" s="8">
        <f t="shared" ca="1" si="1"/>
        <v>0</v>
      </c>
      <c r="R14" s="8">
        <f t="shared" ca="1" si="1"/>
        <v>0</v>
      </c>
      <c r="S14" s="8">
        <f t="shared" ca="1" si="1"/>
        <v>0</v>
      </c>
      <c r="T14" s="8">
        <f t="shared" ca="1" si="1"/>
        <v>0</v>
      </c>
      <c r="U14" s="8">
        <f t="shared" ca="1" si="1"/>
        <v>0</v>
      </c>
      <c r="V14" s="8">
        <f t="shared" ca="1" si="1"/>
        <v>0</v>
      </c>
      <c r="W14" s="20">
        <f t="shared" ca="1" si="1"/>
        <v>0</v>
      </c>
    </row>
    <row r="15" spans="1:23" x14ac:dyDescent="0.2">
      <c r="A15" s="1" t="s">
        <v>81</v>
      </c>
      <c r="B15" s="9">
        <f ca="1">I15+P15+W15</f>
        <v>0</v>
      </c>
      <c r="C15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""),1,INDIRECT("Accounts!$C$2:$C$" &amp; CountsForFormulas!$D$3 &amp; ""),"Lost")</f>
        <v>0</v>
      </c>
      <c r="D15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""),1,INDIRECT("Accounts!$C$2:$C$" &amp; CountsForFormulas!$D$3 &amp; ""),"Lost")</f>
        <v>0</v>
      </c>
      <c r="E15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""),1,INDIRECT("Accounts!$C$2:$C$" &amp; CountsForFormulas!$D$3 &amp; ""),"Lost")</f>
        <v>0</v>
      </c>
      <c r="F15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""),1,INDIRECT("Accounts!$C$2:$C$" &amp; CountsForFormulas!$D$3 &amp; ""),"Lost")</f>
        <v>0</v>
      </c>
      <c r="G15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""),1,INDIRECT("Accounts!$C$2:$C$" &amp; CountsForFormulas!$D$3 &amp; ""),"Lost")</f>
        <v>0</v>
      </c>
      <c r="H15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""),1,INDIRECT("Accounts!$C$2:$C$" &amp; CountsForFormulas!$D$3 &amp; ""),"Lost")</f>
        <v>0</v>
      </c>
      <c r="I15" s="15">
        <f ca="1">SUM(C15:H15)</f>
        <v>0</v>
      </c>
      <c r="J15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""),1,INDIRECT("Accounts!$C$2:$C$" &amp; CountsForFormulas!$D$3 &amp; ""),"Lost")</f>
        <v>0</v>
      </c>
      <c r="K15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""),1,INDIRECT("Accounts!$C$2:$C$" &amp; CountsForFormulas!$D$3 &amp; ""),"Lost")</f>
        <v>0</v>
      </c>
      <c r="L15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""),1,INDIRECT("Accounts!$C$2:$C$" &amp; CountsForFormulas!$D$3 &amp; ""),"Lost")</f>
        <v>0</v>
      </c>
      <c r="M15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""),1,INDIRECT("Accounts!$C$2:$C$" &amp; CountsForFormulas!$D$3 &amp; ""),"Lost")</f>
        <v>0</v>
      </c>
      <c r="N15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""),1,INDIRECT("Accounts!$C$2:$C$" &amp; CountsForFormulas!$D$3 &amp; ""),"Lost")</f>
        <v>0</v>
      </c>
      <c r="O15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""),1,INDIRECT("Accounts!$C$2:$C$" &amp; CountsForFormulas!$D$3 &amp; ""),"Lost")</f>
        <v>0</v>
      </c>
      <c r="P15" s="15">
        <f ca="1">SUM(J15:O15)</f>
        <v>0</v>
      </c>
      <c r="Q15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""),1,INDIRECT("Accounts!$C$2:$C$" &amp; CountsForFormulas!$D$3 &amp; ""),"Lost")</f>
        <v>0</v>
      </c>
      <c r="R15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""),1,INDIRECT("Accounts!$C$2:$C$" &amp; CountsForFormulas!$D$3 &amp; ""),"Lost")</f>
        <v>0</v>
      </c>
      <c r="S15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""),1,INDIRECT("Accounts!$C$2:$C$" &amp; CountsForFormulas!$D$3 &amp; ""),"Lost")</f>
        <v>0</v>
      </c>
      <c r="T15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""),1,INDIRECT("Accounts!$C$2:$C$" &amp; CountsForFormulas!$D$3 &amp; ""),"Lost")</f>
        <v>0</v>
      </c>
      <c r="U15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""),1,INDIRECT("Accounts!$C$2:$C$" &amp; CountsForFormulas!$D$3 &amp; ""),"Lost")</f>
        <v>0</v>
      </c>
      <c r="V15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""),1,INDIRECT("Accounts!$C$2:$C$" &amp; CountsForFormulas!$D$3 &amp; ""),"Lost")</f>
        <v>0</v>
      </c>
      <c r="W15" s="15">
        <f ca="1">SUM(Q15:V15)</f>
        <v>0</v>
      </c>
    </row>
    <row r="16" spans="1:23" x14ac:dyDescent="0.2">
      <c r="A16" s="1" t="s">
        <v>82</v>
      </c>
      <c r="B16" s="9">
        <f ca="1">I16+P16+W16</f>
        <v>0</v>
      </c>
      <c r="C16">
        <f t="shared" ref="C16:H16" ca="1" si="2">C7-C15</f>
        <v>0</v>
      </c>
      <c r="D16">
        <f t="shared" ca="1" si="2"/>
        <v>0</v>
      </c>
      <c r="E16">
        <f t="shared" ca="1" si="2"/>
        <v>0</v>
      </c>
      <c r="F16">
        <f t="shared" ca="1" si="2"/>
        <v>0</v>
      </c>
      <c r="G16">
        <f t="shared" ca="1" si="2"/>
        <v>0</v>
      </c>
      <c r="H16">
        <f t="shared" ca="1" si="2"/>
        <v>0</v>
      </c>
      <c r="I16" s="15">
        <f ca="1">SUM(C16:H16)</f>
        <v>0</v>
      </c>
      <c r="J16">
        <f t="shared" ref="J16:O16" ca="1" si="3">J7-J15</f>
        <v>0</v>
      </c>
      <c r="K16">
        <f t="shared" ca="1" si="3"/>
        <v>0</v>
      </c>
      <c r="L16">
        <f t="shared" ca="1" si="3"/>
        <v>0</v>
      </c>
      <c r="M16">
        <f t="shared" ca="1" si="3"/>
        <v>0</v>
      </c>
      <c r="N16">
        <f t="shared" ca="1" si="3"/>
        <v>0</v>
      </c>
      <c r="O16">
        <f t="shared" ca="1" si="3"/>
        <v>0</v>
      </c>
      <c r="P16" s="15">
        <f ca="1">SUM(J16:O16)</f>
        <v>0</v>
      </c>
      <c r="Q16">
        <f t="shared" ref="Q16:V16" ca="1" si="4">Q7-Q15</f>
        <v>0</v>
      </c>
      <c r="R16">
        <f t="shared" ca="1" si="4"/>
        <v>0</v>
      </c>
      <c r="S16">
        <f t="shared" ca="1" si="4"/>
        <v>0</v>
      </c>
      <c r="T16">
        <f t="shared" ca="1" si="4"/>
        <v>0</v>
      </c>
      <c r="U16">
        <f t="shared" ca="1" si="4"/>
        <v>0</v>
      </c>
      <c r="V16">
        <f t="shared" ca="1" si="4"/>
        <v>0</v>
      </c>
      <c r="W16" s="15">
        <f ca="1">SUM(Q16:V16)</f>
        <v>0</v>
      </c>
    </row>
    <row r="17" spans="1:23" x14ac:dyDescent="0.2">
      <c r="A17" s="1"/>
      <c r="B17" s="9"/>
    </row>
    <row r="18" spans="1:23" x14ac:dyDescent="0.2">
      <c r="A18" s="1" t="s">
        <v>83</v>
      </c>
      <c r="B18" s="9"/>
    </row>
    <row r="19" spans="1:23" x14ac:dyDescent="0.2">
      <c r="A19" s="1" t="s">
        <v>120</v>
      </c>
      <c r="B19" s="9">
        <f ca="1">I19+P19+W19</f>
        <v>1</v>
      </c>
      <c r="C19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""),"Customer")</f>
        <v>0</v>
      </c>
      <c r="D19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""),"Customer")</f>
        <v>0</v>
      </c>
      <c r="E19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""),"Customer")</f>
        <v>0</v>
      </c>
      <c r="F19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""),"Customer")</f>
        <v>0</v>
      </c>
      <c r="G19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""),"Customer")</f>
        <v>0</v>
      </c>
      <c r="H19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""),"Customer")</f>
        <v>0</v>
      </c>
      <c r="I19" s="15">
        <f ca="1">SUM(C19:H19)</f>
        <v>0</v>
      </c>
      <c r="J19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""),"Customer")</f>
        <v>0</v>
      </c>
      <c r="K19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""),"Customer")</f>
        <v>0</v>
      </c>
      <c r="L19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""),"Customer")</f>
        <v>0</v>
      </c>
      <c r="M19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""),"Customer")</f>
        <v>0</v>
      </c>
      <c r="N19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""),"Customer")</f>
        <v>0</v>
      </c>
      <c r="O19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""),"Customer")</f>
        <v>0</v>
      </c>
      <c r="P19" s="15">
        <f ca="1">SUM(J19:O19)</f>
        <v>0</v>
      </c>
      <c r="Q19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""),"Customer")</f>
        <v>0</v>
      </c>
      <c r="R19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""),"Customer")</f>
        <v>1</v>
      </c>
      <c r="S19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""),"Customer")</f>
        <v>0</v>
      </c>
      <c r="T19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""),"Customer")</f>
        <v>0</v>
      </c>
      <c r="U19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""),"Customer")</f>
        <v>0</v>
      </c>
      <c r="V19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""),"Customer")</f>
        <v>0</v>
      </c>
      <c r="W19" s="15">
        <f ca="1">SUM(Q19:V19)</f>
        <v>1</v>
      </c>
    </row>
    <row r="20" spans="1:23" x14ac:dyDescent="0.2">
      <c r="A20" s="1"/>
      <c r="B20" s="9"/>
    </row>
    <row r="21" spans="1:23" x14ac:dyDescent="0.2">
      <c r="A21" s="1" t="s">
        <v>121</v>
      </c>
      <c r="B21" s="11">
        <f t="shared" ref="B21:W21" ca="1" si="5">IF(B19=0,0,B22/B19)</f>
        <v>1</v>
      </c>
      <c r="C21" s="8">
        <f t="shared" ca="1" si="5"/>
        <v>0</v>
      </c>
      <c r="D21" s="8">
        <f t="shared" ca="1" si="5"/>
        <v>0</v>
      </c>
      <c r="E21" s="8">
        <f t="shared" ca="1" si="5"/>
        <v>0</v>
      </c>
      <c r="F21" s="8">
        <f t="shared" ca="1" si="5"/>
        <v>0</v>
      </c>
      <c r="G21" s="8">
        <f t="shared" ca="1" si="5"/>
        <v>0</v>
      </c>
      <c r="H21" s="8">
        <f t="shared" ca="1" si="5"/>
        <v>0</v>
      </c>
      <c r="I21" s="20">
        <f t="shared" ca="1" si="5"/>
        <v>0</v>
      </c>
      <c r="J21" s="8">
        <f t="shared" ca="1" si="5"/>
        <v>0</v>
      </c>
      <c r="K21" s="8">
        <f t="shared" ca="1" si="5"/>
        <v>0</v>
      </c>
      <c r="L21" s="8">
        <f t="shared" ca="1" si="5"/>
        <v>0</v>
      </c>
      <c r="M21" s="8">
        <f t="shared" ca="1" si="5"/>
        <v>0</v>
      </c>
      <c r="N21" s="8">
        <f t="shared" ca="1" si="5"/>
        <v>0</v>
      </c>
      <c r="O21" s="8">
        <f t="shared" ca="1" si="5"/>
        <v>0</v>
      </c>
      <c r="P21" s="20">
        <f t="shared" ca="1" si="5"/>
        <v>0</v>
      </c>
      <c r="Q21" s="8">
        <f t="shared" ca="1" si="5"/>
        <v>0</v>
      </c>
      <c r="R21" s="8">
        <f t="shared" ca="1" si="5"/>
        <v>1</v>
      </c>
      <c r="S21" s="8">
        <f t="shared" ca="1" si="5"/>
        <v>0</v>
      </c>
      <c r="T21" s="8">
        <f t="shared" ca="1" si="5"/>
        <v>0</v>
      </c>
      <c r="U21" s="8">
        <f t="shared" ca="1" si="5"/>
        <v>0</v>
      </c>
      <c r="V21" s="8">
        <f t="shared" ca="1" si="5"/>
        <v>0</v>
      </c>
      <c r="W21" s="20">
        <f t="shared" ca="1" si="5"/>
        <v>1</v>
      </c>
    </row>
    <row r="22" spans="1:23" x14ac:dyDescent="0.2">
      <c r="A22" s="1" t="s">
        <v>122</v>
      </c>
      <c r="B22" s="9">
        <f ca="1">I22+P22+W22</f>
        <v>1</v>
      </c>
      <c r="C22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""),"Monthly")</f>
        <v>0</v>
      </c>
      <c r="D22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""),"Monthly")</f>
        <v>0</v>
      </c>
      <c r="E22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""),"Monthly")</f>
        <v>0</v>
      </c>
      <c r="F22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""),"Monthly")</f>
        <v>0</v>
      </c>
      <c r="G22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""),"Monthly")</f>
        <v>0</v>
      </c>
      <c r="H22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""),"Monthly")</f>
        <v>0</v>
      </c>
      <c r="I22" s="15">
        <f ca="1">SUM(C22:H22)</f>
        <v>0</v>
      </c>
      <c r="J22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""),"Monthly")</f>
        <v>0</v>
      </c>
      <c r="K22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""),"Monthly")</f>
        <v>0</v>
      </c>
      <c r="L22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""),"Monthly")</f>
        <v>0</v>
      </c>
      <c r="M22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""),"Monthly")</f>
        <v>0</v>
      </c>
      <c r="N22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""),"Monthly")</f>
        <v>0</v>
      </c>
      <c r="O22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""),"Monthly")</f>
        <v>0</v>
      </c>
      <c r="P22" s="15">
        <f ca="1">SUM(J22:O22)</f>
        <v>0</v>
      </c>
      <c r="Q22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""),"Monthly")</f>
        <v>0</v>
      </c>
      <c r="R22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""),"Monthly")</f>
        <v>1</v>
      </c>
      <c r="S22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""),"Monthly")</f>
        <v>0</v>
      </c>
      <c r="T22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""),"Monthly")</f>
        <v>0</v>
      </c>
      <c r="U22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""),"Monthly")</f>
        <v>0</v>
      </c>
      <c r="V22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""),"Monthly")</f>
        <v>0</v>
      </c>
      <c r="W22" s="15">
        <f ca="1">SUM(Q22:V22)</f>
        <v>1</v>
      </c>
    </row>
    <row r="23" spans="1:23" x14ac:dyDescent="0.2">
      <c r="A23" s="1" t="s">
        <v>85</v>
      </c>
      <c r="B23" s="9"/>
    </row>
    <row r="24" spans="1:23" x14ac:dyDescent="0.2">
      <c r="A24" s="1" t="s">
        <v>123</v>
      </c>
      <c r="B24" s="11">
        <f t="shared" ref="B24:W24" ca="1" si="6">IF(B22=0,0,(B26+B27)/B22)</f>
        <v>0</v>
      </c>
      <c r="C24" s="8">
        <f t="shared" ca="1" si="6"/>
        <v>0</v>
      </c>
      <c r="D24" s="8">
        <f t="shared" ca="1" si="6"/>
        <v>0</v>
      </c>
      <c r="E24" s="8">
        <f t="shared" ca="1" si="6"/>
        <v>0</v>
      </c>
      <c r="F24" s="8">
        <f t="shared" ca="1" si="6"/>
        <v>0</v>
      </c>
      <c r="G24" s="8">
        <f t="shared" ca="1" si="6"/>
        <v>0</v>
      </c>
      <c r="H24" s="8">
        <f t="shared" ca="1" si="6"/>
        <v>0</v>
      </c>
      <c r="I24" s="20">
        <f t="shared" ca="1" si="6"/>
        <v>0</v>
      </c>
      <c r="J24" s="8">
        <f t="shared" ca="1" si="6"/>
        <v>0</v>
      </c>
      <c r="K24" s="8">
        <f t="shared" ca="1" si="6"/>
        <v>0</v>
      </c>
      <c r="L24" s="8">
        <f t="shared" ca="1" si="6"/>
        <v>0</v>
      </c>
      <c r="M24" s="8">
        <f t="shared" ca="1" si="6"/>
        <v>0</v>
      </c>
      <c r="N24" s="8">
        <f t="shared" ca="1" si="6"/>
        <v>0</v>
      </c>
      <c r="O24" s="8">
        <f t="shared" ca="1" si="6"/>
        <v>0</v>
      </c>
      <c r="P24" s="20">
        <f t="shared" ca="1" si="6"/>
        <v>0</v>
      </c>
      <c r="Q24" s="8">
        <f t="shared" ca="1" si="6"/>
        <v>0</v>
      </c>
      <c r="R24" s="8">
        <f t="shared" ca="1" si="6"/>
        <v>0</v>
      </c>
      <c r="S24" s="8">
        <f t="shared" ca="1" si="6"/>
        <v>0</v>
      </c>
      <c r="T24" s="8">
        <f t="shared" ca="1" si="6"/>
        <v>0</v>
      </c>
      <c r="U24" s="8">
        <f t="shared" ca="1" si="6"/>
        <v>0</v>
      </c>
      <c r="V24" s="8">
        <f t="shared" ca="1" si="6"/>
        <v>0</v>
      </c>
      <c r="W24" s="20">
        <f t="shared" ca="1" si="6"/>
        <v>0</v>
      </c>
    </row>
    <row r="25" spans="1:23" x14ac:dyDescent="0.2">
      <c r="A25" s="1" t="s">
        <v>87</v>
      </c>
      <c r="B25" s="11">
        <f t="shared" ref="B25:W25" ca="1" si="7">IF((B26+B27)=0,0,B26/(B26+B27))</f>
        <v>0</v>
      </c>
      <c r="C25" s="8">
        <f t="shared" ca="1" si="7"/>
        <v>0</v>
      </c>
      <c r="D25" s="8">
        <f t="shared" ca="1" si="7"/>
        <v>0</v>
      </c>
      <c r="E25" s="8">
        <f t="shared" ca="1" si="7"/>
        <v>0</v>
      </c>
      <c r="F25" s="8">
        <f t="shared" ca="1" si="7"/>
        <v>0</v>
      </c>
      <c r="G25" s="8">
        <f t="shared" ca="1" si="7"/>
        <v>0</v>
      </c>
      <c r="H25" s="8">
        <f t="shared" ca="1" si="7"/>
        <v>0</v>
      </c>
      <c r="I25" s="20">
        <f t="shared" ca="1" si="7"/>
        <v>0</v>
      </c>
      <c r="J25" s="8">
        <f t="shared" ca="1" si="7"/>
        <v>0</v>
      </c>
      <c r="K25" s="8">
        <f t="shared" ca="1" si="7"/>
        <v>0</v>
      </c>
      <c r="L25" s="8">
        <f t="shared" ca="1" si="7"/>
        <v>0</v>
      </c>
      <c r="M25" s="8">
        <f t="shared" ca="1" si="7"/>
        <v>0</v>
      </c>
      <c r="N25" s="8">
        <f t="shared" ca="1" si="7"/>
        <v>0</v>
      </c>
      <c r="O25" s="8">
        <f t="shared" ca="1" si="7"/>
        <v>0</v>
      </c>
      <c r="P25" s="20">
        <f t="shared" ca="1" si="7"/>
        <v>0</v>
      </c>
      <c r="Q25" s="8">
        <f t="shared" ca="1" si="7"/>
        <v>0</v>
      </c>
      <c r="R25" s="8">
        <f t="shared" ca="1" si="7"/>
        <v>0</v>
      </c>
      <c r="S25" s="8">
        <f t="shared" ca="1" si="7"/>
        <v>0</v>
      </c>
      <c r="T25" s="8">
        <f t="shared" ca="1" si="7"/>
        <v>0</v>
      </c>
      <c r="U25" s="8">
        <f t="shared" ca="1" si="7"/>
        <v>0</v>
      </c>
      <c r="V25" s="8">
        <f t="shared" ca="1" si="7"/>
        <v>0</v>
      </c>
      <c r="W25" s="20">
        <f t="shared" ca="1" si="7"/>
        <v>0</v>
      </c>
    </row>
    <row r="26" spans="1:23" x14ac:dyDescent="0.2">
      <c r="A26" s="1" t="s">
        <v>88</v>
      </c>
      <c r="B26" s="9">
        <f ca="1">I26+P26+W26</f>
        <v>0</v>
      </c>
      <c r="C26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D26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E26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F26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G26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H26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I26" s="15">
        <f ca="1">SUM(C26:H26)</f>
        <v>0</v>
      </c>
      <c r="J26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K26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L26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M26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N26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O26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P26" s="15">
        <f ca="1">SUM(J26:O26)</f>
        <v>0</v>
      </c>
      <c r="Q26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R26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S26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T26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U26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V26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W26" s="15">
        <f ca="1">SUM(Q26:V26)</f>
        <v>0</v>
      </c>
    </row>
    <row r="27" spans="1:23" x14ac:dyDescent="0.2">
      <c r="A27" s="1" t="s">
        <v>89</v>
      </c>
      <c r="B27" s="9">
        <f ca="1">I27+P27+W27</f>
        <v>0</v>
      </c>
      <c r="C27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D27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E27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F27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G27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H27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I27" s="15">
        <f ca="1">SUM(C27:H27)</f>
        <v>0</v>
      </c>
      <c r="J27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K27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L27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M27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N27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O27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P27" s="15">
        <f ca="1">SUM(J27:O27)</f>
        <v>0</v>
      </c>
      <c r="Q27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R27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S27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T27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U27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V27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W27" s="15">
        <f ca="1">SUM(Q27:V27)</f>
        <v>0</v>
      </c>
    </row>
    <row r="28" spans="1:23" x14ac:dyDescent="0.2">
      <c r="A28" s="2" t="s">
        <v>90</v>
      </c>
      <c r="B28" s="12">
        <f ca="1">IF(B27=0,0,SUMIFS(INDIRECT("Accounts!$L$2:$L$"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""),"&lt;="&amp;30)/B27)</f>
        <v>0</v>
      </c>
      <c r="C28">
        <f ca="1">IF(C27=0,0,SUMIFS(INDIRECT("Accounts!$L$2:$L$"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""),"&lt;="&amp;30)/C27)</f>
        <v>0</v>
      </c>
      <c r="D28">
        <f ca="1">IF(D27=0,0,SUMIFS(INDIRECT("Accounts!$L$2:$L$"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""),"&lt;="&amp;30)/D27)</f>
        <v>0</v>
      </c>
      <c r="E28">
        <f ca="1">IF(E27=0,0,SUMIFS(INDIRECT("Accounts!$L$2:$L$"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""),"&lt;="&amp;30)/E27)</f>
        <v>0</v>
      </c>
      <c r="F28">
        <f ca="1">IF(F27=0,0,SUMIFS(INDIRECT("Accounts!$L$2:$L$"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""),"&lt;="&amp;30)/F27)</f>
        <v>0</v>
      </c>
      <c r="G28">
        <f ca="1">IF(G27=0,0,SUMIFS(INDIRECT("Accounts!$L$2:$L$"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""),"&lt;="&amp;30)/G27)</f>
        <v>0</v>
      </c>
      <c r="H28">
        <f ca="1">IF(H27=0,0,SUMIFS(INDIRECT("Accounts!$L$2:$L$"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""),"&lt;="&amp;30)/H27)</f>
        <v>0</v>
      </c>
      <c r="I28" s="15">
        <f ca="1">IF(I27=0,0,SUMIFS(INDIRECT("Accounts!$L$2:$L$"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""),"&lt;="&amp;30)/I27)</f>
        <v>0</v>
      </c>
      <c r="J28">
        <f ca="1">IF(J27=0,0,SUMIFS(INDIRECT("Accounts!$L$2:$L$"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""),"&lt;="&amp;30)/J27)</f>
        <v>0</v>
      </c>
      <c r="K28">
        <f ca="1">IF(K27=0,0,SUMIFS(INDIRECT("Accounts!$L$2:$L$"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""),"&lt;="&amp;30)/K27)</f>
        <v>0</v>
      </c>
      <c r="L28">
        <f ca="1">IF(L27=0,0,SUMIFS(INDIRECT("Accounts!$L$2:$L$"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""),"&lt;="&amp;30)/L27)</f>
        <v>0</v>
      </c>
      <c r="M28">
        <f ca="1">IF(M27=0,0,SUMIFS(INDIRECT("Accounts!$L$2:$L$"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""),"&lt;="&amp;30)/M27)</f>
        <v>0</v>
      </c>
      <c r="N28">
        <f ca="1">IF(N27=0,0,SUMIFS(INDIRECT("Accounts!$L$2:$L$"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""),"&lt;="&amp;30)/N27)</f>
        <v>0</v>
      </c>
      <c r="O28">
        <f ca="1">IF(O27=0,0,SUMIFS(INDIRECT("Accounts!$L$2:$L$"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""),"&lt;="&amp;30)/O27)</f>
        <v>0</v>
      </c>
      <c r="P28" s="15">
        <f ca="1">IF(P27=0,0,SUMIFS(INDIRECT("Accounts!$L$2:$L$"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""),"&lt;="&amp;30)/P27)</f>
        <v>0</v>
      </c>
      <c r="Q28">
        <f ca="1">IF(Q27=0,0,SUMIFS(INDIRECT("Accounts!$L$2:$L$"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""),"&lt;="&amp;30)/Q27)</f>
        <v>0</v>
      </c>
      <c r="R28">
        <f ca="1">IF(R27=0,0,SUMIFS(INDIRECT("Accounts!$L$2:$L$"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""),"&lt;="&amp;30)/R27)</f>
        <v>0</v>
      </c>
      <c r="S28">
        <f ca="1">IF(S27=0,0,SUMIFS(INDIRECT("Accounts!$L$2:$L$"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""),"&lt;="&amp;30)/S27)</f>
        <v>0</v>
      </c>
      <c r="T28">
        <f ca="1">IF(T27=0,0,SUMIFS(INDIRECT("Accounts!$L$2:$L$"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""),"&lt;="&amp;30)/T27)</f>
        <v>0</v>
      </c>
      <c r="U28">
        <f ca="1">IF(U27=0,0,SUMIFS(INDIRECT("Accounts!$L$2:$L$"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""),"&lt;="&amp;30)/U27)</f>
        <v>0</v>
      </c>
      <c r="V28">
        <f ca="1">IF(V27=0,0,SUMIFS(INDIRECT("Accounts!$L$2:$L$"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""),"&lt;="&amp;30)/V27)</f>
        <v>0</v>
      </c>
      <c r="W28" s="15">
        <f ca="1">IF(W27=0,0,SUMIFS(INDIRECT("Accounts!$L$2:$L$"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""),"&lt;="&amp;30)/W27)</f>
        <v>0</v>
      </c>
    </row>
    <row r="29" spans="1:23" x14ac:dyDescent="0.2">
      <c r="A29" s="2" t="s">
        <v>91</v>
      </c>
      <c r="B29" s="12">
        <f ca="1">IF(B27=0,0,SUMIFS(INDIRECT("Accounts!$M$2:$M$"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""),"&lt;="&amp;30)/B27)</f>
        <v>0</v>
      </c>
      <c r="C29">
        <f ca="1">IF(C27=0,0,SUMIFS(INDIRECT("Accounts!$M$2:$M$"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""),"&lt;="&amp;30)/C27)</f>
        <v>0</v>
      </c>
      <c r="D29">
        <f ca="1">IF(D27=0,0,SUMIFS(INDIRECT("Accounts!$M$2:$M$"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""),"&lt;="&amp;30)/D27)</f>
        <v>0</v>
      </c>
      <c r="E29">
        <f ca="1">IF(E27=0,0,SUMIFS(INDIRECT("Accounts!$M$2:$M$"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""),"&lt;="&amp;30)/E27)</f>
        <v>0</v>
      </c>
      <c r="F29">
        <f ca="1">IF(F27=0,0,SUMIFS(INDIRECT("Accounts!$M$2:$M$"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""),"&lt;="&amp;30)/F27)</f>
        <v>0</v>
      </c>
      <c r="G29">
        <f ca="1">IF(G27=0,0,SUMIFS(INDIRECT("Accounts!$M$2:$M$"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""),"&lt;="&amp;30)/G27)</f>
        <v>0</v>
      </c>
      <c r="H29">
        <f ca="1">IF(H27=0,0,SUMIFS(INDIRECT("Accounts!$M$2:$M$"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""),"&lt;="&amp;30)/H27)</f>
        <v>0</v>
      </c>
      <c r="I29" s="15">
        <f ca="1">IF(I27=0,0,SUMIFS(INDIRECT("Accounts!$M$2:$M$"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""),"&lt;="&amp;30)/I27)</f>
        <v>0</v>
      </c>
      <c r="J29">
        <f ca="1">IF(J27=0,0,SUMIFS(INDIRECT("Accounts!$M$2:$M$"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""),"&lt;="&amp;30)/J27)</f>
        <v>0</v>
      </c>
      <c r="K29">
        <f ca="1">IF(K27=0,0,SUMIFS(INDIRECT("Accounts!$M$2:$M$"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""),"&lt;="&amp;30)/K27)</f>
        <v>0</v>
      </c>
      <c r="L29">
        <f ca="1">IF(L27=0,0,SUMIFS(INDIRECT("Accounts!$M$2:$M$"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""),"&lt;="&amp;30)/L27)</f>
        <v>0</v>
      </c>
      <c r="M29">
        <f ca="1">IF(M27=0,0,SUMIFS(INDIRECT("Accounts!$M$2:$M$"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""),"&lt;="&amp;30)/M27)</f>
        <v>0</v>
      </c>
      <c r="N29">
        <f ca="1">IF(N27=0,0,SUMIFS(INDIRECT("Accounts!$M$2:$M$"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""),"&lt;="&amp;30)/N27)</f>
        <v>0</v>
      </c>
      <c r="O29">
        <f ca="1">IF(O27=0,0,SUMIFS(INDIRECT("Accounts!$M$2:$M$"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""),"&lt;="&amp;30)/O27)</f>
        <v>0</v>
      </c>
      <c r="P29" s="15">
        <f ca="1">IF(P27=0,0,SUMIFS(INDIRECT("Accounts!$M$2:$M$"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""),"&lt;="&amp;30)/P27)</f>
        <v>0</v>
      </c>
      <c r="Q29">
        <f ca="1">IF(Q27=0,0,SUMIFS(INDIRECT("Accounts!$M$2:$M$"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""),"&lt;="&amp;30)/Q27)</f>
        <v>0</v>
      </c>
      <c r="R29">
        <f ca="1">IF(R27=0,0,SUMIFS(INDIRECT("Accounts!$M$2:$M$"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""),"&lt;="&amp;30)/R27)</f>
        <v>0</v>
      </c>
      <c r="S29">
        <f ca="1">IF(S27=0,0,SUMIFS(INDIRECT("Accounts!$M$2:$M$"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""),"&lt;="&amp;30)/S27)</f>
        <v>0</v>
      </c>
      <c r="T29">
        <f ca="1">IF(T27=0,0,SUMIFS(INDIRECT("Accounts!$M$2:$M$"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""),"&lt;="&amp;30)/T27)</f>
        <v>0</v>
      </c>
      <c r="U29">
        <f ca="1">IF(U27=0,0,SUMIFS(INDIRECT("Accounts!$M$2:$M$"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""),"&lt;="&amp;30)/U27)</f>
        <v>0</v>
      </c>
      <c r="V29">
        <f ca="1">IF(V27=0,0,SUMIFS(INDIRECT("Accounts!$M$2:$M$"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""),"&lt;="&amp;30)/V27)</f>
        <v>0</v>
      </c>
      <c r="W29" s="15">
        <f ca="1">IF(W27=0,0,SUMIFS(INDIRECT("Accounts!$M$2:$M$"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""),"&lt;="&amp;30)/W27)</f>
        <v>0</v>
      </c>
    </row>
    <row r="30" spans="1:23" x14ac:dyDescent="0.2">
      <c r="A30" s="1" t="s">
        <v>92</v>
      </c>
      <c r="B30" s="10">
        <f t="shared" ref="B30:W30" ca="1" si="8">IF(B27=0,0,B31/B27)</f>
        <v>0</v>
      </c>
      <c r="C30" s="18">
        <f t="shared" ca="1" si="8"/>
        <v>0</v>
      </c>
      <c r="D30" s="18">
        <f t="shared" ca="1" si="8"/>
        <v>0</v>
      </c>
      <c r="E30" s="18">
        <f t="shared" ca="1" si="8"/>
        <v>0</v>
      </c>
      <c r="F30" s="18">
        <f t="shared" ca="1" si="8"/>
        <v>0</v>
      </c>
      <c r="G30" s="18">
        <f t="shared" ca="1" si="8"/>
        <v>0</v>
      </c>
      <c r="H30" s="18">
        <f t="shared" ca="1" si="8"/>
        <v>0</v>
      </c>
      <c r="I30" s="6">
        <f t="shared" ca="1" si="8"/>
        <v>0</v>
      </c>
      <c r="J30" s="18">
        <f t="shared" ca="1" si="8"/>
        <v>0</v>
      </c>
      <c r="K30" s="18">
        <f t="shared" ca="1" si="8"/>
        <v>0</v>
      </c>
      <c r="L30" s="18">
        <f t="shared" ca="1" si="8"/>
        <v>0</v>
      </c>
      <c r="M30" s="18">
        <f t="shared" ca="1" si="8"/>
        <v>0</v>
      </c>
      <c r="N30" s="18">
        <f t="shared" ca="1" si="8"/>
        <v>0</v>
      </c>
      <c r="O30" s="18">
        <f t="shared" ca="1" si="8"/>
        <v>0</v>
      </c>
      <c r="P30" s="6">
        <f t="shared" ca="1" si="8"/>
        <v>0</v>
      </c>
      <c r="Q30" s="18">
        <f t="shared" ca="1" si="8"/>
        <v>0</v>
      </c>
      <c r="R30" s="18">
        <f t="shared" ca="1" si="8"/>
        <v>0</v>
      </c>
      <c r="S30" s="18">
        <f t="shared" ca="1" si="8"/>
        <v>0</v>
      </c>
      <c r="T30" s="18">
        <f t="shared" ca="1" si="8"/>
        <v>0</v>
      </c>
      <c r="U30" s="18">
        <f t="shared" ca="1" si="8"/>
        <v>0</v>
      </c>
      <c r="V30" s="18">
        <f t="shared" ca="1" si="8"/>
        <v>0</v>
      </c>
      <c r="W30" s="6">
        <f t="shared" ca="1" si="8"/>
        <v>0</v>
      </c>
    </row>
    <row r="31" spans="1:23" x14ac:dyDescent="0.2">
      <c r="A31" s="1" t="s">
        <v>93</v>
      </c>
      <c r="B31" s="10">
        <f ca="1">I31+P31+W31</f>
        <v>0</v>
      </c>
      <c r="C31" s="18">
        <f ca="1"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D31" s="18">
        <f ca="1"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E31" s="18">
        <f ca="1"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F31" s="18">
        <f ca="1"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G31" s="18">
        <f ca="1"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H31" s="18">
        <f ca="1"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I31" s="6">
        <f ca="1">SUM(C31:H31)</f>
        <v>0</v>
      </c>
      <c r="J31" s="18">
        <f ca="1"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K31" s="18">
        <f ca="1"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L31" s="18">
        <f ca="1"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M31" s="18">
        <f ca="1"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N31" s="18">
        <f ca="1"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O31" s="18">
        <f ca="1"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P31" s="6">
        <f ca="1">SUM(J31:O31)</f>
        <v>0</v>
      </c>
      <c r="Q31" s="18">
        <f ca="1"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R31" s="18">
        <f ca="1"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S31" s="18">
        <f ca="1"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T31" s="18">
        <f ca="1"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U31" s="18">
        <f ca="1"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V31" s="18">
        <f ca="1"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W31" s="6">
        <f ca="1">SUM(Q31:V31)</f>
        <v>0</v>
      </c>
    </row>
    <row r="32" spans="1:23" x14ac:dyDescent="0.2">
      <c r="A32" s="1" t="s">
        <v>94</v>
      </c>
      <c r="B32" s="10"/>
      <c r="C32" s="18"/>
      <c r="D32" s="18"/>
      <c r="E32" s="18"/>
      <c r="F32" s="18"/>
      <c r="G32" s="18"/>
      <c r="H32" s="18"/>
      <c r="I32" s="6"/>
      <c r="J32" s="18"/>
      <c r="K32" s="18"/>
      <c r="L32" s="18"/>
      <c r="M32" s="18"/>
      <c r="N32" s="18"/>
      <c r="O32" s="18"/>
      <c r="P32" s="6"/>
      <c r="Q32" s="18"/>
      <c r="R32" s="18"/>
      <c r="S32" s="18"/>
      <c r="T32" s="18"/>
      <c r="U32" s="18"/>
      <c r="V32" s="18"/>
      <c r="W32" s="6"/>
    </row>
    <row r="33" spans="1:23" x14ac:dyDescent="0.2">
      <c r="A33" s="1" t="s">
        <v>123</v>
      </c>
      <c r="B33" s="11">
        <f t="shared" ref="B33:W33" ca="1" si="9">IF(B22=0,0,(B35+B36)/B22)</f>
        <v>0</v>
      </c>
      <c r="C33" s="8">
        <f t="shared" ca="1" si="9"/>
        <v>0</v>
      </c>
      <c r="D33" s="8">
        <f t="shared" ca="1" si="9"/>
        <v>0</v>
      </c>
      <c r="E33" s="8">
        <f t="shared" ca="1" si="9"/>
        <v>0</v>
      </c>
      <c r="F33" s="8">
        <f t="shared" ca="1" si="9"/>
        <v>0</v>
      </c>
      <c r="G33" s="8">
        <f t="shared" ca="1" si="9"/>
        <v>0</v>
      </c>
      <c r="H33" s="8">
        <f t="shared" ca="1" si="9"/>
        <v>0</v>
      </c>
      <c r="I33" s="20">
        <f t="shared" ca="1" si="9"/>
        <v>0</v>
      </c>
      <c r="J33" s="8">
        <f t="shared" ca="1" si="9"/>
        <v>0</v>
      </c>
      <c r="K33" s="8">
        <f t="shared" ca="1" si="9"/>
        <v>0</v>
      </c>
      <c r="L33" s="8">
        <f t="shared" ca="1" si="9"/>
        <v>0</v>
      </c>
      <c r="M33" s="8">
        <f t="shared" ca="1" si="9"/>
        <v>0</v>
      </c>
      <c r="N33" s="8">
        <f t="shared" ca="1" si="9"/>
        <v>0</v>
      </c>
      <c r="O33" s="8">
        <f t="shared" ca="1" si="9"/>
        <v>0</v>
      </c>
      <c r="P33" s="20">
        <f t="shared" ca="1" si="9"/>
        <v>0</v>
      </c>
      <c r="Q33" s="8">
        <f t="shared" ca="1" si="9"/>
        <v>0</v>
      </c>
      <c r="R33" s="8">
        <f t="shared" ca="1" si="9"/>
        <v>0</v>
      </c>
      <c r="S33" s="8">
        <f t="shared" ca="1" si="9"/>
        <v>0</v>
      </c>
      <c r="T33" s="8">
        <f t="shared" ca="1" si="9"/>
        <v>0</v>
      </c>
      <c r="U33" s="8">
        <f t="shared" ca="1" si="9"/>
        <v>0</v>
      </c>
      <c r="V33" s="8">
        <f t="shared" ca="1" si="9"/>
        <v>0</v>
      </c>
      <c r="W33" s="20">
        <f t="shared" ca="1" si="9"/>
        <v>0</v>
      </c>
    </row>
    <row r="34" spans="1:23" x14ac:dyDescent="0.2">
      <c r="A34" s="1" t="s">
        <v>87</v>
      </c>
      <c r="B34" s="11">
        <f t="shared" ref="B34:W34" ca="1" si="10">IF((B35+B36)=0,0,B35/(B35+B36))</f>
        <v>0</v>
      </c>
      <c r="C34" s="8">
        <f t="shared" ca="1" si="10"/>
        <v>0</v>
      </c>
      <c r="D34" s="8">
        <f t="shared" ca="1" si="10"/>
        <v>0</v>
      </c>
      <c r="E34" s="8">
        <f t="shared" ca="1" si="10"/>
        <v>0</v>
      </c>
      <c r="F34" s="8">
        <f t="shared" ca="1" si="10"/>
        <v>0</v>
      </c>
      <c r="G34" s="8">
        <f t="shared" ca="1" si="10"/>
        <v>0</v>
      </c>
      <c r="H34" s="8">
        <f t="shared" ca="1" si="10"/>
        <v>0</v>
      </c>
      <c r="I34" s="20">
        <f t="shared" ca="1" si="10"/>
        <v>0</v>
      </c>
      <c r="J34" s="8">
        <f t="shared" ca="1" si="10"/>
        <v>0</v>
      </c>
      <c r="K34" s="8">
        <f t="shared" ca="1" si="10"/>
        <v>0</v>
      </c>
      <c r="L34" s="8">
        <f t="shared" ca="1" si="10"/>
        <v>0</v>
      </c>
      <c r="M34" s="8">
        <f t="shared" ca="1" si="10"/>
        <v>0</v>
      </c>
      <c r="N34" s="8">
        <f t="shared" ca="1" si="10"/>
        <v>0</v>
      </c>
      <c r="O34" s="8">
        <f t="shared" ca="1" si="10"/>
        <v>0</v>
      </c>
      <c r="P34" s="20">
        <f t="shared" ca="1" si="10"/>
        <v>0</v>
      </c>
      <c r="Q34" s="8">
        <f t="shared" ca="1" si="10"/>
        <v>0</v>
      </c>
      <c r="R34" s="8">
        <f t="shared" ca="1" si="10"/>
        <v>0</v>
      </c>
      <c r="S34" s="8">
        <f t="shared" ca="1" si="10"/>
        <v>0</v>
      </c>
      <c r="T34" s="8">
        <f t="shared" ca="1" si="10"/>
        <v>0</v>
      </c>
      <c r="U34" s="8">
        <f t="shared" ca="1" si="10"/>
        <v>0</v>
      </c>
      <c r="V34" s="8">
        <f t="shared" ca="1" si="10"/>
        <v>0</v>
      </c>
      <c r="W34" s="20">
        <f t="shared" ca="1" si="10"/>
        <v>0</v>
      </c>
    </row>
    <row r="35" spans="1:23" x14ac:dyDescent="0.2">
      <c r="A35" s="1" t="s">
        <v>88</v>
      </c>
      <c r="B35" s="9">
        <f ca="1">I35+P35+W35</f>
        <v>0</v>
      </c>
      <c r="C35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D35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E35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F35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G35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H35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I35" s="15">
        <f ca="1">SUM(C35:H35)</f>
        <v>0</v>
      </c>
      <c r="J35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K35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L35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M35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N35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O35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P35" s="15">
        <f ca="1">SUM(J35:O35)</f>
        <v>0</v>
      </c>
      <c r="Q35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R35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S35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T35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U35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V35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W35" s="15">
        <f ca="1">SUM(Q35:V35)</f>
        <v>0</v>
      </c>
    </row>
    <row r="36" spans="1:23" x14ac:dyDescent="0.2">
      <c r="A36" s="1" t="s">
        <v>89</v>
      </c>
      <c r="B36" s="9">
        <f ca="1">I36+P36+W36</f>
        <v>0</v>
      </c>
      <c r="C36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D36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E36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F36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G36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H36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I36" s="15">
        <f ca="1">SUM(C36:H36)</f>
        <v>0</v>
      </c>
      <c r="J36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K36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L36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M36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N36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O36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P36" s="15">
        <f ca="1">SUM(J36:O36)</f>
        <v>0</v>
      </c>
      <c r="Q36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R36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S36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T36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U36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V36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W36" s="15">
        <f ca="1">SUM(Q36:V36)</f>
        <v>0</v>
      </c>
    </row>
    <row r="37" spans="1:23" x14ac:dyDescent="0.2">
      <c r="A37" s="2" t="s">
        <v>90</v>
      </c>
      <c r="B37" s="13">
        <f ca="1">IF(B36=0,0,SUMIFS(INDIRECT("Accounts!$L$2:$L$"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""),"&lt;="&amp;60)/B36)</f>
        <v>0</v>
      </c>
      <c r="C37" s="4">
        <f ca="1">IF(C36=0,0,SUMIFS(INDIRECT("Accounts!$L$2:$L$"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""),"&lt;="&amp;60)/C36)</f>
        <v>0</v>
      </c>
      <c r="D37" s="4">
        <f ca="1">IF(D36=0,0,SUMIFS(INDIRECT("Accounts!$L$2:$L$"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""),"&lt;="&amp;60)/D36)</f>
        <v>0</v>
      </c>
      <c r="E37" s="4">
        <f ca="1">IF(E36=0,0,SUMIFS(INDIRECT("Accounts!$L$2:$L$"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""),"&lt;="&amp;60)/E36)</f>
        <v>0</v>
      </c>
      <c r="F37" s="4">
        <f ca="1">IF(F36=0,0,SUMIFS(INDIRECT("Accounts!$L$2:$L$"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""),"&lt;="&amp;60)/F36)</f>
        <v>0</v>
      </c>
      <c r="G37" s="4">
        <f ca="1">IF(G36=0,0,SUMIFS(INDIRECT("Accounts!$L$2:$L$"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""),"&lt;="&amp;60)/G36)</f>
        <v>0</v>
      </c>
      <c r="H37" s="4">
        <f ca="1">IF(H36=0,0,SUMIFS(INDIRECT("Accounts!$L$2:$L$"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""),"&lt;="&amp;60)/H36)</f>
        <v>0</v>
      </c>
      <c r="I37" s="5">
        <f ca="1">IF(I36=0,0,SUMIFS(INDIRECT("Accounts!$L$2:$L$"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""),"&lt;="&amp;60)/I36)</f>
        <v>0</v>
      </c>
      <c r="J37" s="4">
        <f ca="1">IF(J36=0,0,SUMIFS(INDIRECT("Accounts!$L$2:$L$"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""),"&lt;="&amp;60)/J36)</f>
        <v>0</v>
      </c>
      <c r="K37" s="4">
        <f ca="1">IF(K36=0,0,SUMIFS(INDIRECT("Accounts!$L$2:$L$"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""),"&lt;="&amp;60)/K36)</f>
        <v>0</v>
      </c>
      <c r="L37" s="4">
        <f ca="1">IF(L36=0,0,SUMIFS(INDIRECT("Accounts!$L$2:$L$"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""),"&lt;="&amp;60)/L36)</f>
        <v>0</v>
      </c>
      <c r="M37" s="4">
        <f ca="1">IF(M36=0,0,SUMIFS(INDIRECT("Accounts!$L$2:$L$"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""),"&lt;="&amp;60)/M36)</f>
        <v>0</v>
      </c>
      <c r="N37" s="4">
        <f ca="1">IF(N36=0,0,SUMIFS(INDIRECT("Accounts!$L$2:$L$"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""),"&lt;="&amp;60)/N36)</f>
        <v>0</v>
      </c>
      <c r="O37" s="4">
        <f ca="1">IF(O36=0,0,SUMIFS(INDIRECT("Accounts!$L$2:$L$"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""),"&lt;="&amp;60)/O36)</f>
        <v>0</v>
      </c>
      <c r="P37" s="5">
        <f ca="1">IF(P36=0,0,SUMIFS(INDIRECT("Accounts!$L$2:$L$"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""),"&lt;="&amp;60)/P36)</f>
        <v>0</v>
      </c>
      <c r="Q37" s="4">
        <f ca="1">IF(Q36=0,0,SUMIFS(INDIRECT("Accounts!$L$2:$L$"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""),"&lt;="&amp;60)/Q36)</f>
        <v>0</v>
      </c>
      <c r="R37" s="4">
        <f ca="1">IF(R36=0,0,SUMIFS(INDIRECT("Accounts!$L$2:$L$"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""),"&lt;="&amp;60)/R36)</f>
        <v>0</v>
      </c>
      <c r="S37" s="4">
        <f ca="1">IF(S36=0,0,SUMIFS(INDIRECT("Accounts!$L$2:$L$"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""),"&lt;="&amp;60)/S36)</f>
        <v>0</v>
      </c>
      <c r="T37" s="4">
        <f ca="1">IF(T36=0,0,SUMIFS(INDIRECT("Accounts!$L$2:$L$"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""),"&lt;="&amp;60)/T36)</f>
        <v>0</v>
      </c>
      <c r="U37" s="4">
        <f ca="1">IF(U36=0,0,SUMIFS(INDIRECT("Accounts!$L$2:$L$"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""),"&lt;="&amp;60)/U36)</f>
        <v>0</v>
      </c>
      <c r="V37" s="4">
        <f ca="1">IF(V36=0,0,SUMIFS(INDIRECT("Accounts!$L$2:$L$"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""),"&lt;="&amp;60)/V36)</f>
        <v>0</v>
      </c>
      <c r="W37" s="5">
        <f ca="1">IF(W36=0,0,SUMIFS(INDIRECT("Accounts!$L$2:$L$"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""),"&lt;="&amp;60)/W36)</f>
        <v>0</v>
      </c>
    </row>
    <row r="38" spans="1:23" x14ac:dyDescent="0.2">
      <c r="A38" s="2" t="s">
        <v>91</v>
      </c>
      <c r="B38" s="13">
        <f ca="1">IF(B36=0,0,SUMIFS(INDIRECT("Accounts!$M$2:$M$"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""),"&lt;="&amp;60)/B36)</f>
        <v>0</v>
      </c>
      <c r="C38" s="4">
        <f ca="1">IF(C36=0,0,SUMIFS(INDIRECT("Accounts!$M$2:$M$"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""),"&lt;="&amp;60)/C36)</f>
        <v>0</v>
      </c>
      <c r="D38" s="4">
        <f ca="1">IF(D36=0,0,SUMIFS(INDIRECT("Accounts!$M$2:$M$"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""),"&lt;="&amp;60)/D36)</f>
        <v>0</v>
      </c>
      <c r="E38" s="4">
        <f ca="1">IF(E36=0,0,SUMIFS(INDIRECT("Accounts!$M$2:$M$"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""),"&lt;="&amp;60)/E36)</f>
        <v>0</v>
      </c>
      <c r="F38" s="4">
        <f ca="1">IF(F36=0,0,SUMIFS(INDIRECT("Accounts!$M$2:$M$"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""),"&lt;="&amp;60)/F36)</f>
        <v>0</v>
      </c>
      <c r="G38" s="4">
        <f ca="1">IF(G36=0,0,SUMIFS(INDIRECT("Accounts!$M$2:$M$"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""),"&lt;="&amp;60)/G36)</f>
        <v>0</v>
      </c>
      <c r="H38" s="4">
        <f ca="1">IF(H36=0,0,SUMIFS(INDIRECT("Accounts!$M$2:$M$"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""),"&lt;="&amp;60)/H36)</f>
        <v>0</v>
      </c>
      <c r="I38" s="5">
        <f ca="1">IF(I36=0,0,SUMIFS(INDIRECT("Accounts!$M$2:$M$"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""),"&lt;="&amp;60)/I36)</f>
        <v>0</v>
      </c>
      <c r="J38" s="4">
        <f ca="1">IF(J36=0,0,SUMIFS(INDIRECT("Accounts!$M$2:$M$"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""),"&lt;="&amp;60)/J36)</f>
        <v>0</v>
      </c>
      <c r="K38" s="4">
        <f ca="1">IF(K36=0,0,SUMIFS(INDIRECT("Accounts!$M$2:$M$"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""),"&lt;="&amp;60)/K36)</f>
        <v>0</v>
      </c>
      <c r="L38" s="4">
        <f ca="1">IF(L36=0,0,SUMIFS(INDIRECT("Accounts!$M$2:$M$"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""),"&lt;="&amp;60)/L36)</f>
        <v>0</v>
      </c>
      <c r="M38" s="4">
        <f ca="1">IF(M36=0,0,SUMIFS(INDIRECT("Accounts!$M$2:$M$"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""),"&lt;="&amp;60)/M36)</f>
        <v>0</v>
      </c>
      <c r="N38" s="4">
        <f ca="1">IF(N36=0,0,SUMIFS(INDIRECT("Accounts!$M$2:$M$"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""),"&lt;="&amp;60)/N36)</f>
        <v>0</v>
      </c>
      <c r="O38" s="4">
        <f ca="1">IF(O36=0,0,SUMIFS(INDIRECT("Accounts!$M$2:$M$"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""),"&lt;="&amp;60)/O36)</f>
        <v>0</v>
      </c>
      <c r="P38" s="5">
        <f ca="1">IF(P36=0,0,SUMIFS(INDIRECT("Accounts!$M$2:$M$"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""),"&lt;="&amp;60)/P36)</f>
        <v>0</v>
      </c>
      <c r="Q38" s="4">
        <f ca="1">IF(Q36=0,0,SUMIFS(INDIRECT("Accounts!$M$2:$M$"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""),"&lt;="&amp;60)/Q36)</f>
        <v>0</v>
      </c>
      <c r="R38" s="4">
        <f ca="1">IF(R36=0,0,SUMIFS(INDIRECT("Accounts!$M$2:$M$"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""),"&lt;="&amp;60)/R36)</f>
        <v>0</v>
      </c>
      <c r="S38" s="4">
        <f ca="1">IF(S36=0,0,SUMIFS(INDIRECT("Accounts!$M$2:$M$"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""),"&lt;="&amp;60)/S36)</f>
        <v>0</v>
      </c>
      <c r="T38" s="4">
        <f ca="1">IF(T36=0,0,SUMIFS(INDIRECT("Accounts!$M$2:$M$"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""),"&lt;="&amp;60)/T36)</f>
        <v>0</v>
      </c>
      <c r="U38" s="4">
        <f ca="1">IF(U36=0,0,SUMIFS(INDIRECT("Accounts!$M$2:$M$"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""),"&lt;="&amp;60)/U36)</f>
        <v>0</v>
      </c>
      <c r="V38" s="4">
        <f ca="1">IF(V36=0,0,SUMIFS(INDIRECT("Accounts!$M$2:$M$"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""),"&lt;="&amp;60)/V36)</f>
        <v>0</v>
      </c>
      <c r="W38" s="5">
        <f ca="1">IF(W36=0,0,SUMIFS(INDIRECT("Accounts!$M$2:$M$"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""),"&lt;="&amp;60)/W36)</f>
        <v>0</v>
      </c>
    </row>
    <row r="39" spans="1:23" x14ac:dyDescent="0.2">
      <c r="A39" s="1" t="s">
        <v>92</v>
      </c>
      <c r="B39" s="10">
        <f t="shared" ref="B39:W39" ca="1" si="11">IF(B36=0,0,B40/B36)</f>
        <v>0</v>
      </c>
      <c r="C39" s="18">
        <f t="shared" ca="1" si="11"/>
        <v>0</v>
      </c>
      <c r="D39" s="18">
        <f t="shared" ca="1" si="11"/>
        <v>0</v>
      </c>
      <c r="E39" s="18">
        <f t="shared" ca="1" si="11"/>
        <v>0</v>
      </c>
      <c r="F39" s="18">
        <f t="shared" ca="1" si="11"/>
        <v>0</v>
      </c>
      <c r="G39" s="18">
        <f t="shared" ca="1" si="11"/>
        <v>0</v>
      </c>
      <c r="H39" s="18">
        <f t="shared" ca="1" si="11"/>
        <v>0</v>
      </c>
      <c r="I39" s="6">
        <f t="shared" ca="1" si="11"/>
        <v>0</v>
      </c>
      <c r="J39" s="18">
        <f t="shared" ca="1" si="11"/>
        <v>0</v>
      </c>
      <c r="K39" s="18">
        <f t="shared" ca="1" si="11"/>
        <v>0</v>
      </c>
      <c r="L39" s="18">
        <f t="shared" ca="1" si="11"/>
        <v>0</v>
      </c>
      <c r="M39" s="18">
        <f t="shared" ca="1" si="11"/>
        <v>0</v>
      </c>
      <c r="N39" s="18">
        <f t="shared" ca="1" si="11"/>
        <v>0</v>
      </c>
      <c r="O39" s="18">
        <f t="shared" ca="1" si="11"/>
        <v>0</v>
      </c>
      <c r="P39" s="6">
        <f t="shared" ca="1" si="11"/>
        <v>0</v>
      </c>
      <c r="Q39" s="18">
        <f t="shared" ca="1" si="11"/>
        <v>0</v>
      </c>
      <c r="R39" s="18">
        <f t="shared" ca="1" si="11"/>
        <v>0</v>
      </c>
      <c r="S39" s="18">
        <f t="shared" ca="1" si="11"/>
        <v>0</v>
      </c>
      <c r="T39" s="18">
        <f t="shared" ca="1" si="11"/>
        <v>0</v>
      </c>
      <c r="U39" s="18">
        <f t="shared" ca="1" si="11"/>
        <v>0</v>
      </c>
      <c r="V39" s="18">
        <f t="shared" ca="1" si="11"/>
        <v>0</v>
      </c>
      <c r="W39" s="6">
        <f t="shared" ca="1" si="11"/>
        <v>0</v>
      </c>
    </row>
    <row r="40" spans="1:23" x14ac:dyDescent="0.2">
      <c r="A40" s="1" t="s">
        <v>93</v>
      </c>
      <c r="B40" s="10">
        <f ca="1">I40+P40+W40</f>
        <v>0</v>
      </c>
      <c r="C40" s="18">
        <f ca="1"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D40" s="18">
        <f ca="1"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E40" s="18">
        <f ca="1"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F40" s="18">
        <f ca="1"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G40" s="18">
        <f ca="1"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H40" s="18">
        <f ca="1"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I40" s="6">
        <f ca="1">SUM(C40:H40)</f>
        <v>0</v>
      </c>
      <c r="J40" s="18">
        <f ca="1"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K40" s="18">
        <f ca="1"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L40" s="18">
        <f ca="1"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M40" s="18">
        <f ca="1"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N40" s="18">
        <f ca="1"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O40" s="18">
        <f ca="1"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P40" s="6">
        <f ca="1">SUM(J40:O40)</f>
        <v>0</v>
      </c>
      <c r="Q40" s="18">
        <f ca="1"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R40" s="18">
        <f ca="1"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S40" s="18">
        <f ca="1"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T40" s="18">
        <f ca="1"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U40" s="18">
        <f ca="1"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V40" s="18">
        <f ca="1"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W40" s="6">
        <f ca="1">SUM(Q40:V40)</f>
        <v>0</v>
      </c>
    </row>
    <row r="41" spans="1:23" x14ac:dyDescent="0.2">
      <c r="A41" s="1" t="s">
        <v>124</v>
      </c>
      <c r="B41" s="10"/>
      <c r="C41" s="18"/>
      <c r="D41" s="18"/>
      <c r="E41" s="18"/>
      <c r="F41" s="18"/>
      <c r="G41" s="18"/>
      <c r="H41" s="18"/>
      <c r="I41" s="6"/>
      <c r="J41" s="18"/>
      <c r="K41" s="18"/>
      <c r="L41" s="18"/>
      <c r="M41" s="18"/>
      <c r="N41" s="18"/>
      <c r="O41" s="18"/>
      <c r="P41" s="6"/>
      <c r="Q41" s="18"/>
      <c r="R41" s="18"/>
      <c r="S41" s="18"/>
      <c r="T41" s="18"/>
      <c r="U41" s="18"/>
      <c r="V41" s="18"/>
      <c r="W41" s="6"/>
    </row>
    <row r="42" spans="1:23" x14ac:dyDescent="0.2">
      <c r="A42" s="1" t="s">
        <v>123</v>
      </c>
      <c r="B42" s="11">
        <f t="shared" ref="B42:W42" ca="1" si="12">IF(B22=0,0,(B44+B45)/B22)</f>
        <v>0</v>
      </c>
      <c r="C42" s="8">
        <f t="shared" ca="1" si="12"/>
        <v>0</v>
      </c>
      <c r="D42" s="8">
        <f t="shared" ca="1" si="12"/>
        <v>0</v>
      </c>
      <c r="E42" s="8">
        <f t="shared" ca="1" si="12"/>
        <v>0</v>
      </c>
      <c r="F42" s="8">
        <f t="shared" ca="1" si="12"/>
        <v>0</v>
      </c>
      <c r="G42" s="8">
        <f t="shared" ca="1" si="12"/>
        <v>0</v>
      </c>
      <c r="H42" s="8">
        <f t="shared" ca="1" si="12"/>
        <v>0</v>
      </c>
      <c r="I42" s="20">
        <f t="shared" ca="1" si="12"/>
        <v>0</v>
      </c>
      <c r="J42" s="8">
        <f t="shared" ca="1" si="12"/>
        <v>0</v>
      </c>
      <c r="K42" s="8">
        <f t="shared" ca="1" si="12"/>
        <v>0</v>
      </c>
      <c r="L42" s="8">
        <f t="shared" ca="1" si="12"/>
        <v>0</v>
      </c>
      <c r="M42" s="8">
        <f t="shared" ca="1" si="12"/>
        <v>0</v>
      </c>
      <c r="N42" s="8">
        <f t="shared" ca="1" si="12"/>
        <v>0</v>
      </c>
      <c r="O42" s="8">
        <f t="shared" ca="1" si="12"/>
        <v>0</v>
      </c>
      <c r="P42" s="20">
        <f t="shared" ca="1" si="12"/>
        <v>0</v>
      </c>
      <c r="Q42" s="8">
        <f t="shared" ca="1" si="12"/>
        <v>0</v>
      </c>
      <c r="R42" s="8">
        <f t="shared" ca="1" si="12"/>
        <v>0</v>
      </c>
      <c r="S42" s="8">
        <f t="shared" ca="1" si="12"/>
        <v>0</v>
      </c>
      <c r="T42" s="8">
        <f t="shared" ca="1" si="12"/>
        <v>0</v>
      </c>
      <c r="U42" s="8">
        <f t="shared" ca="1" si="12"/>
        <v>0</v>
      </c>
      <c r="V42" s="8">
        <f t="shared" ca="1" si="12"/>
        <v>0</v>
      </c>
      <c r="W42" s="20">
        <f t="shared" ca="1" si="12"/>
        <v>0</v>
      </c>
    </row>
    <row r="43" spans="1:23" x14ac:dyDescent="0.2">
      <c r="A43" s="1" t="s">
        <v>87</v>
      </c>
      <c r="B43" s="11">
        <f t="shared" ref="B43:W43" ca="1" si="13">IF((B44+B45)=0,0,B44/(B44+B45))</f>
        <v>0</v>
      </c>
      <c r="C43" s="8">
        <f t="shared" ca="1" si="13"/>
        <v>0</v>
      </c>
      <c r="D43" s="8">
        <f t="shared" ca="1" si="13"/>
        <v>0</v>
      </c>
      <c r="E43" s="8">
        <f t="shared" ca="1" si="13"/>
        <v>0</v>
      </c>
      <c r="F43" s="8">
        <f t="shared" ca="1" si="13"/>
        <v>0</v>
      </c>
      <c r="G43" s="8">
        <f t="shared" ca="1" si="13"/>
        <v>0</v>
      </c>
      <c r="H43" s="8">
        <f t="shared" ca="1" si="13"/>
        <v>0</v>
      </c>
      <c r="I43" s="20">
        <f t="shared" ca="1" si="13"/>
        <v>0</v>
      </c>
      <c r="J43" s="8">
        <f t="shared" ca="1" si="13"/>
        <v>0</v>
      </c>
      <c r="K43" s="8">
        <f t="shared" ca="1" si="13"/>
        <v>0</v>
      </c>
      <c r="L43" s="8">
        <f t="shared" ca="1" si="13"/>
        <v>0</v>
      </c>
      <c r="M43" s="8">
        <f t="shared" ca="1" si="13"/>
        <v>0</v>
      </c>
      <c r="N43" s="8">
        <f t="shared" ca="1" si="13"/>
        <v>0</v>
      </c>
      <c r="O43" s="8">
        <f t="shared" ca="1" si="13"/>
        <v>0</v>
      </c>
      <c r="P43" s="20">
        <f t="shared" ca="1" si="13"/>
        <v>0</v>
      </c>
      <c r="Q43" s="8">
        <f t="shared" ca="1" si="13"/>
        <v>0</v>
      </c>
      <c r="R43" s="8">
        <f t="shared" ca="1" si="13"/>
        <v>0</v>
      </c>
      <c r="S43" s="8">
        <f t="shared" ca="1" si="13"/>
        <v>0</v>
      </c>
      <c r="T43" s="8">
        <f t="shared" ca="1" si="13"/>
        <v>0</v>
      </c>
      <c r="U43" s="8">
        <f t="shared" ca="1" si="13"/>
        <v>0</v>
      </c>
      <c r="V43" s="8">
        <f t="shared" ca="1" si="13"/>
        <v>0</v>
      </c>
      <c r="W43" s="20">
        <f t="shared" ca="1" si="13"/>
        <v>0</v>
      </c>
    </row>
    <row r="44" spans="1:23" x14ac:dyDescent="0.2">
      <c r="A44" s="1" t="s">
        <v>88</v>
      </c>
      <c r="B44" s="9">
        <f ca="1">I44+P44+W44</f>
        <v>0</v>
      </c>
      <c r="C44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D44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E44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F44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G44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H44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I44" s="15">
        <f ca="1">SUM(C44:H44)</f>
        <v>0</v>
      </c>
      <c r="J44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K44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L44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M44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N44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O44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P44" s="15">
        <f ca="1">SUM(J44:O44)</f>
        <v>0</v>
      </c>
      <c r="Q44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R44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S44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T44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U44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V44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W44" s="15">
        <f ca="1">SUM(Q44:V44)</f>
        <v>0</v>
      </c>
    </row>
    <row r="45" spans="1:23" x14ac:dyDescent="0.2">
      <c r="A45" s="1" t="s">
        <v>89</v>
      </c>
      <c r="B45" s="9">
        <f ca="1">I45+P45+W45</f>
        <v>0</v>
      </c>
      <c r="C45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D45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E45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F45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G45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H45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I45" s="15">
        <f ca="1">SUM(C45:H45)</f>
        <v>0</v>
      </c>
      <c r="J45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K45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L45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M45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N45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O45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P45" s="15">
        <f ca="1">SUM(J45:O45)</f>
        <v>0</v>
      </c>
      <c r="Q45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R45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S45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T45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U45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V45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W45" s="15">
        <f ca="1">SUM(Q45:V45)</f>
        <v>0</v>
      </c>
    </row>
    <row r="46" spans="1:23" x14ac:dyDescent="0.2">
      <c r="A46" s="2" t="s">
        <v>90</v>
      </c>
      <c r="B46" s="13">
        <f ca="1">IF(B45=0,0,SUMIFS(INDIRECT("Accounts!$L$2:$L$"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""),"&lt;="&amp;180)/B45)</f>
        <v>0</v>
      </c>
      <c r="C46" s="4">
        <f ca="1">IF(C45=0,0,SUMIFS(INDIRECT("Accounts!$L$2:$L$"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""),"&lt;="&amp;180)/C45)</f>
        <v>0</v>
      </c>
      <c r="D46" s="4">
        <f ca="1">IF(D45=0,0,SUMIFS(INDIRECT("Accounts!$L$2:$L$"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""),"&lt;="&amp;180)/D45)</f>
        <v>0</v>
      </c>
      <c r="E46" s="4">
        <f ca="1">IF(E45=0,0,SUMIFS(INDIRECT("Accounts!$L$2:$L$"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""),"&lt;="&amp;180)/E45)</f>
        <v>0</v>
      </c>
      <c r="F46" s="4">
        <f ca="1">IF(F45=0,0,SUMIFS(INDIRECT("Accounts!$L$2:$L$"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""),"&lt;="&amp;180)/F45)</f>
        <v>0</v>
      </c>
      <c r="G46" s="4">
        <f ca="1">IF(G45=0,0,SUMIFS(INDIRECT("Accounts!$L$2:$L$"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""),"&lt;="&amp;180)/G45)</f>
        <v>0</v>
      </c>
      <c r="H46" s="4">
        <f ca="1">IF(H45=0,0,SUMIFS(INDIRECT("Accounts!$L$2:$L$"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""),"&lt;="&amp;180)/H45)</f>
        <v>0</v>
      </c>
      <c r="I46" s="5">
        <f ca="1">IF(I45=0,0,SUMIFS(INDIRECT("Accounts!$L$2:$L$"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""),"&lt;="&amp;180)/I45)</f>
        <v>0</v>
      </c>
      <c r="J46" s="4">
        <f ca="1">IF(J45=0,0,SUMIFS(INDIRECT("Accounts!$L$2:$L$"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""),"&lt;="&amp;180)/J45)</f>
        <v>0</v>
      </c>
      <c r="K46" s="4">
        <f ca="1">IF(K45=0,0,SUMIFS(INDIRECT("Accounts!$L$2:$L$"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""),"&lt;="&amp;180)/K45)</f>
        <v>0</v>
      </c>
      <c r="L46" s="4">
        <f ca="1">IF(L45=0,0,SUMIFS(INDIRECT("Accounts!$L$2:$L$"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""),"&lt;="&amp;180)/L45)</f>
        <v>0</v>
      </c>
      <c r="M46" s="4">
        <f ca="1">IF(M45=0,0,SUMIFS(INDIRECT("Accounts!$L$2:$L$"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""),"&lt;="&amp;180)/M45)</f>
        <v>0</v>
      </c>
      <c r="N46" s="4">
        <f ca="1">IF(N45=0,0,SUMIFS(INDIRECT("Accounts!$L$2:$L$"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""),"&lt;="&amp;180)/N45)</f>
        <v>0</v>
      </c>
      <c r="O46" s="4">
        <f ca="1">IF(O45=0,0,SUMIFS(INDIRECT("Accounts!$L$2:$L$"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""),"&lt;="&amp;180)/O45)</f>
        <v>0</v>
      </c>
      <c r="P46" s="5">
        <f ca="1">IF(P45=0,0,SUMIFS(INDIRECT("Accounts!$L$2:$L$"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""),"&lt;="&amp;180)/P45)</f>
        <v>0</v>
      </c>
      <c r="Q46" s="4">
        <f ca="1">IF(Q45=0,0,SUMIFS(INDIRECT("Accounts!$L$2:$L$"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""),"&lt;="&amp;180)/Q45)</f>
        <v>0</v>
      </c>
      <c r="R46" s="4">
        <f ca="1">IF(R45=0,0,SUMIFS(INDIRECT("Accounts!$L$2:$L$"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""),"&lt;="&amp;180)/R45)</f>
        <v>0</v>
      </c>
      <c r="S46" s="4">
        <f ca="1">IF(S45=0,0,SUMIFS(INDIRECT("Accounts!$L$2:$L$"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""),"&lt;="&amp;180)/S45)</f>
        <v>0</v>
      </c>
      <c r="T46" s="4">
        <f ca="1">IF(T45=0,0,SUMIFS(INDIRECT("Accounts!$L$2:$L$"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""),"&lt;="&amp;180)/T45)</f>
        <v>0</v>
      </c>
      <c r="U46" s="4">
        <f ca="1">IF(U45=0,0,SUMIFS(INDIRECT("Accounts!$L$2:$L$"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""),"&lt;="&amp;180)/U45)</f>
        <v>0</v>
      </c>
      <c r="V46" s="4">
        <f ca="1">IF(V45=0,0,SUMIFS(INDIRECT("Accounts!$L$2:$L$"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""),"&lt;="&amp;180)/V45)</f>
        <v>0</v>
      </c>
      <c r="W46" s="5">
        <f ca="1">IF(W45=0,0,SUMIFS(INDIRECT("Accounts!$L$2:$L$"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""),"&lt;="&amp;180)/W45)</f>
        <v>0</v>
      </c>
    </row>
    <row r="47" spans="1:23" x14ac:dyDescent="0.2">
      <c r="A47" s="2" t="s">
        <v>91</v>
      </c>
      <c r="B47" s="13">
        <f ca="1">IF(B45=0,0,SUMIFS(INDIRECT("Accounts!$M$2:$M$"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""),"&lt;="&amp;180)/B45)</f>
        <v>0</v>
      </c>
      <c r="C47" s="4">
        <f ca="1">IF(C45=0,0,SUMIFS(INDIRECT("Accounts!$M$2:$M$"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""),"&lt;="&amp;180)/C45)</f>
        <v>0</v>
      </c>
      <c r="D47" s="4">
        <f ca="1">IF(D45=0,0,SUMIFS(INDIRECT("Accounts!$M$2:$M$"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""),"&lt;="&amp;180)/D45)</f>
        <v>0</v>
      </c>
      <c r="E47" s="4">
        <f ca="1">IF(E45=0,0,SUMIFS(INDIRECT("Accounts!$M$2:$M$"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""),"&lt;="&amp;180)/E45)</f>
        <v>0</v>
      </c>
      <c r="F47" s="4">
        <f ca="1">IF(F45=0,0,SUMIFS(INDIRECT("Accounts!$M$2:$M$"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""),"&lt;="&amp;180)/F45)</f>
        <v>0</v>
      </c>
      <c r="G47" s="4">
        <f ca="1">IF(G45=0,0,SUMIFS(INDIRECT("Accounts!$M$2:$M$"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""),"&lt;="&amp;180)/G45)</f>
        <v>0</v>
      </c>
      <c r="H47" s="4">
        <f ca="1">IF(H45=0,0,SUMIFS(INDIRECT("Accounts!$M$2:$M$"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""),"&lt;="&amp;180)/H45)</f>
        <v>0</v>
      </c>
      <c r="I47" s="5">
        <f ca="1">IF(I45=0,0,SUMIFS(INDIRECT("Accounts!$M$2:$M$"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""),"&lt;="&amp;180)/I45)</f>
        <v>0</v>
      </c>
      <c r="J47" s="4">
        <f ca="1">IF(J45=0,0,SUMIFS(INDIRECT("Accounts!$M$2:$M$"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""),"&lt;="&amp;180)/J45)</f>
        <v>0</v>
      </c>
      <c r="K47" s="4">
        <f ca="1">IF(K45=0,0,SUMIFS(INDIRECT("Accounts!$M$2:$M$"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""),"&lt;="&amp;180)/K45)</f>
        <v>0</v>
      </c>
      <c r="L47" s="4">
        <f ca="1">IF(L45=0,0,SUMIFS(INDIRECT("Accounts!$M$2:$M$"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""),"&lt;="&amp;180)/L45)</f>
        <v>0</v>
      </c>
      <c r="M47" s="4">
        <f ca="1">IF(M45=0,0,SUMIFS(INDIRECT("Accounts!$M$2:$M$"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""),"&lt;="&amp;180)/M45)</f>
        <v>0</v>
      </c>
      <c r="N47" s="4">
        <f ca="1">IF(N45=0,0,SUMIFS(INDIRECT("Accounts!$M$2:$M$"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""),"&lt;="&amp;180)/N45)</f>
        <v>0</v>
      </c>
      <c r="O47" s="4">
        <f ca="1">IF(O45=0,0,SUMIFS(INDIRECT("Accounts!$M$2:$M$"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""),"&lt;="&amp;180)/O45)</f>
        <v>0</v>
      </c>
      <c r="P47" s="5">
        <f ca="1">IF(P45=0,0,SUMIFS(INDIRECT("Accounts!$M$2:$M$"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""),"&lt;="&amp;180)/P45)</f>
        <v>0</v>
      </c>
      <c r="Q47" s="4">
        <f ca="1">IF(Q45=0,0,SUMIFS(INDIRECT("Accounts!$M$2:$M$"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""),"&lt;="&amp;180)/Q45)</f>
        <v>0</v>
      </c>
      <c r="R47" s="4">
        <f ca="1">IF(R45=0,0,SUMIFS(INDIRECT("Accounts!$M$2:$M$"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""),"&lt;="&amp;180)/R45)</f>
        <v>0</v>
      </c>
      <c r="S47" s="4">
        <f ca="1">IF(S45=0,0,SUMIFS(INDIRECT("Accounts!$M$2:$M$"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""),"&lt;="&amp;180)/S45)</f>
        <v>0</v>
      </c>
      <c r="T47" s="4">
        <f ca="1">IF(T45=0,0,SUMIFS(INDIRECT("Accounts!$M$2:$M$"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""),"&lt;="&amp;180)/T45)</f>
        <v>0</v>
      </c>
      <c r="U47" s="4">
        <f ca="1">IF(U45=0,0,SUMIFS(INDIRECT("Accounts!$M$2:$M$"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""),"&lt;="&amp;180)/U45)</f>
        <v>0</v>
      </c>
      <c r="V47" s="4">
        <f ca="1">IF(V45=0,0,SUMIFS(INDIRECT("Accounts!$M$2:$M$"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""),"&lt;="&amp;180)/V45)</f>
        <v>0</v>
      </c>
      <c r="W47" s="5">
        <f ca="1">IF(W45=0,0,SUMIFS(INDIRECT("Accounts!$M$2:$M$"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""),"&lt;="&amp;180)/W45)</f>
        <v>0</v>
      </c>
    </row>
    <row r="48" spans="1:23" x14ac:dyDescent="0.2">
      <c r="A48" s="1" t="s">
        <v>92</v>
      </c>
      <c r="B48" s="10">
        <f t="shared" ref="B48:W48" ca="1" si="14">IF(B45=0,0,B49/B45)</f>
        <v>0</v>
      </c>
      <c r="C48" s="18">
        <f t="shared" ca="1" si="14"/>
        <v>0</v>
      </c>
      <c r="D48" s="18">
        <f t="shared" ca="1" si="14"/>
        <v>0</v>
      </c>
      <c r="E48" s="18">
        <f t="shared" ca="1" si="14"/>
        <v>0</v>
      </c>
      <c r="F48" s="18">
        <f t="shared" ca="1" si="14"/>
        <v>0</v>
      </c>
      <c r="G48" s="18">
        <f t="shared" ca="1" si="14"/>
        <v>0</v>
      </c>
      <c r="H48" s="18">
        <f t="shared" ca="1" si="14"/>
        <v>0</v>
      </c>
      <c r="I48" s="6">
        <f t="shared" ca="1" si="14"/>
        <v>0</v>
      </c>
      <c r="J48" s="18">
        <f t="shared" ca="1" si="14"/>
        <v>0</v>
      </c>
      <c r="K48" s="18">
        <f t="shared" ca="1" si="14"/>
        <v>0</v>
      </c>
      <c r="L48" s="18">
        <f t="shared" ca="1" si="14"/>
        <v>0</v>
      </c>
      <c r="M48" s="18">
        <f t="shared" ca="1" si="14"/>
        <v>0</v>
      </c>
      <c r="N48" s="18">
        <f t="shared" ca="1" si="14"/>
        <v>0</v>
      </c>
      <c r="O48" s="18">
        <f t="shared" ca="1" si="14"/>
        <v>0</v>
      </c>
      <c r="P48" s="6">
        <f t="shared" ca="1" si="14"/>
        <v>0</v>
      </c>
      <c r="Q48" s="18">
        <f t="shared" ca="1" si="14"/>
        <v>0</v>
      </c>
      <c r="R48" s="18">
        <f t="shared" ca="1" si="14"/>
        <v>0</v>
      </c>
      <c r="S48" s="18">
        <f t="shared" ca="1" si="14"/>
        <v>0</v>
      </c>
      <c r="T48" s="18">
        <f t="shared" ca="1" si="14"/>
        <v>0</v>
      </c>
      <c r="U48" s="18">
        <f t="shared" ca="1" si="14"/>
        <v>0</v>
      </c>
      <c r="V48" s="18">
        <f t="shared" ca="1" si="14"/>
        <v>0</v>
      </c>
      <c r="W48" s="6">
        <f t="shared" ca="1" si="14"/>
        <v>0</v>
      </c>
    </row>
    <row r="49" spans="1:23" x14ac:dyDescent="0.2">
      <c r="A49" s="1" t="s">
        <v>93</v>
      </c>
      <c r="B49" s="10">
        <f ca="1">I49+P49+W49</f>
        <v>0</v>
      </c>
      <c r="C49" s="18">
        <f ca="1"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D49" s="18">
        <f ca="1"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E49" s="18">
        <f ca="1"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F49" s="18">
        <f ca="1"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G49" s="18">
        <f ca="1"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H49" s="18">
        <f ca="1"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I49" s="6">
        <f ca="1">SUM(C49:H49)</f>
        <v>0</v>
      </c>
      <c r="J49" s="18">
        <f ca="1"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K49" s="18">
        <f ca="1"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L49" s="18">
        <f ca="1"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M49" s="18">
        <f ca="1"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N49" s="18">
        <f ca="1"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O49" s="18">
        <f ca="1"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P49" s="6">
        <f ca="1">SUM(J49:O49)</f>
        <v>0</v>
      </c>
      <c r="Q49" s="18">
        <f ca="1"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R49" s="18">
        <f ca="1"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S49" s="18">
        <f ca="1"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T49" s="18">
        <f ca="1"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U49" s="18">
        <f ca="1"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V49" s="18">
        <f ca="1"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W49" s="6">
        <f ca="1">SUM(Q49:V49)</f>
        <v>0</v>
      </c>
    </row>
    <row r="50" spans="1:23" x14ac:dyDescent="0.2">
      <c r="A50" s="1" t="s">
        <v>97</v>
      </c>
      <c r="B50" s="10"/>
      <c r="C50" s="18"/>
      <c r="D50" s="18"/>
      <c r="E50" s="18"/>
      <c r="F50" s="18"/>
      <c r="G50" s="18"/>
      <c r="H50" s="18"/>
      <c r="I50" s="6"/>
      <c r="J50" s="18"/>
      <c r="K50" s="18"/>
      <c r="L50" s="18"/>
      <c r="M50" s="18"/>
      <c r="N50" s="18"/>
      <c r="O50" s="18"/>
      <c r="P50" s="6"/>
      <c r="Q50" s="18"/>
      <c r="R50" s="18"/>
      <c r="S50" s="18"/>
      <c r="T50" s="18"/>
      <c r="U50" s="18"/>
      <c r="V50" s="18"/>
      <c r="W50" s="6"/>
    </row>
    <row r="51" spans="1:23" x14ac:dyDescent="0.2">
      <c r="A51" s="1" t="s">
        <v>123</v>
      </c>
      <c r="B51" s="11">
        <f t="shared" ref="B51:W51" ca="1" si="15">IF(B22=0,0,(B53+B54)/B22)</f>
        <v>1</v>
      </c>
      <c r="C51" s="8">
        <f t="shared" ca="1" si="15"/>
        <v>0</v>
      </c>
      <c r="D51" s="8">
        <f t="shared" ca="1" si="15"/>
        <v>0</v>
      </c>
      <c r="E51" s="8">
        <f t="shared" ca="1" si="15"/>
        <v>0</v>
      </c>
      <c r="F51" s="8">
        <f t="shared" ca="1" si="15"/>
        <v>0</v>
      </c>
      <c r="G51" s="8">
        <f t="shared" ca="1" si="15"/>
        <v>0</v>
      </c>
      <c r="H51" s="8">
        <f t="shared" ca="1" si="15"/>
        <v>0</v>
      </c>
      <c r="I51" s="20">
        <f t="shared" ca="1" si="15"/>
        <v>0</v>
      </c>
      <c r="J51" s="8">
        <f t="shared" ca="1" si="15"/>
        <v>0</v>
      </c>
      <c r="K51" s="8">
        <f t="shared" ca="1" si="15"/>
        <v>0</v>
      </c>
      <c r="L51" s="8">
        <f t="shared" ca="1" si="15"/>
        <v>0</v>
      </c>
      <c r="M51" s="8">
        <f t="shared" ca="1" si="15"/>
        <v>0</v>
      </c>
      <c r="N51" s="8">
        <f t="shared" ca="1" si="15"/>
        <v>0</v>
      </c>
      <c r="O51" s="8">
        <f t="shared" ca="1" si="15"/>
        <v>0</v>
      </c>
      <c r="P51" s="20">
        <f t="shared" ca="1" si="15"/>
        <v>0</v>
      </c>
      <c r="Q51" s="8">
        <f t="shared" ca="1" si="15"/>
        <v>0</v>
      </c>
      <c r="R51" s="8">
        <f t="shared" ca="1" si="15"/>
        <v>1</v>
      </c>
      <c r="S51" s="8">
        <f t="shared" ca="1" si="15"/>
        <v>0</v>
      </c>
      <c r="T51" s="8">
        <f t="shared" ca="1" si="15"/>
        <v>0</v>
      </c>
      <c r="U51" s="8">
        <f t="shared" ca="1" si="15"/>
        <v>0</v>
      </c>
      <c r="V51" s="8">
        <f t="shared" ca="1" si="15"/>
        <v>0</v>
      </c>
      <c r="W51" s="20">
        <f t="shared" ca="1" si="15"/>
        <v>1</v>
      </c>
    </row>
    <row r="52" spans="1:23" x14ac:dyDescent="0.2">
      <c r="A52" s="1" t="s">
        <v>87</v>
      </c>
      <c r="B52" s="11">
        <f t="shared" ref="B52:W52" ca="1" si="16">IF((B53+B54)=0,0,B53/(B53+B54))</f>
        <v>0</v>
      </c>
      <c r="C52" s="8">
        <f t="shared" ca="1" si="16"/>
        <v>0</v>
      </c>
      <c r="D52" s="8">
        <f t="shared" ca="1" si="16"/>
        <v>0</v>
      </c>
      <c r="E52" s="8">
        <f t="shared" ca="1" si="16"/>
        <v>0</v>
      </c>
      <c r="F52" s="8">
        <f t="shared" ca="1" si="16"/>
        <v>0</v>
      </c>
      <c r="G52" s="8">
        <f t="shared" ca="1" si="16"/>
        <v>0</v>
      </c>
      <c r="H52" s="8">
        <f t="shared" ca="1" si="16"/>
        <v>0</v>
      </c>
      <c r="I52" s="20">
        <f t="shared" ca="1" si="16"/>
        <v>0</v>
      </c>
      <c r="J52" s="8">
        <f t="shared" ca="1" si="16"/>
        <v>0</v>
      </c>
      <c r="K52" s="8">
        <f t="shared" ca="1" si="16"/>
        <v>0</v>
      </c>
      <c r="L52" s="8">
        <f t="shared" ca="1" si="16"/>
        <v>0</v>
      </c>
      <c r="M52" s="8">
        <f t="shared" ca="1" si="16"/>
        <v>0</v>
      </c>
      <c r="N52" s="8">
        <f t="shared" ca="1" si="16"/>
        <v>0</v>
      </c>
      <c r="O52" s="8">
        <f t="shared" ca="1" si="16"/>
        <v>0</v>
      </c>
      <c r="P52" s="20">
        <f t="shared" ca="1" si="16"/>
        <v>0</v>
      </c>
      <c r="Q52" s="8">
        <f t="shared" ca="1" si="16"/>
        <v>0</v>
      </c>
      <c r="R52" s="8">
        <f t="shared" ca="1" si="16"/>
        <v>0</v>
      </c>
      <c r="S52" s="8">
        <f t="shared" ca="1" si="16"/>
        <v>0</v>
      </c>
      <c r="T52" s="8">
        <f t="shared" ca="1" si="16"/>
        <v>0</v>
      </c>
      <c r="U52" s="8">
        <f t="shared" ca="1" si="16"/>
        <v>0</v>
      </c>
      <c r="V52" s="8">
        <f t="shared" ca="1" si="16"/>
        <v>0</v>
      </c>
      <c r="W52" s="20">
        <f t="shared" ca="1" si="16"/>
        <v>0</v>
      </c>
    </row>
    <row r="53" spans="1:23" x14ac:dyDescent="0.2">
      <c r="A53" s="1" t="s">
        <v>88</v>
      </c>
      <c r="B53" s="9">
        <f ca="1">I53+P53+W53</f>
        <v>0</v>
      </c>
      <c r="C53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D53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E53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F53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G53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H53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I53" s="15">
        <f ca="1">SUM(C53:H53)</f>
        <v>0</v>
      </c>
      <c r="J53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K53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L53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M53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N53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O53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P53" s="15">
        <f ca="1">SUM(J53:O53)</f>
        <v>0</v>
      </c>
      <c r="Q53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R53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S53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T53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U53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V53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W53" s="15">
        <f ca="1">SUM(Q53:V53)</f>
        <v>0</v>
      </c>
    </row>
    <row r="54" spans="1:23" x14ac:dyDescent="0.2">
      <c r="A54" s="1" t="s">
        <v>89</v>
      </c>
      <c r="B54" s="9">
        <f ca="1">I54+P54+W54</f>
        <v>1</v>
      </c>
      <c r="C54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D54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E54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F54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G54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H54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I54" s="15">
        <f ca="1">SUM(C54:H54)</f>
        <v>0</v>
      </c>
      <c r="J54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K54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L54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M54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N54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O54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P54" s="15">
        <f ca="1">SUM(J54:O54)</f>
        <v>0</v>
      </c>
      <c r="Q54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R54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1</v>
      </c>
      <c r="S54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T54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U54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V54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W54" s="15">
        <f ca="1">SUM(Q54:V54)</f>
        <v>1</v>
      </c>
    </row>
    <row r="55" spans="1:23" x14ac:dyDescent="0.2">
      <c r="A55" s="2" t="s">
        <v>90</v>
      </c>
      <c r="B55" s="13">
        <f ca="1">IF(B54=0,0,SUMIFS(INDIRECT("Accounts!$L$2:$L$"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""),"&gt;"&amp;180)/B54)</f>
        <v>3</v>
      </c>
      <c r="C55" s="4">
        <f ca="1">IF(C54=0,0,SUMIFS(INDIRECT("Accounts!$L$2:$L$"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""),"&gt;"&amp;180)/C54)</f>
        <v>0</v>
      </c>
      <c r="D55" s="4">
        <f ca="1">IF(D54=0,0,SUMIFS(INDIRECT("Accounts!$L$2:$L$"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""),"&gt;"&amp;180)/D54)</f>
        <v>0</v>
      </c>
      <c r="E55" s="4">
        <f ca="1">IF(E54=0,0,SUMIFS(INDIRECT("Accounts!$L$2:$L$"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""),"&gt;"&amp;180)/E54)</f>
        <v>0</v>
      </c>
      <c r="F55" s="4">
        <f ca="1">IF(F54=0,0,SUMIFS(INDIRECT("Accounts!$L$2:$L$"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""),"&gt;"&amp;180)/F54)</f>
        <v>0</v>
      </c>
      <c r="G55" s="4">
        <f ca="1">IF(G54=0,0,SUMIFS(INDIRECT("Accounts!$L$2:$L$"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""),"&gt;"&amp;180)/G54)</f>
        <v>0</v>
      </c>
      <c r="H55" s="4">
        <f ca="1">IF(H54=0,0,SUMIFS(INDIRECT("Accounts!$L$2:$L$"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""),"&gt;"&amp;180)/H54)</f>
        <v>0</v>
      </c>
      <c r="I55" s="5">
        <f ca="1">IF(I54=0,0,SUMIFS(INDIRECT("Accounts!$L$2:$L$"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""),"&lt;="&amp;180)/I54)</f>
        <v>0</v>
      </c>
      <c r="J55" s="4">
        <f ca="1">IF(J54=0,0,SUMIFS(INDIRECT("Accounts!$L$2:$L$"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""),"&gt;"&amp;180)/J54)</f>
        <v>0</v>
      </c>
      <c r="K55" s="4">
        <f ca="1">IF(K54=0,0,SUMIFS(INDIRECT("Accounts!$L$2:$L$"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""),"&gt;"&amp;180)/K54)</f>
        <v>0</v>
      </c>
      <c r="L55" s="4">
        <f ca="1">IF(L54=0,0,SUMIFS(INDIRECT("Accounts!$L$2:$L$"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""),"&gt;"&amp;180)/L54)</f>
        <v>0</v>
      </c>
      <c r="M55" s="4">
        <f ca="1">IF(M54=0,0,SUMIFS(INDIRECT("Accounts!$L$2:$L$"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""),"&gt;"&amp;180)/M54)</f>
        <v>0</v>
      </c>
      <c r="N55" s="4">
        <f ca="1">IF(N54=0,0,SUMIFS(INDIRECT("Accounts!$L$2:$L$"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""),"&gt;"&amp;180)/N54)</f>
        <v>0</v>
      </c>
      <c r="O55" s="4">
        <f ca="1">IF(O54=0,0,SUMIFS(INDIRECT("Accounts!$L$2:$L$"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""),"&gt;"&amp;180)/O54)</f>
        <v>0</v>
      </c>
      <c r="P55" s="5">
        <f ca="1">IF(P54=0,0,SUMIFS(INDIRECT("Accounts!$L$2:$L$"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""),"&lt;="&amp;180)/P54)</f>
        <v>0</v>
      </c>
      <c r="Q55" s="4">
        <f ca="1">IF(Q54=0,0,SUMIFS(INDIRECT("Accounts!$L$2:$L$"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""),"&gt;"&amp;180)/Q54)</f>
        <v>0</v>
      </c>
      <c r="R55" s="4">
        <f ca="1">IF(R54=0,0,SUMIFS(INDIRECT("Accounts!$L$2:$L$"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""),"&gt;"&amp;180)/R54)</f>
        <v>3</v>
      </c>
      <c r="S55" s="4">
        <f ca="1">IF(S54=0,0,SUMIFS(INDIRECT("Accounts!$L$2:$L$"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""),"&gt;"&amp;180)/S54)</f>
        <v>0</v>
      </c>
      <c r="T55" s="4">
        <f ca="1">IF(T54=0,0,SUMIFS(INDIRECT("Accounts!$L$2:$L$"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""),"&gt;"&amp;180)/T54)</f>
        <v>0</v>
      </c>
      <c r="U55" s="4">
        <f ca="1">IF(U54=0,0,SUMIFS(INDIRECT("Accounts!$L$2:$L$"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""),"&gt;"&amp;180)/U54)</f>
        <v>0</v>
      </c>
      <c r="V55" s="4">
        <f ca="1">IF(V54=0,0,SUMIFS(INDIRECT("Accounts!$L$2:$L$"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""),"&gt;"&amp;180)/V54)</f>
        <v>0</v>
      </c>
      <c r="W55" s="5">
        <f ca="1">IF(W54=0,0,SUMIFS(INDIRECT("Accounts!$L$2:$L$"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""),"&gt;"&amp;180)/W54)</f>
        <v>3</v>
      </c>
    </row>
    <row r="56" spans="1:23" x14ac:dyDescent="0.2">
      <c r="A56" s="2" t="s">
        <v>91</v>
      </c>
      <c r="B56" s="13">
        <f ca="1">IF(B54=0,0,SUMIFS(INDIRECT("Accounts!$M$2:$M$"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""),"&gt;"&amp;180)/B54)</f>
        <v>2</v>
      </c>
      <c r="C56" s="4">
        <f ca="1">IF(C54=0,0,SUMIFS(INDIRECT("Accounts!$M$2:$M$"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""),"&gt;"&amp;180)/C54)</f>
        <v>0</v>
      </c>
      <c r="D56" s="4">
        <f ca="1">IF(D54=0,0,SUMIFS(INDIRECT("Accounts!$M$2:$M$"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""),"&gt;"&amp;180)/D54)</f>
        <v>0</v>
      </c>
      <c r="E56" s="4">
        <f ca="1">IF(E54=0,0,SUMIFS(INDIRECT("Accounts!$M$2:$M$"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""),"&gt;"&amp;180)/E54)</f>
        <v>0</v>
      </c>
      <c r="F56" s="4">
        <f ca="1">IF(F54=0,0,SUMIFS(INDIRECT("Accounts!$M$2:$M$"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""),"&gt;"&amp;180)/F54)</f>
        <v>0</v>
      </c>
      <c r="G56" s="4">
        <f ca="1">IF(G54=0,0,SUMIFS(INDIRECT("Accounts!$M$2:$M$"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""),"&gt;"&amp;180)/G54)</f>
        <v>0</v>
      </c>
      <c r="H56" s="4">
        <f ca="1">IF(H54=0,0,SUMIFS(INDIRECT("Accounts!$M$2:$M$"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""),"&gt;"&amp;180)/H54)</f>
        <v>0</v>
      </c>
      <c r="I56" s="5">
        <f ca="1">IF(I54=0,0,SUMIFS(INDIRECT("Accounts!$M$2:$M$"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""),"&lt;="&amp;180)/I54)</f>
        <v>0</v>
      </c>
      <c r="J56" s="4">
        <f ca="1">IF(J54=0,0,SUMIFS(INDIRECT("Accounts!$M$2:$M$"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""),"&gt;"&amp;180)/J54)</f>
        <v>0</v>
      </c>
      <c r="K56" s="4">
        <f ca="1">IF(K54=0,0,SUMIFS(INDIRECT("Accounts!$M$2:$M$"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""),"&gt;"&amp;180)/K54)</f>
        <v>0</v>
      </c>
      <c r="L56" s="4">
        <f ca="1">IF(L54=0,0,SUMIFS(INDIRECT("Accounts!$M$2:$M$"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""),"&gt;"&amp;180)/L54)</f>
        <v>0</v>
      </c>
      <c r="M56" s="4">
        <f ca="1">IF(M54=0,0,SUMIFS(INDIRECT("Accounts!$M$2:$M$"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""),"&gt;"&amp;180)/M54)</f>
        <v>0</v>
      </c>
      <c r="N56" s="4">
        <f ca="1">IF(N54=0,0,SUMIFS(INDIRECT("Accounts!$M$2:$M$"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""),"&gt;"&amp;180)/N54)</f>
        <v>0</v>
      </c>
      <c r="O56" s="4">
        <f ca="1">IF(O54=0,0,SUMIFS(INDIRECT("Accounts!$M$2:$M$"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""),"&gt;"&amp;180)/O54)</f>
        <v>0</v>
      </c>
      <c r="P56" s="5">
        <f ca="1">IF(P54=0,0,SUMIFS(INDIRECT("Accounts!$M$2:$M$"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""),"&lt;="&amp;180)/P54)</f>
        <v>0</v>
      </c>
      <c r="Q56" s="4">
        <f ca="1">IF(Q54=0,0,SUMIFS(INDIRECT("Accounts!$M$2:$M$"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""),"&gt;"&amp;180)/Q54)</f>
        <v>0</v>
      </c>
      <c r="R56" s="4">
        <f ca="1">IF(R54=0,0,SUMIFS(INDIRECT("Accounts!$M$2:$M$"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""),"&gt;"&amp;180)/R54)</f>
        <v>2</v>
      </c>
      <c r="S56" s="4">
        <f ca="1">IF(S54=0,0,SUMIFS(INDIRECT("Accounts!$M$2:$M$"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""),"&gt;"&amp;180)/S54)</f>
        <v>0</v>
      </c>
      <c r="T56" s="4">
        <f ca="1">IF(T54=0,0,SUMIFS(INDIRECT("Accounts!$M$2:$M$"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""),"&gt;"&amp;180)/T54)</f>
        <v>0</v>
      </c>
      <c r="U56" s="4">
        <f ca="1">IF(U54=0,0,SUMIFS(INDIRECT("Accounts!$M$2:$M$"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""),"&gt;"&amp;180)/U54)</f>
        <v>0</v>
      </c>
      <c r="V56" s="4">
        <f ca="1">IF(V54=0,0,SUMIFS(INDIRECT("Accounts!$M$2:$M$"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""),"&gt;"&amp;180)/V54)</f>
        <v>0</v>
      </c>
      <c r="W56" s="5">
        <f ca="1">IF(W54=0,0,SUMIFS(INDIRECT("Accounts!$M$2:$M$"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""),"&gt;"&amp;180)/W54)</f>
        <v>2</v>
      </c>
    </row>
    <row r="57" spans="1:23" x14ac:dyDescent="0.2">
      <c r="A57" s="1" t="s">
        <v>92</v>
      </c>
      <c r="B57" s="10">
        <f t="shared" ref="B57:W57" ca="1" si="17">IF(B54=0,0,B58/B54)</f>
        <v>0</v>
      </c>
      <c r="C57" s="18">
        <f t="shared" ca="1" si="17"/>
        <v>0</v>
      </c>
      <c r="D57" s="18">
        <f t="shared" ca="1" si="17"/>
        <v>0</v>
      </c>
      <c r="E57" s="18">
        <f t="shared" ca="1" si="17"/>
        <v>0</v>
      </c>
      <c r="F57" s="18">
        <f t="shared" ca="1" si="17"/>
        <v>0</v>
      </c>
      <c r="G57" s="18">
        <f t="shared" ca="1" si="17"/>
        <v>0</v>
      </c>
      <c r="H57" s="18">
        <f t="shared" ca="1" si="17"/>
        <v>0</v>
      </c>
      <c r="I57" s="6">
        <f t="shared" ca="1" si="17"/>
        <v>0</v>
      </c>
      <c r="J57" s="18">
        <f t="shared" ca="1" si="17"/>
        <v>0</v>
      </c>
      <c r="K57" s="18">
        <f t="shared" ca="1" si="17"/>
        <v>0</v>
      </c>
      <c r="L57" s="18">
        <f t="shared" ca="1" si="17"/>
        <v>0</v>
      </c>
      <c r="M57" s="18">
        <f t="shared" ca="1" si="17"/>
        <v>0</v>
      </c>
      <c r="N57" s="18">
        <f t="shared" ca="1" si="17"/>
        <v>0</v>
      </c>
      <c r="O57" s="18">
        <f t="shared" ca="1" si="17"/>
        <v>0</v>
      </c>
      <c r="P57" s="6">
        <f t="shared" ca="1" si="17"/>
        <v>0</v>
      </c>
      <c r="Q57" s="18">
        <f t="shared" ca="1" si="17"/>
        <v>0</v>
      </c>
      <c r="R57" s="18">
        <f t="shared" ca="1" si="17"/>
        <v>0</v>
      </c>
      <c r="S57" s="18">
        <f t="shared" ca="1" si="17"/>
        <v>0</v>
      </c>
      <c r="T57" s="18">
        <f t="shared" ca="1" si="17"/>
        <v>0</v>
      </c>
      <c r="U57" s="18">
        <f t="shared" ca="1" si="17"/>
        <v>0</v>
      </c>
      <c r="V57" s="18">
        <f t="shared" ca="1" si="17"/>
        <v>0</v>
      </c>
      <c r="W57" s="6">
        <f t="shared" ca="1" si="17"/>
        <v>0</v>
      </c>
    </row>
    <row r="58" spans="1:23" x14ac:dyDescent="0.2">
      <c r="A58" s="1" t="s">
        <v>93</v>
      </c>
      <c r="B58" s="10">
        <f ca="1">I58+P58+W58</f>
        <v>0</v>
      </c>
      <c r="C58" s="18">
        <f ca="1"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D58" s="18">
        <f ca="1"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E58" s="18">
        <f ca="1"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F58" s="18">
        <f ca="1"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G58" s="18">
        <f ca="1"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H58" s="18">
        <f ca="1"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I58" s="6">
        <f ca="1">SUM(C58:H58)</f>
        <v>0</v>
      </c>
      <c r="J58" s="18">
        <f ca="1"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K58" s="18">
        <f ca="1"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L58" s="18">
        <f ca="1"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M58" s="18">
        <f ca="1"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N58" s="18">
        <f ca="1"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O58" s="18">
        <f ca="1"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P58" s="6">
        <f ca="1">SUM(J58:O58)</f>
        <v>0</v>
      </c>
      <c r="Q58" s="18">
        <f ca="1"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R58" s="18">
        <f ca="1"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S58" s="18">
        <f ca="1"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T58" s="18">
        <f ca="1"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U58" s="18">
        <f ca="1"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V58" s="18">
        <f ca="1"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W58" s="6">
        <f ca="1">SUM(Q58:V58)</f>
        <v>0</v>
      </c>
    </row>
    <row r="59" spans="1:23" x14ac:dyDescent="0.2">
      <c r="A59" s="1" t="s">
        <v>125</v>
      </c>
      <c r="B59" s="9">
        <f ca="1">I59+P59+W59</f>
        <v>0</v>
      </c>
      <c r="C59">
        <f t="shared" ref="C59:H60" ca="1" si="18">C26+C35+C44+C53</f>
        <v>0</v>
      </c>
      <c r="D59">
        <f t="shared" ca="1" si="18"/>
        <v>0</v>
      </c>
      <c r="E59">
        <f t="shared" ca="1" si="18"/>
        <v>0</v>
      </c>
      <c r="F59">
        <f t="shared" ca="1" si="18"/>
        <v>0</v>
      </c>
      <c r="G59">
        <f t="shared" ca="1" si="18"/>
        <v>0</v>
      </c>
      <c r="H59">
        <f t="shared" ca="1" si="18"/>
        <v>0</v>
      </c>
      <c r="I59" s="15">
        <f ca="1">SUM(C59:H59)</f>
        <v>0</v>
      </c>
      <c r="J59">
        <f t="shared" ref="J59:O60" ca="1" si="19">J26+J35+J44+J53</f>
        <v>0</v>
      </c>
      <c r="K59">
        <f t="shared" ca="1" si="19"/>
        <v>0</v>
      </c>
      <c r="L59">
        <f t="shared" ca="1" si="19"/>
        <v>0</v>
      </c>
      <c r="M59">
        <f t="shared" ca="1" si="19"/>
        <v>0</v>
      </c>
      <c r="N59">
        <f t="shared" ca="1" si="19"/>
        <v>0</v>
      </c>
      <c r="O59">
        <f t="shared" ca="1" si="19"/>
        <v>0</v>
      </c>
      <c r="P59" s="15">
        <f ca="1">SUM(J59:O59)</f>
        <v>0</v>
      </c>
      <c r="Q59">
        <f t="shared" ref="Q59:V60" ca="1" si="20">Q26+Q35+Q44+Q53</f>
        <v>0</v>
      </c>
      <c r="R59">
        <f t="shared" ca="1" si="20"/>
        <v>0</v>
      </c>
      <c r="S59">
        <f t="shared" ca="1" si="20"/>
        <v>0</v>
      </c>
      <c r="T59">
        <f t="shared" ca="1" si="20"/>
        <v>0</v>
      </c>
      <c r="U59">
        <f t="shared" ca="1" si="20"/>
        <v>0</v>
      </c>
      <c r="V59">
        <f t="shared" ca="1" si="20"/>
        <v>0</v>
      </c>
      <c r="W59" s="15">
        <f ca="1">SUM(Q59:V59)</f>
        <v>0</v>
      </c>
    </row>
    <row r="60" spans="1:23" x14ac:dyDescent="0.2">
      <c r="A60" s="1" t="s">
        <v>126</v>
      </c>
      <c r="B60" s="9">
        <f ca="1">I60+P60+W60</f>
        <v>1</v>
      </c>
      <c r="C60">
        <f t="shared" ca="1" si="18"/>
        <v>0</v>
      </c>
      <c r="D60">
        <f t="shared" ca="1" si="18"/>
        <v>0</v>
      </c>
      <c r="E60">
        <f t="shared" ca="1" si="18"/>
        <v>0</v>
      </c>
      <c r="F60">
        <f t="shared" ca="1" si="18"/>
        <v>0</v>
      </c>
      <c r="G60">
        <f t="shared" ca="1" si="18"/>
        <v>0</v>
      </c>
      <c r="H60">
        <f t="shared" ca="1" si="18"/>
        <v>0</v>
      </c>
      <c r="I60" s="15">
        <f ca="1">SUM(C60:H60)</f>
        <v>0</v>
      </c>
      <c r="J60">
        <f t="shared" ca="1" si="19"/>
        <v>0</v>
      </c>
      <c r="K60">
        <f t="shared" ca="1" si="19"/>
        <v>0</v>
      </c>
      <c r="L60">
        <f t="shared" ca="1" si="19"/>
        <v>0</v>
      </c>
      <c r="M60">
        <f t="shared" ca="1" si="19"/>
        <v>0</v>
      </c>
      <c r="N60">
        <f t="shared" ca="1" si="19"/>
        <v>0</v>
      </c>
      <c r="O60">
        <f t="shared" ca="1" si="19"/>
        <v>0</v>
      </c>
      <c r="P60" s="15">
        <f ca="1">SUM(J60:O60)</f>
        <v>0</v>
      </c>
      <c r="Q60">
        <f t="shared" ca="1" si="20"/>
        <v>0</v>
      </c>
      <c r="R60">
        <f t="shared" ca="1" si="20"/>
        <v>1</v>
      </c>
      <c r="S60">
        <f t="shared" ca="1" si="20"/>
        <v>0</v>
      </c>
      <c r="T60">
        <f t="shared" ca="1" si="20"/>
        <v>0</v>
      </c>
      <c r="U60">
        <f t="shared" ca="1" si="20"/>
        <v>0</v>
      </c>
      <c r="V60">
        <f t="shared" ca="1" si="20"/>
        <v>0</v>
      </c>
      <c r="W60" s="15">
        <f ca="1">SUM(Q60:V60)</f>
        <v>1</v>
      </c>
    </row>
    <row r="61" spans="1:23" x14ac:dyDescent="0.2">
      <c r="A61" s="7" t="s">
        <v>127</v>
      </c>
      <c r="B61" s="10">
        <f ca="1">I61+P61+W61</f>
        <v>0</v>
      </c>
      <c r="C61" s="18">
        <f t="shared" ref="C61:H61" ca="1" si="21">C31+C40+C49+C58</f>
        <v>0</v>
      </c>
      <c r="D61" s="18">
        <f t="shared" ca="1" si="21"/>
        <v>0</v>
      </c>
      <c r="E61" s="18">
        <f t="shared" ca="1" si="21"/>
        <v>0</v>
      </c>
      <c r="F61" s="18">
        <f t="shared" ca="1" si="21"/>
        <v>0</v>
      </c>
      <c r="G61" s="18">
        <f t="shared" ca="1" si="21"/>
        <v>0</v>
      </c>
      <c r="H61" s="18">
        <f t="shared" ca="1" si="21"/>
        <v>0</v>
      </c>
      <c r="I61" s="6">
        <f ca="1">SUM(C61:H61)</f>
        <v>0</v>
      </c>
      <c r="J61" s="18">
        <f t="shared" ref="J61:O61" ca="1" si="22">J31+J40+J49+J58</f>
        <v>0</v>
      </c>
      <c r="K61" s="18">
        <f t="shared" ca="1" si="22"/>
        <v>0</v>
      </c>
      <c r="L61" s="18">
        <f t="shared" ca="1" si="22"/>
        <v>0</v>
      </c>
      <c r="M61" s="18">
        <f t="shared" ca="1" si="22"/>
        <v>0</v>
      </c>
      <c r="N61" s="18">
        <f t="shared" ca="1" si="22"/>
        <v>0</v>
      </c>
      <c r="O61" s="18">
        <f t="shared" ca="1" si="22"/>
        <v>0</v>
      </c>
      <c r="P61" s="6">
        <f ca="1">SUM(J61:O61)</f>
        <v>0</v>
      </c>
      <c r="Q61" s="18">
        <f t="shared" ref="Q61:V61" ca="1" si="23">Q31+Q40+Q49+Q58</f>
        <v>0</v>
      </c>
      <c r="R61" s="18">
        <f t="shared" ca="1" si="23"/>
        <v>0</v>
      </c>
      <c r="S61" s="18">
        <f t="shared" ca="1" si="23"/>
        <v>0</v>
      </c>
      <c r="T61" s="18">
        <f t="shared" ca="1" si="23"/>
        <v>0</v>
      </c>
      <c r="U61" s="18">
        <f t="shared" ca="1" si="23"/>
        <v>0</v>
      </c>
      <c r="V61" s="18">
        <f t="shared" ca="1" si="23"/>
        <v>0</v>
      </c>
      <c r="W61" s="6">
        <f ca="1">SUM(Q61:V61)</f>
        <v>0</v>
      </c>
    </row>
    <row r="62" spans="1:23" x14ac:dyDescent="0.2">
      <c r="B62" s="9"/>
    </row>
    <row r="63" spans="1:23" x14ac:dyDescent="0.2">
      <c r="A63" s="1" t="s">
        <v>101</v>
      </c>
      <c r="B63" s="11">
        <f t="shared" ref="B63:W63" ca="1" si="24">IF(B19=0,0,B64/B19)</f>
        <v>0</v>
      </c>
      <c r="C63" s="8">
        <f t="shared" ca="1" si="24"/>
        <v>0</v>
      </c>
      <c r="D63" s="8">
        <f t="shared" ca="1" si="24"/>
        <v>0</v>
      </c>
      <c r="E63" s="8">
        <f t="shared" ca="1" si="24"/>
        <v>0</v>
      </c>
      <c r="F63" s="8">
        <f t="shared" ca="1" si="24"/>
        <v>0</v>
      </c>
      <c r="G63" s="8">
        <f t="shared" ca="1" si="24"/>
        <v>0</v>
      </c>
      <c r="H63" s="8">
        <f t="shared" ca="1" si="24"/>
        <v>0</v>
      </c>
      <c r="I63" s="20">
        <f t="shared" ca="1" si="24"/>
        <v>0</v>
      </c>
      <c r="J63" s="8">
        <f t="shared" ca="1" si="24"/>
        <v>0</v>
      </c>
      <c r="K63" s="8">
        <f t="shared" ca="1" si="24"/>
        <v>0</v>
      </c>
      <c r="L63" s="8">
        <f t="shared" ca="1" si="24"/>
        <v>0</v>
      </c>
      <c r="M63" s="8">
        <f t="shared" ca="1" si="24"/>
        <v>0</v>
      </c>
      <c r="N63" s="8">
        <f t="shared" ca="1" si="24"/>
        <v>0</v>
      </c>
      <c r="O63" s="8">
        <f t="shared" ca="1" si="24"/>
        <v>0</v>
      </c>
      <c r="P63" s="20">
        <f t="shared" ca="1" si="24"/>
        <v>0</v>
      </c>
      <c r="Q63" s="19">
        <f t="shared" ca="1" si="24"/>
        <v>0</v>
      </c>
      <c r="R63" s="19">
        <f t="shared" ca="1" si="24"/>
        <v>0</v>
      </c>
      <c r="S63" s="19">
        <f t="shared" ca="1" si="24"/>
        <v>0</v>
      </c>
      <c r="T63" s="19">
        <f t="shared" ca="1" si="24"/>
        <v>0</v>
      </c>
      <c r="U63" s="19">
        <f t="shared" ca="1" si="24"/>
        <v>0</v>
      </c>
      <c r="V63" s="19">
        <f t="shared" ca="1" si="24"/>
        <v>0</v>
      </c>
      <c r="W63" s="20">
        <f t="shared" ca="1" si="24"/>
        <v>0</v>
      </c>
    </row>
    <row r="64" spans="1:23" x14ac:dyDescent="0.2">
      <c r="A64" s="1" t="s">
        <v>102</v>
      </c>
      <c r="B64" s="9">
        <f ca="1">I64+P64+W64</f>
        <v>0</v>
      </c>
      <c r="C64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""),"Prepay")</f>
        <v>0</v>
      </c>
      <c r="D64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""),"Prepay")</f>
        <v>0</v>
      </c>
      <c r="E64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""),"Prepay")</f>
        <v>0</v>
      </c>
      <c r="F64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""),"Prepay")</f>
        <v>0</v>
      </c>
      <c r="G64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""),"Prepay")</f>
        <v>0</v>
      </c>
      <c r="H64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""),"Prepay")</f>
        <v>0</v>
      </c>
      <c r="I64" s="15">
        <f ca="1">SUM(C64:H64)</f>
        <v>0</v>
      </c>
      <c r="J64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""),"Prepay")</f>
        <v>0</v>
      </c>
      <c r="K64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""),"Prepay")</f>
        <v>0</v>
      </c>
      <c r="L64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""),"Prepay")</f>
        <v>0</v>
      </c>
      <c r="M64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""),"Prepay")</f>
        <v>0</v>
      </c>
      <c r="N64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""),"Prepay")</f>
        <v>0</v>
      </c>
      <c r="O64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""),"Prepay")</f>
        <v>0</v>
      </c>
      <c r="P64" s="15">
        <f ca="1">SUM(J64:O64)</f>
        <v>0</v>
      </c>
      <c r="Q64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""),"Prepay")</f>
        <v>0</v>
      </c>
      <c r="R64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""),"Prepay")</f>
        <v>0</v>
      </c>
      <c r="S64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""),"Prepay")</f>
        <v>0</v>
      </c>
      <c r="T64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""),"Prepay")</f>
        <v>0</v>
      </c>
      <c r="U64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""),"Prepay")</f>
        <v>0</v>
      </c>
      <c r="V64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""),"Prepay")</f>
        <v>0</v>
      </c>
      <c r="W64" s="15">
        <f ca="1">SUM(Q64:V64)</f>
        <v>0</v>
      </c>
    </row>
    <row r="65" spans="1:23" x14ac:dyDescent="0.2">
      <c r="A65" s="1" t="s">
        <v>103</v>
      </c>
      <c r="B65" s="11">
        <f t="shared" ref="B65:W65" ca="1" si="25">IF(B64=0,0,B66/B64)</f>
        <v>0</v>
      </c>
      <c r="C65" s="8">
        <f t="shared" ca="1" si="25"/>
        <v>0</v>
      </c>
      <c r="D65" s="8">
        <f t="shared" ca="1" si="25"/>
        <v>0</v>
      </c>
      <c r="E65" s="8">
        <f t="shared" ca="1" si="25"/>
        <v>0</v>
      </c>
      <c r="F65" s="8">
        <f t="shared" ca="1" si="25"/>
        <v>0</v>
      </c>
      <c r="G65" s="8">
        <f t="shared" ca="1" si="25"/>
        <v>0</v>
      </c>
      <c r="H65" s="8">
        <f t="shared" ca="1" si="25"/>
        <v>0</v>
      </c>
      <c r="I65" s="20">
        <f t="shared" ca="1" si="25"/>
        <v>0</v>
      </c>
      <c r="J65" s="8">
        <f t="shared" ca="1" si="25"/>
        <v>0</v>
      </c>
      <c r="K65" s="8">
        <f t="shared" ca="1" si="25"/>
        <v>0</v>
      </c>
      <c r="L65" s="8">
        <f t="shared" ca="1" si="25"/>
        <v>0</v>
      </c>
      <c r="M65" s="8">
        <f t="shared" ca="1" si="25"/>
        <v>0</v>
      </c>
      <c r="N65" s="8">
        <f t="shared" ca="1" si="25"/>
        <v>0</v>
      </c>
      <c r="O65" s="8">
        <f t="shared" ca="1" si="25"/>
        <v>0</v>
      </c>
      <c r="P65" s="20">
        <f t="shared" ca="1" si="25"/>
        <v>0</v>
      </c>
      <c r="Q65" s="8">
        <f t="shared" ca="1" si="25"/>
        <v>0</v>
      </c>
      <c r="R65" s="8">
        <f t="shared" ca="1" si="25"/>
        <v>0</v>
      </c>
      <c r="S65" s="8">
        <f t="shared" ca="1" si="25"/>
        <v>0</v>
      </c>
      <c r="T65" s="8">
        <f t="shared" ca="1" si="25"/>
        <v>0</v>
      </c>
      <c r="U65" s="8">
        <f t="shared" ca="1" si="25"/>
        <v>0</v>
      </c>
      <c r="V65" s="8">
        <f t="shared" ca="1" si="25"/>
        <v>0</v>
      </c>
      <c r="W65" s="20">
        <f t="shared" ca="1" si="25"/>
        <v>0</v>
      </c>
    </row>
    <row r="66" spans="1:23" x14ac:dyDescent="0.2">
      <c r="A66" s="1" t="s">
        <v>104</v>
      </c>
      <c r="B66" s="9">
        <f ca="1">I66+P66+W66</f>
        <v>0</v>
      </c>
      <c r="C66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""),"Prepay",INDIRECT("Accounts!$C$2:$C$" &amp; CountsForFormulas!$D$3 &amp; ""),"Lost")</f>
        <v>0</v>
      </c>
      <c r="D66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""),"Prepay",INDIRECT("Accounts!$C$2:$C$" &amp; CountsForFormulas!$D$3 &amp; ""),"Lost")</f>
        <v>0</v>
      </c>
      <c r="E66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""),"Prepay",INDIRECT("Accounts!$C$2:$C$" &amp; CountsForFormulas!$D$3 &amp; ""),"Lost")</f>
        <v>0</v>
      </c>
      <c r="F66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""),"Prepay",INDIRECT("Accounts!$C$2:$C$" &amp; CountsForFormulas!$D$3 &amp; ""),"Lost")</f>
        <v>0</v>
      </c>
      <c r="G66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""),"Prepay",INDIRECT("Accounts!$C$2:$C$" &amp; CountsForFormulas!$D$3 &amp; ""),"Lost")</f>
        <v>0</v>
      </c>
      <c r="H66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""),"Prepay",INDIRECT("Accounts!$C$2:$C$" &amp; CountsForFormulas!$D$3 &amp; ""),"Lost")</f>
        <v>0</v>
      </c>
      <c r="I66" s="15">
        <f ca="1">SUM(C66:H66)</f>
        <v>0</v>
      </c>
      <c r="J66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""),"Prepay",INDIRECT("Accounts!$C$2:$C$" &amp; CountsForFormulas!$D$3 &amp; ""),"Lost")</f>
        <v>0</v>
      </c>
      <c r="K66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""),"Prepay",INDIRECT("Accounts!$C$2:$C$" &amp; CountsForFormulas!$D$3 &amp; ""),"Lost")</f>
        <v>0</v>
      </c>
      <c r="L66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""),"Prepay",INDIRECT("Accounts!$C$2:$C$" &amp; CountsForFormulas!$D$3 &amp; ""),"Lost")</f>
        <v>0</v>
      </c>
      <c r="M66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""),"Prepay",INDIRECT("Accounts!$C$2:$C$" &amp; CountsForFormulas!$D$3 &amp; ""),"Lost")</f>
        <v>0</v>
      </c>
      <c r="N66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""),"Prepay",INDIRECT("Accounts!$C$2:$C$" &amp; CountsForFormulas!$D$3 &amp; ""),"Lost")</f>
        <v>0</v>
      </c>
      <c r="O66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""),"Prepay",INDIRECT("Accounts!$C$2:$C$" &amp; CountsForFormulas!$D$3 &amp; ""),"Lost")</f>
        <v>0</v>
      </c>
      <c r="P66" s="15">
        <f ca="1">SUM(J66:O66)</f>
        <v>0</v>
      </c>
      <c r="Q66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""),"Prepay",INDIRECT("Accounts!$C$2:$C$" &amp; CountsForFormulas!$D$3 &amp; ""),"Lost")</f>
        <v>0</v>
      </c>
      <c r="R66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""),"Prepay",INDIRECT("Accounts!$C$2:$C$" &amp; CountsForFormulas!$D$3 &amp; ""),"Lost")</f>
        <v>0</v>
      </c>
      <c r="S66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""),"Prepay",INDIRECT("Accounts!$C$2:$C$" &amp; CountsForFormulas!$D$3 &amp; ""),"Lost")</f>
        <v>0</v>
      </c>
      <c r="T66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""),"Prepay",INDIRECT("Accounts!$C$2:$C$" &amp; CountsForFormulas!$D$3 &amp; ""),"Lost")</f>
        <v>0</v>
      </c>
      <c r="U66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""),"Prepay",INDIRECT("Accounts!$C$2:$C$" &amp; CountsForFormulas!$D$3 &amp; ""),"Lost")</f>
        <v>0</v>
      </c>
      <c r="V66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""),"Prepay",INDIRECT("Accounts!$C$2:$C$" &amp; CountsForFormulas!$D$3 &amp; ""),"Lost")</f>
        <v>0</v>
      </c>
      <c r="W66" s="15">
        <f ca="1">SUM(Q66:V66)</f>
        <v>0</v>
      </c>
    </row>
    <row r="67" spans="1:23" x14ac:dyDescent="0.2">
      <c r="A67" s="1" t="s">
        <v>105</v>
      </c>
      <c r="B67" s="9">
        <f ca="1">I67+P67+W67</f>
        <v>0</v>
      </c>
      <c r="C67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D67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E67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F67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G67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H67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I67" s="15">
        <f ca="1">SUM(C67:H67)</f>
        <v>0</v>
      </c>
      <c r="J67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K67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L67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M67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N67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O67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P67" s="15">
        <f ca="1">SUM(J67:O67)</f>
        <v>0</v>
      </c>
      <c r="Q67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R67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S67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T67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U67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V67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W67" s="15">
        <f ca="1">SUM(Q67:V67)</f>
        <v>0</v>
      </c>
    </row>
    <row r="68" spans="1:23" x14ac:dyDescent="0.2">
      <c r="A68" s="2" t="s">
        <v>75</v>
      </c>
      <c r="B68" s="13">
        <f ca="1">IF(B67=0,0,SUMIFS(INDIRECT("Accounts!$L$2:$L$"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""),"Prepay")/B67)</f>
        <v>0</v>
      </c>
      <c r="C68" s="4">
        <f ca="1">IF(C67=0,0,SUMIFS(INDIRECT("Accounts!$L$2:$L$"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""),"Prepay")/C67)</f>
        <v>0</v>
      </c>
      <c r="D68" s="4">
        <f ca="1">IF(D67=0,0,SUMIFS(INDIRECT("Accounts!$L$2:$L$"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""),"Prepay")/D67)</f>
        <v>0</v>
      </c>
      <c r="E68" s="4">
        <f ca="1">IF(E67=0,0,SUMIFS(INDIRECT("Accounts!$L$2:$L$"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""),"Prepay")/E67)</f>
        <v>0</v>
      </c>
      <c r="F68" s="4">
        <f ca="1">IF(F67=0,0,SUMIFS(INDIRECT("Accounts!$L$2:$L$"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""),"Prepay")/F67)</f>
        <v>0</v>
      </c>
      <c r="G68" s="4">
        <f ca="1">IF(G67=0,0,SUMIFS(INDIRECT("Accounts!$L$2:$L$"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""),"Prepay")/G67)</f>
        <v>0</v>
      </c>
      <c r="H68" s="4">
        <f ca="1">IF(H67=0,0,SUMIFS(INDIRECT("Accounts!$L$2:$L$"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""),"Prepay")/H67)</f>
        <v>0</v>
      </c>
      <c r="I68" s="5">
        <f ca="1">IF(I67=0,0,SUMIFS(INDIRECT("Accounts!$L$2:$L$"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""),"Prepay")/I67)</f>
        <v>0</v>
      </c>
      <c r="J68" s="4">
        <f ca="1">IF(J67=0,0,SUMIFS(INDIRECT("Accounts!$L$2:$L$"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""),"Prepay")/J67)</f>
        <v>0</v>
      </c>
      <c r="K68" s="4">
        <f ca="1">IF(K67=0,0,SUMIFS(INDIRECT("Accounts!$L$2:$L$"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""),"Prepay")/K67)</f>
        <v>0</v>
      </c>
      <c r="L68" s="4">
        <f ca="1">IF(L67=0,0,SUMIFS(INDIRECT("Accounts!$L$2:$L$"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""),"Prepay")/L67)</f>
        <v>0</v>
      </c>
      <c r="M68" s="4">
        <f ca="1">IF(M67=0,0,SUMIFS(INDIRECT("Accounts!$L$2:$L$"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""),"Prepay")/M67)</f>
        <v>0</v>
      </c>
      <c r="N68" s="4">
        <f ca="1">IF(N67=0,0,SUMIFS(INDIRECT("Accounts!$L$2:$L$"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""),"Prepay")/N67)</f>
        <v>0</v>
      </c>
      <c r="O68" s="4">
        <f ca="1">IF(O67=0,0,SUMIFS(INDIRECT("Accounts!$L$2:$L$"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""),"Prepay")/O67)</f>
        <v>0</v>
      </c>
      <c r="P68" s="5">
        <f ca="1">IF(P67=0,0,SUMIFS(INDIRECT("Accounts!$L$2:$L$"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""),"Prepay")/P67)</f>
        <v>0</v>
      </c>
      <c r="Q68" s="4">
        <f ca="1">IF(Q67=0,0,SUMIFS(INDIRECT("Accounts!$L$2:$L$"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""),"Prepay")/Q67)</f>
        <v>0</v>
      </c>
      <c r="R68" s="4">
        <f ca="1">IF(R67=0,0,SUMIFS(INDIRECT("Accounts!$L$2:$L$"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""),"Prepay")/R67)</f>
        <v>0</v>
      </c>
      <c r="S68" s="4">
        <f ca="1">IF(S67=0,0,SUMIFS(INDIRECT("Accounts!$L$2:$L$"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""),"Prepay")/S67)</f>
        <v>0</v>
      </c>
      <c r="T68" s="4">
        <f ca="1">IF(T67=0,0,SUMIFS(INDIRECT("Accounts!$L$2:$L$"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""),"Prepay")/T67)</f>
        <v>0</v>
      </c>
      <c r="U68" s="4">
        <f ca="1">IF(U67=0,0,SUMIFS(INDIRECT("Accounts!$L$2:$L$"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""),"Prepay")/U67)</f>
        <v>0</v>
      </c>
      <c r="V68" s="4">
        <f ca="1">IF(V67=0,0,SUMIFS(INDIRECT("Accounts!$L$2:$L$"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""),"Prepay")/V67)</f>
        <v>0</v>
      </c>
      <c r="W68" s="5">
        <f ca="1">IF(W67=0,0,SUMIFS(INDIRECT("Accounts!$L$2:$L$"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""),"Prepay")/W67)</f>
        <v>0</v>
      </c>
    </row>
    <row r="69" spans="1:23" x14ac:dyDescent="0.2">
      <c r="A69" s="2" t="s">
        <v>76</v>
      </c>
      <c r="B69" s="13">
        <f ca="1">IF(B67=0,0,SUMIFS(INDIRECT("Accounts!$M$2:$M$"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""),"Prepay")/B67)</f>
        <v>0</v>
      </c>
      <c r="C69" s="4">
        <f ca="1">IF(C67=0,0,SUMIFS(INDIRECT("Accounts!$M$2:$M$"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""),"Prepay")/C67)</f>
        <v>0</v>
      </c>
      <c r="D69" s="4">
        <f ca="1">IF(D67=0,0,SUMIFS(INDIRECT("Accounts!$M$2:$M$"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""),"Prepay")/D67)</f>
        <v>0</v>
      </c>
      <c r="E69" s="4">
        <f ca="1">IF(E67=0,0,SUMIFS(INDIRECT("Accounts!$M$2:$M$"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""),"Prepay")/E67)</f>
        <v>0</v>
      </c>
      <c r="F69" s="4">
        <f ca="1">IF(F67=0,0,SUMIFS(INDIRECT("Accounts!$M$2:$M$"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""),"Prepay")/F67)</f>
        <v>0</v>
      </c>
      <c r="G69" s="4">
        <f ca="1">IF(G67=0,0,SUMIFS(INDIRECT("Accounts!$M$2:$M$"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""),"Prepay")/G67)</f>
        <v>0</v>
      </c>
      <c r="H69" s="4">
        <f ca="1">IF(H67=0,0,SUMIFS(INDIRECT("Accounts!$M$2:$M$"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""),"Prepay")/H67)</f>
        <v>0</v>
      </c>
      <c r="I69" s="5">
        <f ca="1">IF(I67=0,0,SUMIFS(INDIRECT("Accounts!$M$2:$M$"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""),"Prepay")/I67)</f>
        <v>0</v>
      </c>
      <c r="J69" s="4">
        <f ca="1">IF(J67=0,0,SUMIFS(INDIRECT("Accounts!$M$2:$M$"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""),"Prepay")/J67)</f>
        <v>0</v>
      </c>
      <c r="K69" s="4">
        <f ca="1">IF(K67=0,0,SUMIFS(INDIRECT("Accounts!$M$2:$M$"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""),"Prepay")/K67)</f>
        <v>0</v>
      </c>
      <c r="L69" s="4">
        <f ca="1">IF(L67=0,0,SUMIFS(INDIRECT("Accounts!$M$2:$M$"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""),"Prepay")/L67)</f>
        <v>0</v>
      </c>
      <c r="M69" s="4">
        <f ca="1">IF(M67=0,0,SUMIFS(INDIRECT("Accounts!$M$2:$M$"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""),"Prepay")/M67)</f>
        <v>0</v>
      </c>
      <c r="N69" s="4">
        <f ca="1">IF(N67=0,0,SUMIFS(INDIRECT("Accounts!$M$2:$M$"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""),"Prepay")/N67)</f>
        <v>0</v>
      </c>
      <c r="O69" s="4">
        <f ca="1">IF(O67=0,0,SUMIFS(INDIRECT("Accounts!$M$2:$M$"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""),"Prepay")/O67)</f>
        <v>0</v>
      </c>
      <c r="P69" s="5">
        <f ca="1">IF(P67=0,0,SUMIFS(INDIRECT("Accounts!$M$2:$M$"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""),"Prepay")/P67)</f>
        <v>0</v>
      </c>
      <c r="Q69" s="4">
        <f ca="1">IF(Q67=0,0,SUMIFS(INDIRECT("Accounts!$M$2:$M$"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""),"Prepay")/Q67)</f>
        <v>0</v>
      </c>
      <c r="R69" s="4">
        <f ca="1">IF(R67=0,0,SUMIFS(INDIRECT("Accounts!$M$2:$M$"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""),"Prepay")/R67)</f>
        <v>0</v>
      </c>
      <c r="S69" s="4">
        <f ca="1">IF(S67=0,0,SUMIFS(INDIRECT("Accounts!$M$2:$M$"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""),"Prepay")/S67)</f>
        <v>0</v>
      </c>
      <c r="T69" s="4">
        <f ca="1">IF(T67=0,0,SUMIFS(INDIRECT("Accounts!$M$2:$M$"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""),"Prepay")/T67)</f>
        <v>0</v>
      </c>
      <c r="U69" s="4">
        <f ca="1">IF(U67=0,0,SUMIFS(INDIRECT("Accounts!$M$2:$M$"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""),"Prepay")/U67)</f>
        <v>0</v>
      </c>
      <c r="V69" s="4">
        <f ca="1">IF(V67=0,0,SUMIFS(INDIRECT("Accounts!$M$2:$M$"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""),"Prepay")/V67)</f>
        <v>0</v>
      </c>
      <c r="W69" s="5">
        <f ca="1">IF(W67=0,0,SUMIFS(INDIRECT("Accounts!$M$2:$M$"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""),"Prepay")/W67)</f>
        <v>0</v>
      </c>
    </row>
    <row r="70" spans="1:23" x14ac:dyDescent="0.2">
      <c r="A70" s="1" t="s">
        <v>106</v>
      </c>
      <c r="B70" s="10">
        <f t="shared" ref="B70:W70" ca="1" si="26">IF(B67=0,0,B71/B67)</f>
        <v>0</v>
      </c>
      <c r="C70" s="18">
        <f t="shared" ca="1" si="26"/>
        <v>0</v>
      </c>
      <c r="D70" s="18">
        <f t="shared" ca="1" si="26"/>
        <v>0</v>
      </c>
      <c r="E70" s="18">
        <f t="shared" ca="1" si="26"/>
        <v>0</v>
      </c>
      <c r="F70" s="18">
        <f t="shared" ca="1" si="26"/>
        <v>0</v>
      </c>
      <c r="G70" s="18">
        <f t="shared" ca="1" si="26"/>
        <v>0</v>
      </c>
      <c r="H70" s="18">
        <f t="shared" ca="1" si="26"/>
        <v>0</v>
      </c>
      <c r="I70" s="6">
        <f t="shared" ca="1" si="26"/>
        <v>0</v>
      </c>
      <c r="J70" s="18">
        <f t="shared" ca="1" si="26"/>
        <v>0</v>
      </c>
      <c r="K70" s="18">
        <f t="shared" ca="1" si="26"/>
        <v>0</v>
      </c>
      <c r="L70" s="18">
        <f t="shared" ca="1" si="26"/>
        <v>0</v>
      </c>
      <c r="M70" s="18">
        <f t="shared" ca="1" si="26"/>
        <v>0</v>
      </c>
      <c r="N70" s="18">
        <f t="shared" ca="1" si="26"/>
        <v>0</v>
      </c>
      <c r="O70" s="18">
        <f t="shared" ca="1" si="26"/>
        <v>0</v>
      </c>
      <c r="P70" s="6">
        <f t="shared" ca="1" si="26"/>
        <v>0</v>
      </c>
      <c r="Q70" s="18">
        <f t="shared" ca="1" si="26"/>
        <v>0</v>
      </c>
      <c r="R70" s="18">
        <f t="shared" ca="1" si="26"/>
        <v>0</v>
      </c>
      <c r="S70" s="18">
        <f t="shared" ca="1" si="26"/>
        <v>0</v>
      </c>
      <c r="T70" s="18">
        <f t="shared" ca="1" si="26"/>
        <v>0</v>
      </c>
      <c r="U70" s="18">
        <f t="shared" ca="1" si="26"/>
        <v>0</v>
      </c>
      <c r="V70" s="18">
        <f t="shared" ca="1" si="26"/>
        <v>0</v>
      </c>
      <c r="W70" s="6">
        <f t="shared" ca="1" si="26"/>
        <v>0</v>
      </c>
    </row>
    <row r="71" spans="1:23" x14ac:dyDescent="0.2">
      <c r="A71" s="7" t="s">
        <v>107</v>
      </c>
      <c r="B71" s="10">
        <f ca="1">I71+P71+W71</f>
        <v>0</v>
      </c>
      <c r="C71" s="18">
        <f ca="1"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""),"Prepay")</f>
        <v>0</v>
      </c>
      <c r="D71" s="18">
        <f ca="1"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""),"Prepay")</f>
        <v>0</v>
      </c>
      <c r="E71" s="18">
        <f ca="1"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""),"Prepay")</f>
        <v>0</v>
      </c>
      <c r="F71" s="18">
        <f ca="1"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""),"Prepay")</f>
        <v>0</v>
      </c>
      <c r="G71" s="18">
        <f ca="1"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""),"Prepay")</f>
        <v>0</v>
      </c>
      <c r="H71" s="18">
        <f ca="1"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""),"Prepay")</f>
        <v>0</v>
      </c>
      <c r="I71" s="6">
        <f ca="1">SUM(C71:H71)</f>
        <v>0</v>
      </c>
      <c r="J71" s="18">
        <f ca="1"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""),"Prepay")</f>
        <v>0</v>
      </c>
      <c r="K71" s="18">
        <f ca="1"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""),"Prepay")</f>
        <v>0</v>
      </c>
      <c r="L71" s="18">
        <f ca="1"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""),"Prepay")</f>
        <v>0</v>
      </c>
      <c r="M71" s="18">
        <f ca="1"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""),"Prepay")</f>
        <v>0</v>
      </c>
      <c r="N71" s="18">
        <f ca="1"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""),"Prepay")</f>
        <v>0</v>
      </c>
      <c r="O71" s="18">
        <f ca="1"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""),"Prepay")</f>
        <v>0</v>
      </c>
      <c r="P71" s="6">
        <f ca="1">SUM(J71:O71)</f>
        <v>0</v>
      </c>
      <c r="Q71" s="18">
        <f ca="1"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""),"Prepay")</f>
        <v>0</v>
      </c>
      <c r="R71" s="18">
        <f ca="1"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""),"Prepay")</f>
        <v>0</v>
      </c>
      <c r="S71" s="18">
        <f ca="1"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""),"Prepay")</f>
        <v>0</v>
      </c>
      <c r="T71" s="18">
        <f ca="1"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""),"Prepay")</f>
        <v>0</v>
      </c>
      <c r="U71" s="18">
        <f ca="1"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""),"Prepay")</f>
        <v>0</v>
      </c>
      <c r="V71" s="18">
        <f ca="1"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""),"Prepay")</f>
        <v>0</v>
      </c>
      <c r="W71" s="6">
        <f ca="1">SUM(Q71:V71)</f>
        <v>0</v>
      </c>
    </row>
    <row r="72" spans="1:23" x14ac:dyDescent="0.2">
      <c r="A72" s="1"/>
      <c r="B72" s="9"/>
    </row>
    <row r="73" spans="1:23" x14ac:dyDescent="0.2">
      <c r="A73" s="1" t="s">
        <v>109</v>
      </c>
      <c r="B73" s="9">
        <f ca="1">I73+P73+W73</f>
        <v>0</v>
      </c>
      <c r="C73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""),"Customer",INDIRECT("Accounts!$C$2:$C$" &amp; CountsForFormulas!$D$3 &amp; ""),"Lost")</f>
        <v>0</v>
      </c>
      <c r="D73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""),"Customer",INDIRECT("Accounts!$C$2:$C$" &amp; CountsForFormulas!$D$3 &amp; ""),"Lost")</f>
        <v>0</v>
      </c>
      <c r="E73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""),"Customer",INDIRECT("Accounts!$C$2:$C$" &amp; CountsForFormulas!$D$3 &amp; ""),"Lost")</f>
        <v>0</v>
      </c>
      <c r="F73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""),"Customer",INDIRECT("Accounts!$C$2:$C$" &amp; CountsForFormulas!$D$3 &amp; ""),"Lost")</f>
        <v>0</v>
      </c>
      <c r="G73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""),"Customer",INDIRECT("Accounts!$C$2:$C$" &amp; CountsForFormulas!$D$3 &amp; ""),"Lost")</f>
        <v>0</v>
      </c>
      <c r="H73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""),"Customer",INDIRECT("Accounts!$C$2:$C$" &amp; CountsForFormulas!$D$3 &amp; ""),"Lost")</f>
        <v>0</v>
      </c>
      <c r="I73" s="15">
        <f ca="1">SUM(C73:H73)</f>
        <v>0</v>
      </c>
      <c r="J73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""),"Customer",INDIRECT("Accounts!$C$2:$C$" &amp; CountsForFormulas!$D$3 &amp; ""),"Lost")</f>
        <v>0</v>
      </c>
      <c r="K73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""),"Customer",INDIRECT("Accounts!$C$2:$C$" &amp; CountsForFormulas!$D$3 &amp; ""),"Lost")</f>
        <v>0</v>
      </c>
      <c r="L73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""),"Customer",INDIRECT("Accounts!$C$2:$C$" &amp; CountsForFormulas!$D$3 &amp; ""),"Lost")</f>
        <v>0</v>
      </c>
      <c r="M73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""),"Customer",INDIRECT("Accounts!$C$2:$C$" &amp; CountsForFormulas!$D$3 &amp; ""),"Lost")</f>
        <v>0</v>
      </c>
      <c r="N73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""),"Customer",INDIRECT("Accounts!$C$2:$C$" &amp; CountsForFormulas!$D$3 &amp; ""),"Lost")</f>
        <v>0</v>
      </c>
      <c r="O73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""),"Customer",INDIRECT("Accounts!$C$2:$C$" &amp; CountsForFormulas!$D$3 &amp; ""),"Lost")</f>
        <v>0</v>
      </c>
      <c r="P73" s="15">
        <f ca="1">SUM(J73:O73)</f>
        <v>0</v>
      </c>
      <c r="Q73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""),"Customer",INDIRECT("Accounts!$C$2:$C$" &amp; CountsForFormulas!$D$3 &amp; ""),"Lost")</f>
        <v>0</v>
      </c>
      <c r="R73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""),"Customer",INDIRECT("Accounts!$C$2:$C$" &amp; CountsForFormulas!$D$3 &amp; ""),"Lost")</f>
        <v>0</v>
      </c>
      <c r="S73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""),"Customer",INDIRECT("Accounts!$C$2:$C$" &amp; CountsForFormulas!$D$3 &amp; ""),"Lost")</f>
        <v>0</v>
      </c>
      <c r="T73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""),"Customer",INDIRECT("Accounts!$C$2:$C$" &amp; CountsForFormulas!$D$3 &amp; ""),"Lost")</f>
        <v>0</v>
      </c>
      <c r="U73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""),"Customer",INDIRECT("Accounts!$C$2:$C$" &amp; CountsForFormulas!$D$3 &amp; ""),"Lost")</f>
        <v>0</v>
      </c>
      <c r="V73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""),"Customer",INDIRECT("Accounts!$C$2:$C$" &amp; CountsForFormulas!$D$3 &amp; ""),"Lost")</f>
        <v>0</v>
      </c>
      <c r="W73" s="15">
        <f ca="1">SUM(Q73:V73)</f>
        <v>0</v>
      </c>
    </row>
    <row r="74" spans="1:23" x14ac:dyDescent="0.2">
      <c r="A74" s="1" t="s">
        <v>110</v>
      </c>
      <c r="B74" s="11">
        <f t="shared" ref="B74:W74" ca="1" si="27">IF(B73=0,0,B75/B73)</f>
        <v>0</v>
      </c>
      <c r="C74" s="8">
        <f t="shared" ca="1" si="27"/>
        <v>0</v>
      </c>
      <c r="D74" s="8">
        <f t="shared" ca="1" si="27"/>
        <v>0</v>
      </c>
      <c r="E74" s="8">
        <f t="shared" ca="1" si="27"/>
        <v>0</v>
      </c>
      <c r="F74" s="8">
        <f t="shared" ca="1" si="27"/>
        <v>0</v>
      </c>
      <c r="G74" s="8">
        <f t="shared" ca="1" si="27"/>
        <v>0</v>
      </c>
      <c r="H74" s="8">
        <f t="shared" ca="1" si="27"/>
        <v>0</v>
      </c>
      <c r="I74" s="20">
        <f t="shared" ca="1" si="27"/>
        <v>0</v>
      </c>
      <c r="J74" s="8">
        <f t="shared" ca="1" si="27"/>
        <v>0</v>
      </c>
      <c r="K74" s="8">
        <f t="shared" ca="1" si="27"/>
        <v>0</v>
      </c>
      <c r="L74" s="8">
        <f t="shared" ca="1" si="27"/>
        <v>0</v>
      </c>
      <c r="M74" s="8">
        <f t="shared" ca="1" si="27"/>
        <v>0</v>
      </c>
      <c r="N74" s="8">
        <f t="shared" ca="1" si="27"/>
        <v>0</v>
      </c>
      <c r="O74" s="8">
        <f t="shared" ca="1" si="27"/>
        <v>0</v>
      </c>
      <c r="P74" s="20">
        <f t="shared" ca="1" si="27"/>
        <v>0</v>
      </c>
      <c r="Q74" s="8">
        <f t="shared" ca="1" si="27"/>
        <v>0</v>
      </c>
      <c r="R74" s="8">
        <f t="shared" ca="1" si="27"/>
        <v>0</v>
      </c>
      <c r="S74" s="8">
        <f t="shared" ca="1" si="27"/>
        <v>0</v>
      </c>
      <c r="T74" s="8">
        <f t="shared" ca="1" si="27"/>
        <v>0</v>
      </c>
      <c r="U74" s="8">
        <f t="shared" ca="1" si="27"/>
        <v>0</v>
      </c>
      <c r="V74" s="8">
        <f t="shared" ca="1" si="27"/>
        <v>0</v>
      </c>
      <c r="W74" s="20">
        <f t="shared" ca="1" si="27"/>
        <v>0</v>
      </c>
    </row>
    <row r="75" spans="1:23" x14ac:dyDescent="0.2">
      <c r="A75" s="1" t="s">
        <v>111</v>
      </c>
      <c r="B75" s="9">
        <f ca="1">I75+P75+W75</f>
        <v>0</v>
      </c>
      <c r="C75">
        <f ca="1"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D75">
        <f ca="1"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E75">
        <f ca="1"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F75">
        <f ca="1"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G75">
        <f ca="1"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H75">
        <f ca="1"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I75" s="15">
        <f ca="1">SUM(C75:H75)</f>
        <v>0</v>
      </c>
      <c r="J75">
        <f ca="1"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K75">
        <f ca="1"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L75">
        <f ca="1"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M75">
        <f ca="1"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N75">
        <f ca="1"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O75">
        <f ca="1"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P75" s="15">
        <f ca="1">SUM(J75:O75)</f>
        <v>0</v>
      </c>
      <c r="Q75">
        <f ca="1"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R75">
        <f ca="1"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S75">
        <f ca="1"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T75">
        <f ca="1"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U75">
        <f ca="1"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V75">
        <f ca="1"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W75" s="15">
        <f ca="1">SUM(Q75:V75)</f>
        <v>0</v>
      </c>
    </row>
    <row r="76" spans="1:23" x14ac:dyDescent="0.2">
      <c r="A76" s="1" t="s">
        <v>112</v>
      </c>
      <c r="B76" s="14">
        <f ca="1">IF(B75=0,0,B77/B75)</f>
        <v>0</v>
      </c>
      <c r="C76" s="18">
        <f t="shared" ref="C76:H76" ca="1" si="28">IF(C73=0,0,C77/C73)</f>
        <v>0</v>
      </c>
      <c r="D76" s="18">
        <f t="shared" ca="1" si="28"/>
        <v>0</v>
      </c>
      <c r="E76" s="18">
        <f t="shared" ca="1" si="28"/>
        <v>0</v>
      </c>
      <c r="F76" s="18">
        <f t="shared" ca="1" si="28"/>
        <v>0</v>
      </c>
      <c r="G76" s="18">
        <f t="shared" ca="1" si="28"/>
        <v>0</v>
      </c>
      <c r="H76" s="18">
        <f t="shared" ca="1" si="28"/>
        <v>0</v>
      </c>
      <c r="I76" s="6">
        <f ca="1">IF(I75=0,0,I77/I75)</f>
        <v>0</v>
      </c>
      <c r="J76" s="18">
        <f t="shared" ref="J76:O76" ca="1" si="29">IF(J73=0,0,J77/J73)</f>
        <v>0</v>
      </c>
      <c r="K76" s="18">
        <f t="shared" ca="1" si="29"/>
        <v>0</v>
      </c>
      <c r="L76" s="18">
        <f t="shared" ca="1" si="29"/>
        <v>0</v>
      </c>
      <c r="M76" s="18">
        <f t="shared" ca="1" si="29"/>
        <v>0</v>
      </c>
      <c r="N76" s="18">
        <f t="shared" ca="1" si="29"/>
        <v>0</v>
      </c>
      <c r="O76" s="18">
        <f t="shared" ca="1" si="29"/>
        <v>0</v>
      </c>
      <c r="P76" s="6">
        <f ca="1">IF(P75=0,0,P77/P75)</f>
        <v>0</v>
      </c>
      <c r="Q76" s="18">
        <f t="shared" ref="Q76:V76" ca="1" si="30">IF(Q73=0,0,Q77/Q73)</f>
        <v>0</v>
      </c>
      <c r="R76" s="18">
        <f t="shared" ca="1" si="30"/>
        <v>0</v>
      </c>
      <c r="S76" s="18">
        <f t="shared" ca="1" si="30"/>
        <v>0</v>
      </c>
      <c r="T76" s="18">
        <f t="shared" ca="1" si="30"/>
        <v>0</v>
      </c>
      <c r="U76" s="18">
        <f t="shared" ca="1" si="30"/>
        <v>0</v>
      </c>
      <c r="V76" s="18">
        <f t="shared" ca="1" si="30"/>
        <v>0</v>
      </c>
      <c r="W76" s="6">
        <f ca="1">IF(W75=0,0,W77/W75)</f>
        <v>0</v>
      </c>
    </row>
    <row r="77" spans="1:23" x14ac:dyDescent="0.2">
      <c r="A77" s="7" t="s">
        <v>113</v>
      </c>
      <c r="B77" s="10">
        <f ca="1">I77+P77+W77</f>
        <v>0</v>
      </c>
      <c r="C77" s="18">
        <f ca="1"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""),"Lost")</f>
        <v>0</v>
      </c>
      <c r="D77" s="18">
        <f ca="1"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""),"Lost")</f>
        <v>0</v>
      </c>
      <c r="E77" s="18">
        <f ca="1"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""),"Lost")</f>
        <v>0</v>
      </c>
      <c r="F77" s="18">
        <f ca="1"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""),"Lost")</f>
        <v>0</v>
      </c>
      <c r="G77" s="18">
        <f ca="1"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""),"Lost")</f>
        <v>0</v>
      </c>
      <c r="H77" s="18">
        <f ca="1"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""),"Lost")</f>
        <v>0</v>
      </c>
      <c r="I77" s="6">
        <f ca="1">SUM(C77:H77)</f>
        <v>0</v>
      </c>
      <c r="J77" s="18">
        <f ca="1"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""),"Lost")</f>
        <v>0</v>
      </c>
      <c r="K77" s="18">
        <f ca="1"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""),"Lost")</f>
        <v>0</v>
      </c>
      <c r="L77" s="18">
        <f ca="1"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""),"Lost")</f>
        <v>0</v>
      </c>
      <c r="M77" s="18">
        <f ca="1"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""),"Lost")</f>
        <v>0</v>
      </c>
      <c r="N77" s="18">
        <f ca="1"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""),"Lost")</f>
        <v>0</v>
      </c>
      <c r="O77" s="18">
        <f ca="1"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""),"Lost")</f>
        <v>0</v>
      </c>
      <c r="P77" s="6">
        <f ca="1">SUM(J77:O77)</f>
        <v>0</v>
      </c>
      <c r="Q77" s="18">
        <f ca="1"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""),"Lost")</f>
        <v>0</v>
      </c>
      <c r="R77" s="18">
        <f ca="1"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""),"Lost")</f>
        <v>0</v>
      </c>
      <c r="S77" s="18">
        <f ca="1"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""),"Lost")</f>
        <v>0</v>
      </c>
      <c r="T77" s="18">
        <f ca="1"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""),"Lost")</f>
        <v>0</v>
      </c>
      <c r="U77" s="18">
        <f ca="1"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""),"Lost")</f>
        <v>0</v>
      </c>
      <c r="V77" s="18">
        <f ca="1"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""),"Lost")</f>
        <v>0</v>
      </c>
      <c r="W77" s="6">
        <f ca="1">SUM(Q77:V77)</f>
        <v>0</v>
      </c>
    </row>
    <row r="78" spans="1:23" x14ac:dyDescent="0.2">
      <c r="A78" s="1"/>
    </row>
    <row r="79" spans="1:23" x14ac:dyDescent="0.2">
      <c r="A79" s="1" t="s">
        <v>114</v>
      </c>
      <c r="B79" s="18">
        <f ca="1">I79+P79+W79</f>
        <v>0</v>
      </c>
      <c r="C79" s="18">
        <f t="shared" ref="C79:H79" ca="1" si="31">C11</f>
        <v>0</v>
      </c>
      <c r="D79" s="18">
        <f t="shared" ca="1" si="31"/>
        <v>0</v>
      </c>
      <c r="E79" s="18">
        <f t="shared" ca="1" si="31"/>
        <v>0</v>
      </c>
      <c r="F79" s="18">
        <f t="shared" ca="1" si="31"/>
        <v>0</v>
      </c>
      <c r="G79" s="18">
        <f t="shared" ca="1" si="31"/>
        <v>0</v>
      </c>
      <c r="H79" s="18">
        <f t="shared" ca="1" si="31"/>
        <v>0</v>
      </c>
      <c r="I79" s="6">
        <f ca="1">SUM(C79:H79)</f>
        <v>0</v>
      </c>
      <c r="J79" s="18">
        <f t="shared" ref="J79:O79" ca="1" si="32">J11</f>
        <v>0</v>
      </c>
      <c r="K79" s="18">
        <f t="shared" ca="1" si="32"/>
        <v>0</v>
      </c>
      <c r="L79" s="18">
        <f t="shared" ca="1" si="32"/>
        <v>0</v>
      </c>
      <c r="M79" s="18">
        <f t="shared" ca="1" si="32"/>
        <v>0</v>
      </c>
      <c r="N79" s="18">
        <f t="shared" ca="1" si="32"/>
        <v>0</v>
      </c>
      <c r="O79" s="18">
        <f t="shared" ca="1" si="32"/>
        <v>0</v>
      </c>
      <c r="P79" s="6">
        <f ca="1">SUM(J79:O79)</f>
        <v>0</v>
      </c>
      <c r="Q79" s="18">
        <f t="shared" ref="Q79:V79" ca="1" si="33">Q11</f>
        <v>0</v>
      </c>
      <c r="R79" s="18">
        <f t="shared" ca="1" si="33"/>
        <v>0</v>
      </c>
      <c r="S79" s="18">
        <f t="shared" ca="1" si="33"/>
        <v>0</v>
      </c>
      <c r="T79" s="18">
        <f t="shared" ca="1" si="33"/>
        <v>0</v>
      </c>
      <c r="U79" s="18">
        <f t="shared" ca="1" si="33"/>
        <v>0</v>
      </c>
      <c r="V79" s="18">
        <f t="shared" ca="1" si="33"/>
        <v>0</v>
      </c>
      <c r="W79" s="6">
        <f ca="1">SUM(Q79:V79)</f>
        <v>0</v>
      </c>
    </row>
    <row r="80" spans="1:23" x14ac:dyDescent="0.2">
      <c r="A80" s="1" t="s">
        <v>100</v>
      </c>
      <c r="B80" s="18">
        <f ca="1">I80+P80+W80</f>
        <v>0</v>
      </c>
      <c r="C80" s="18">
        <f t="shared" ref="C80:H80" ca="1" si="34">C61+C71</f>
        <v>0</v>
      </c>
      <c r="D80" s="18">
        <f t="shared" ca="1" si="34"/>
        <v>0</v>
      </c>
      <c r="E80" s="18">
        <f t="shared" ca="1" si="34"/>
        <v>0</v>
      </c>
      <c r="F80" s="18">
        <f t="shared" ca="1" si="34"/>
        <v>0</v>
      </c>
      <c r="G80" s="18">
        <f t="shared" ca="1" si="34"/>
        <v>0</v>
      </c>
      <c r="H80" s="18">
        <f t="shared" ca="1" si="34"/>
        <v>0</v>
      </c>
      <c r="I80" s="6">
        <f ca="1">SUM(C80:H80)</f>
        <v>0</v>
      </c>
      <c r="J80" s="18">
        <f t="shared" ref="J80:O80" ca="1" si="35">J61+J71</f>
        <v>0</v>
      </c>
      <c r="K80" s="18">
        <f t="shared" ca="1" si="35"/>
        <v>0</v>
      </c>
      <c r="L80" s="18">
        <f t="shared" ca="1" si="35"/>
        <v>0</v>
      </c>
      <c r="M80" s="18">
        <f t="shared" ca="1" si="35"/>
        <v>0</v>
      </c>
      <c r="N80" s="18">
        <f t="shared" ca="1" si="35"/>
        <v>0</v>
      </c>
      <c r="O80" s="18">
        <f t="shared" ca="1" si="35"/>
        <v>0</v>
      </c>
      <c r="P80" s="6">
        <f ca="1">SUM(J80:O80)</f>
        <v>0</v>
      </c>
      <c r="Q80" s="18">
        <f t="shared" ref="Q80:V80" ca="1" si="36">Q61+Q71</f>
        <v>0</v>
      </c>
      <c r="R80" s="18">
        <f t="shared" ca="1" si="36"/>
        <v>0</v>
      </c>
      <c r="S80" s="18">
        <f t="shared" ca="1" si="36"/>
        <v>0</v>
      </c>
      <c r="T80" s="18">
        <f t="shared" ca="1" si="36"/>
        <v>0</v>
      </c>
      <c r="U80" s="18">
        <f t="shared" ca="1" si="36"/>
        <v>0</v>
      </c>
      <c r="V80" s="18">
        <f t="shared" ca="1" si="36"/>
        <v>0</v>
      </c>
      <c r="W80" s="6">
        <f ca="1">SUM(Q80:V80)</f>
        <v>0</v>
      </c>
    </row>
    <row r="81" spans="1:23" x14ac:dyDescent="0.2">
      <c r="A81" s="1" t="s">
        <v>113</v>
      </c>
      <c r="B81" s="18">
        <f ca="1">I81+P81+W81</f>
        <v>0</v>
      </c>
      <c r="C81" s="18">
        <f t="shared" ref="C81:H81" ca="1" si="37">C77</f>
        <v>0</v>
      </c>
      <c r="D81" s="18">
        <f t="shared" ca="1" si="37"/>
        <v>0</v>
      </c>
      <c r="E81" s="18">
        <f t="shared" ca="1" si="37"/>
        <v>0</v>
      </c>
      <c r="F81" s="18">
        <f t="shared" ca="1" si="37"/>
        <v>0</v>
      </c>
      <c r="G81" s="18">
        <f t="shared" ca="1" si="37"/>
        <v>0</v>
      </c>
      <c r="H81" s="18">
        <f t="shared" ca="1" si="37"/>
        <v>0</v>
      </c>
      <c r="I81" s="6">
        <f ca="1">SUM(C81:H81)</f>
        <v>0</v>
      </c>
      <c r="J81" s="18">
        <f t="shared" ref="J81:O81" ca="1" si="38">J77</f>
        <v>0</v>
      </c>
      <c r="K81" s="18">
        <f t="shared" ca="1" si="38"/>
        <v>0</v>
      </c>
      <c r="L81" s="18">
        <f t="shared" ca="1" si="38"/>
        <v>0</v>
      </c>
      <c r="M81" s="18">
        <f t="shared" ca="1" si="38"/>
        <v>0</v>
      </c>
      <c r="N81" s="18">
        <f t="shared" ca="1" si="38"/>
        <v>0</v>
      </c>
      <c r="O81" s="18">
        <f t="shared" ca="1" si="38"/>
        <v>0</v>
      </c>
      <c r="P81" s="6">
        <f ca="1">SUM(J81:O81)</f>
        <v>0</v>
      </c>
      <c r="Q81" s="18">
        <f t="shared" ref="Q81:V81" ca="1" si="39">Q77</f>
        <v>0</v>
      </c>
      <c r="R81" s="18">
        <f t="shared" ca="1" si="39"/>
        <v>0</v>
      </c>
      <c r="S81" s="18">
        <f t="shared" ca="1" si="39"/>
        <v>0</v>
      </c>
      <c r="T81" s="18">
        <f t="shared" ca="1" si="39"/>
        <v>0</v>
      </c>
      <c r="U81" s="18">
        <f t="shared" ca="1" si="39"/>
        <v>0</v>
      </c>
      <c r="V81" s="18">
        <f t="shared" ca="1" si="39"/>
        <v>0</v>
      </c>
      <c r="W81" s="6">
        <f ca="1">SUM(Q81:V81)</f>
        <v>0</v>
      </c>
    </row>
    <row r="82" spans="1:23" x14ac:dyDescent="0.2">
      <c r="A82" s="1"/>
    </row>
    <row r="83" spans="1:23" x14ac:dyDescent="0.2">
      <c r="A83" s="7" t="s">
        <v>115</v>
      </c>
      <c r="B83" s="18">
        <f ca="1">I83+P83+W83</f>
        <v>0</v>
      </c>
      <c r="C83" s="18">
        <f t="shared" ref="C83:H83" ca="1" si="40">C79+C80+C81</f>
        <v>0</v>
      </c>
      <c r="D83" s="18">
        <f t="shared" ca="1" si="40"/>
        <v>0</v>
      </c>
      <c r="E83" s="18">
        <f t="shared" ca="1" si="40"/>
        <v>0</v>
      </c>
      <c r="F83" s="18">
        <f t="shared" ca="1" si="40"/>
        <v>0</v>
      </c>
      <c r="G83" s="18">
        <f t="shared" ca="1" si="40"/>
        <v>0</v>
      </c>
      <c r="H83" s="18">
        <f t="shared" ca="1" si="40"/>
        <v>0</v>
      </c>
      <c r="I83" s="6">
        <f ca="1">SUM(C83:H83)</f>
        <v>0</v>
      </c>
      <c r="J83" s="18">
        <f t="shared" ref="J83:O83" ca="1" si="41">J79+J80+J81</f>
        <v>0</v>
      </c>
      <c r="K83" s="18">
        <f t="shared" ca="1" si="41"/>
        <v>0</v>
      </c>
      <c r="L83" s="18">
        <f t="shared" ca="1" si="41"/>
        <v>0</v>
      </c>
      <c r="M83" s="18">
        <f t="shared" ca="1" si="41"/>
        <v>0</v>
      </c>
      <c r="N83" s="18">
        <f t="shared" ca="1" si="41"/>
        <v>0</v>
      </c>
      <c r="O83" s="18">
        <f t="shared" ca="1" si="41"/>
        <v>0</v>
      </c>
      <c r="P83" s="6">
        <f ca="1">SUM(J83:O83)</f>
        <v>0</v>
      </c>
      <c r="Q83" s="18">
        <f t="shared" ref="Q83:V83" ca="1" si="42">Q79+Q80+Q81</f>
        <v>0</v>
      </c>
      <c r="R83" s="18">
        <f t="shared" ca="1" si="42"/>
        <v>0</v>
      </c>
      <c r="S83" s="18">
        <f t="shared" ca="1" si="42"/>
        <v>0</v>
      </c>
      <c r="T83" s="18">
        <f t="shared" ca="1" si="42"/>
        <v>0</v>
      </c>
      <c r="U83" s="18">
        <f t="shared" ca="1" si="42"/>
        <v>0</v>
      </c>
      <c r="V83" s="18">
        <f t="shared" ca="1" si="42"/>
        <v>0</v>
      </c>
      <c r="W83" s="6">
        <f ca="1">SUM(Q83:V83)</f>
        <v>0</v>
      </c>
    </row>
  </sheetData>
  <pageMargins left="0.7" right="0.7" top="0.75" bottom="0.75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8"/>
  <sheetViews>
    <sheetView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W39" sqref="W39"/>
    </sheetView>
  </sheetViews>
  <sheetFormatPr baseColWidth="10" defaultColWidth="8.6640625" defaultRowHeight="15" x14ac:dyDescent="0.2"/>
  <cols>
    <col min="1" max="1" width="37" customWidth="1"/>
    <col min="2" max="6" width="12.33203125" bestFit="1" customWidth="1"/>
    <col min="7" max="8" width="12.33203125" customWidth="1"/>
    <col min="9" max="9" width="12.33203125" style="15" bestFit="1" customWidth="1"/>
    <col min="10" max="13" width="12.33203125" bestFit="1" customWidth="1"/>
    <col min="14" max="15" width="12.33203125" customWidth="1"/>
    <col min="16" max="16" width="12.33203125" style="15" bestFit="1" customWidth="1"/>
    <col min="17" max="19" width="12.33203125" bestFit="1" customWidth="1"/>
    <col min="20" max="20" width="12.5" bestFit="1" customWidth="1"/>
    <col min="21" max="22" width="12.5" customWidth="1"/>
    <col min="23" max="23" width="12.5" style="15" bestFit="1" customWidth="1"/>
  </cols>
  <sheetData>
    <row r="1" spans="1:23" x14ac:dyDescent="0.2">
      <c r="A1" s="3" t="s">
        <v>4</v>
      </c>
      <c r="B1" s="15" t="s">
        <v>71</v>
      </c>
      <c r="C1" t="s">
        <v>59</v>
      </c>
      <c r="D1" t="s">
        <v>59</v>
      </c>
      <c r="E1" t="s">
        <v>70</v>
      </c>
      <c r="F1" t="s">
        <v>70</v>
      </c>
      <c r="G1" t="s">
        <v>644</v>
      </c>
      <c r="H1" t="s">
        <v>645</v>
      </c>
      <c r="I1" s="15" t="s">
        <v>71</v>
      </c>
      <c r="J1" t="s">
        <v>59</v>
      </c>
      <c r="K1" t="s">
        <v>59</v>
      </c>
      <c r="L1" t="s">
        <v>70</v>
      </c>
      <c r="M1" t="s">
        <v>70</v>
      </c>
      <c r="N1" t="s">
        <v>644</v>
      </c>
      <c r="O1" t="s">
        <v>645</v>
      </c>
      <c r="P1" s="15" t="s">
        <v>71</v>
      </c>
      <c r="Q1" t="s">
        <v>59</v>
      </c>
      <c r="R1" t="s">
        <v>59</v>
      </c>
      <c r="S1" t="s">
        <v>70</v>
      </c>
      <c r="T1" t="s">
        <v>70</v>
      </c>
      <c r="U1" t="s">
        <v>644</v>
      </c>
      <c r="V1" t="s">
        <v>645</v>
      </c>
      <c r="W1" s="15" t="s">
        <v>71</v>
      </c>
    </row>
    <row r="2" spans="1:23" x14ac:dyDescent="0.2">
      <c r="A2" s="3" t="s">
        <v>6</v>
      </c>
      <c r="B2" s="15" t="s">
        <v>71</v>
      </c>
      <c r="C2" t="s">
        <v>67</v>
      </c>
      <c r="D2" t="s">
        <v>61</v>
      </c>
      <c r="E2" t="s">
        <v>67</v>
      </c>
      <c r="F2" t="s">
        <v>61</v>
      </c>
      <c r="G2" t="s">
        <v>61</v>
      </c>
      <c r="H2" t="s">
        <v>61</v>
      </c>
      <c r="I2" s="15" t="s">
        <v>71</v>
      </c>
      <c r="J2" t="s">
        <v>67</v>
      </c>
      <c r="K2" t="s">
        <v>61</v>
      </c>
      <c r="L2" t="s">
        <v>67</v>
      </c>
      <c r="M2" t="s">
        <v>61</v>
      </c>
      <c r="N2" t="s">
        <v>61</v>
      </c>
      <c r="O2" t="s">
        <v>61</v>
      </c>
      <c r="P2" s="15" t="s">
        <v>71</v>
      </c>
      <c r="Q2" t="s">
        <v>67</v>
      </c>
      <c r="R2" t="s">
        <v>61</v>
      </c>
      <c r="S2" t="s">
        <v>67</v>
      </c>
      <c r="T2" t="s">
        <v>61</v>
      </c>
      <c r="U2" t="s">
        <v>61</v>
      </c>
      <c r="V2" t="s">
        <v>61</v>
      </c>
      <c r="W2" s="15" t="s">
        <v>71</v>
      </c>
    </row>
    <row r="3" spans="1:23" ht="16" thickBot="1" x14ac:dyDescent="0.25">
      <c r="A3" s="3" t="s">
        <v>5</v>
      </c>
      <c r="B3" s="15" t="s">
        <v>71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s="15" t="s">
        <v>68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s="15" t="s">
        <v>69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s="15" t="s">
        <v>60</v>
      </c>
    </row>
    <row r="4" spans="1:23" ht="16" thickBot="1" x14ac:dyDescent="0.25">
      <c r="A4" s="1" t="s">
        <v>72</v>
      </c>
      <c r="D4" s="4"/>
    </row>
    <row r="5" spans="1:23" ht="16" thickBot="1" x14ac:dyDescent="0.25">
      <c r="A5" s="1"/>
    </row>
    <row r="6" spans="1:23" ht="16" thickBot="1" x14ac:dyDescent="0.25">
      <c r="A6" s="1" t="s">
        <v>74</v>
      </c>
      <c r="B6" s="9">
        <f>I6+P6+W6</f>
        <v>0</v>
      </c>
      <c r="C6">
        <f>COUNTIFS(Accounts!$E:$E,CurrentSaaS!C$1,Accounts!$G:$G,CurrentSaaS!C$2,Accounts!$F:$F,CurrentSaaS!C$3,Accounts!$W:$W,1)</f>
        <v>0</v>
      </c>
      <c r="D6">
        <f>COUNTIFS(Accounts!$E:$E,CurrentSaaS!D$1,Accounts!$G:$G,CurrentSaaS!D$2,Accounts!$F:$F,CurrentSaaS!D$3,Accounts!$W:$W,1)</f>
        <v>0</v>
      </c>
      <c r="E6">
        <f>COUNTIFS(Accounts!$E:$E,CurrentSaaS!E$1,Accounts!$G:$G,CurrentSaaS!E$2,Accounts!$F:$F,CurrentSaaS!E$3,Accounts!$W:$W,1)</f>
        <v>0</v>
      </c>
      <c r="F6">
        <f>COUNTIFS(Accounts!$E:$E,CurrentSaaS!F$1,Accounts!$G:$G,CurrentSaaS!F$2,Accounts!$F:$F,CurrentSaaS!F$3,Accounts!$W:$W,1)</f>
        <v>0</v>
      </c>
      <c r="G6">
        <f>COUNTIFS(Accounts!$E:$E,CurrentSaaS!G$1,Accounts!$G:$G,CurrentSaaS!G$2,Accounts!$F:$F,CurrentSaaS!G$3,Accounts!$W:$W,1)</f>
        <v>0</v>
      </c>
      <c r="H6">
        <f>COUNTIFS(Accounts!$E:$E,CurrentSaaS!H$1,Accounts!$G:$G,CurrentSaaS!H$2,Accounts!$F:$F,CurrentSaaS!H$3,Accounts!$W:$W,1)</f>
        <v>0</v>
      </c>
      <c r="I6" s="15">
        <f>SUM(C6:H6)</f>
        <v>0</v>
      </c>
      <c r="J6">
        <f>COUNTIFS(Accounts!$E:$E,CurrentSaaS!J$1,Accounts!$G:$G,CurrentSaaS!J$2,Accounts!$F:$F,CurrentSaaS!J$3,Accounts!$W:$W,1)</f>
        <v>0</v>
      </c>
      <c r="K6">
        <f>COUNTIFS(Accounts!$E:$E,CurrentSaaS!K$1,Accounts!$G:$G,CurrentSaaS!K$2,Accounts!$F:$F,CurrentSaaS!K$3,Accounts!$W:$W,1)</f>
        <v>0</v>
      </c>
      <c r="L6">
        <f>COUNTIFS(Accounts!$E:$E,CurrentSaaS!L$1,Accounts!$G:$G,CurrentSaaS!L$2,Accounts!$F:$F,CurrentSaaS!L$3,Accounts!$W:$W,1)</f>
        <v>0</v>
      </c>
      <c r="M6">
        <f>COUNTIFS(Accounts!$E:$E,CurrentSaaS!M$1,Accounts!$G:$G,CurrentSaaS!M$2,Accounts!$F:$F,CurrentSaaS!M$3,Accounts!$W:$W,1)</f>
        <v>0</v>
      </c>
      <c r="N6">
        <f>COUNTIFS(Accounts!$E:$E,CurrentSaaS!N$1,Accounts!$G:$G,CurrentSaaS!N$2,Accounts!$F:$F,CurrentSaaS!N$3,Accounts!$W:$W,1)</f>
        <v>0</v>
      </c>
      <c r="O6">
        <f>COUNTIFS(Accounts!$E:$E,CurrentSaaS!O$1,Accounts!$G:$G,CurrentSaaS!O$2,Accounts!$F:$F,CurrentSaaS!O$3,Accounts!$W:$W,1)</f>
        <v>0</v>
      </c>
      <c r="P6" s="15">
        <f>SUM(J6:O6)</f>
        <v>0</v>
      </c>
      <c r="Q6">
        <f>COUNTIFS(Accounts!$E:$E,CurrentSaaS!Q$1,Accounts!$G:$G,CurrentSaaS!Q$2,Accounts!$F:$F,CurrentSaaS!Q$3,Accounts!$W:$W,1)</f>
        <v>0</v>
      </c>
      <c r="R6">
        <f>COUNTIFS(Accounts!$E:$E,CurrentSaaS!R$1,Accounts!$G:$G,CurrentSaaS!R$2,Accounts!$F:$F,CurrentSaaS!R$3,Accounts!$W:$W,1)</f>
        <v>0</v>
      </c>
      <c r="S6">
        <f>COUNTIFS(Accounts!$E:$E,CurrentSaaS!S$1,Accounts!$G:$G,CurrentSaaS!S$2,Accounts!$F:$F,CurrentSaaS!S$3,Accounts!$W:$W,1)</f>
        <v>0</v>
      </c>
      <c r="T6">
        <f>COUNTIFS(Accounts!$E:$E,CurrentSaaS!T$1,Accounts!$G:$G,CurrentSaaS!T$2,Accounts!$F:$F,CurrentSaaS!T$3,Accounts!$W:$W,1)</f>
        <v>0</v>
      </c>
      <c r="U6">
        <f>COUNTIFS(Accounts!$E:$E,CurrentSaaS!U$1,Accounts!$G:$G,CurrentSaaS!U$2,Accounts!$F:$F,CurrentSaaS!U$3,Accounts!$W:$W,1)</f>
        <v>0</v>
      </c>
      <c r="V6">
        <f>COUNTIFS(Accounts!$E:$E,CurrentSaaS!V$1,Accounts!$G:$G,CurrentSaaS!V$2,Accounts!$F:$F,CurrentSaaS!V$3,Accounts!$W:$W,1)</f>
        <v>0</v>
      </c>
      <c r="W6" s="15">
        <f>SUM(Q6:V6)</f>
        <v>0</v>
      </c>
    </row>
    <row r="7" spans="1:23" ht="16" thickBot="1" x14ac:dyDescent="0.25">
      <c r="A7" s="1" t="s">
        <v>77</v>
      </c>
      <c r="B7" s="10">
        <f t="shared" ref="B7:W7" si="0">IF(B6=0,0,B8/B6)</f>
        <v>0</v>
      </c>
      <c r="C7" s="18">
        <f t="shared" si="0"/>
        <v>0</v>
      </c>
      <c r="D7" s="18">
        <f t="shared" si="0"/>
        <v>0</v>
      </c>
      <c r="E7" s="18">
        <f t="shared" si="0"/>
        <v>0</v>
      </c>
      <c r="F7" s="18">
        <f t="shared" si="0"/>
        <v>0</v>
      </c>
      <c r="G7" s="18">
        <f t="shared" si="0"/>
        <v>0</v>
      </c>
      <c r="H7" s="18">
        <f t="shared" si="0"/>
        <v>0</v>
      </c>
      <c r="I7" s="6">
        <f t="shared" si="0"/>
        <v>0</v>
      </c>
      <c r="J7" s="18">
        <f t="shared" si="0"/>
        <v>0</v>
      </c>
      <c r="K7" s="18">
        <f t="shared" si="0"/>
        <v>0</v>
      </c>
      <c r="L7" s="18">
        <f t="shared" si="0"/>
        <v>0</v>
      </c>
      <c r="M7" s="18">
        <f t="shared" si="0"/>
        <v>0</v>
      </c>
      <c r="N7" s="18">
        <f t="shared" si="0"/>
        <v>0</v>
      </c>
      <c r="O7" s="18">
        <f t="shared" si="0"/>
        <v>0</v>
      </c>
      <c r="P7" s="6">
        <f t="shared" si="0"/>
        <v>0</v>
      </c>
      <c r="Q7" s="18">
        <f t="shared" si="0"/>
        <v>0</v>
      </c>
      <c r="R7" s="18">
        <f t="shared" si="0"/>
        <v>0</v>
      </c>
      <c r="S7" s="18">
        <f t="shared" si="0"/>
        <v>0</v>
      </c>
      <c r="T7" s="18">
        <f t="shared" si="0"/>
        <v>0</v>
      </c>
      <c r="U7" s="18">
        <f t="shared" si="0"/>
        <v>0</v>
      </c>
      <c r="V7" s="18">
        <f t="shared" si="0"/>
        <v>0</v>
      </c>
      <c r="W7" s="6">
        <f t="shared" si="0"/>
        <v>0</v>
      </c>
    </row>
    <row r="8" spans="1:23" ht="16" thickBot="1" x14ac:dyDescent="0.25">
      <c r="A8" s="7" t="s">
        <v>78</v>
      </c>
      <c r="B8" s="10">
        <f>I8+P8+W8</f>
        <v>0</v>
      </c>
      <c r="C8" s="18">
        <f>SUMIFS(Accounts!$BH:$BH,Accounts!$E:$E,CurrentSaaS!C$1,Accounts!$G:$G,CurrentSaaS!C$2,Accounts!$F:$F,CurrentSaaS!C$3,Accounts!$W:$W,1)</f>
        <v>0</v>
      </c>
      <c r="D8" s="18">
        <f>SUMIFS(Accounts!$BH:$BH,Accounts!$E:$E,CurrentSaaS!D$1,Accounts!$G:$G,CurrentSaaS!D$2,Accounts!$F:$F,CurrentSaaS!D$3,Accounts!$W:$W,1)</f>
        <v>0</v>
      </c>
      <c r="E8" s="18">
        <f>SUMIFS(Accounts!$BH:$BH,Accounts!$E:$E,CurrentSaaS!E$1,Accounts!$G:$G,CurrentSaaS!E$2,Accounts!$F:$F,CurrentSaaS!E$3,Accounts!$W:$W,1)</f>
        <v>0</v>
      </c>
      <c r="F8" s="18">
        <f>SUMIFS(Accounts!$BH:$BH,Accounts!$E:$E,CurrentSaaS!F$1,Accounts!$G:$G,CurrentSaaS!F$2,Accounts!$F:$F,CurrentSaaS!F$3,Accounts!$W:$W,1)</f>
        <v>0</v>
      </c>
      <c r="G8" s="18">
        <f>SUMIFS(Accounts!$BH:$BH,Accounts!$E:$E,CurrentSaaS!G$1,Accounts!$G:$G,CurrentSaaS!G$2,Accounts!$F:$F,CurrentSaaS!G$3,Accounts!$W:$W,1)</f>
        <v>0</v>
      </c>
      <c r="H8" s="18">
        <f>SUMIFS(Accounts!$BH:$BH,Accounts!$E:$E,CurrentSaaS!H$1,Accounts!$G:$G,CurrentSaaS!H$2,Accounts!$F:$F,CurrentSaaS!H$3,Accounts!$W:$W,1)</f>
        <v>0</v>
      </c>
      <c r="I8" s="6">
        <f>SUM(C8:H8)</f>
        <v>0</v>
      </c>
      <c r="J8" s="18">
        <f>SUMIFS(Accounts!$BH:$BH,Accounts!$E:$E,CurrentSaaS!J$1,Accounts!$G:$G,CurrentSaaS!J$2,Accounts!$F:$F,CurrentSaaS!J$3,Accounts!$W:$W,1)</f>
        <v>0</v>
      </c>
      <c r="K8" s="18">
        <f>SUMIFS(Accounts!$BH:$BH,Accounts!$E:$E,CurrentSaaS!K$1,Accounts!$G:$G,CurrentSaaS!K$2,Accounts!$F:$F,CurrentSaaS!K$3,Accounts!$W:$W,1)</f>
        <v>0</v>
      </c>
      <c r="L8" s="18">
        <f>SUMIFS(Accounts!$BH:$BH,Accounts!$E:$E,CurrentSaaS!L$1,Accounts!$G:$G,CurrentSaaS!L$2,Accounts!$F:$F,CurrentSaaS!L$3,Accounts!$W:$W,1)</f>
        <v>0</v>
      </c>
      <c r="M8" s="18">
        <f>SUMIFS(Accounts!$BH:$BH,Accounts!$E:$E,CurrentSaaS!M$1,Accounts!$G:$G,CurrentSaaS!M$2,Accounts!$F:$F,CurrentSaaS!M$3,Accounts!$W:$W,1)</f>
        <v>0</v>
      </c>
      <c r="N8" s="18">
        <f>SUMIFS(Accounts!$BH:$BH,Accounts!$E:$E,CurrentSaaS!N$1,Accounts!$G:$G,CurrentSaaS!N$2,Accounts!$F:$F,CurrentSaaS!N$3,Accounts!$W:$W,1)</f>
        <v>0</v>
      </c>
      <c r="O8" s="18">
        <f>SUMIFS(Accounts!$BH:$BH,Accounts!$E:$E,CurrentSaaS!O$1,Accounts!$G:$G,CurrentSaaS!O$2,Accounts!$F:$F,CurrentSaaS!O$3,Accounts!$W:$W,1)</f>
        <v>0</v>
      </c>
      <c r="P8" s="6">
        <f>SUM(J8:O8)</f>
        <v>0</v>
      </c>
      <c r="Q8" s="18">
        <f>SUMIFS(Accounts!$BH:$BH,Accounts!$E:$E,CurrentSaaS!Q$1,Accounts!$G:$G,CurrentSaaS!Q$2,Accounts!$F:$F,CurrentSaaS!Q$3,Accounts!$W:$W,1)</f>
        <v>0</v>
      </c>
      <c r="R8" s="18">
        <f>SUMIFS(Accounts!$BH:$BH,Accounts!$E:$E,CurrentSaaS!R$1,Accounts!$G:$G,CurrentSaaS!R$2,Accounts!$F:$F,CurrentSaaS!R$3,Accounts!$W:$W,1)</f>
        <v>0</v>
      </c>
      <c r="S8" s="18">
        <f>SUMIFS(Accounts!$BH:$BH,Accounts!$E:$E,CurrentSaaS!S$1,Accounts!$G:$G,CurrentSaaS!S$2,Accounts!$F:$F,CurrentSaaS!S$3,Accounts!$W:$W,1)</f>
        <v>0</v>
      </c>
      <c r="T8" s="18">
        <f>SUMIFS(Accounts!$BH:$BH,Accounts!$E:$E,CurrentSaaS!T$1,Accounts!$G:$G,CurrentSaaS!T$2,Accounts!$F:$F,CurrentSaaS!T$3,Accounts!$W:$W,1)</f>
        <v>0</v>
      </c>
      <c r="U8" s="18">
        <f>SUMIFS(Accounts!$BH:$BH,Accounts!$E:$E,CurrentSaaS!U$1,Accounts!$G:$G,CurrentSaaS!U$2,Accounts!$F:$F,CurrentSaaS!U$3,Accounts!$W:$W,1)</f>
        <v>0</v>
      </c>
      <c r="V8" s="18">
        <f>SUMIFS(Accounts!$BH:$BH,Accounts!$E:$E,CurrentSaaS!V$1,Accounts!$G:$G,CurrentSaaS!V$2,Accounts!$F:$F,CurrentSaaS!V$3,Accounts!$W:$W,1)</f>
        <v>0</v>
      </c>
      <c r="W8" s="6">
        <f>SUM(Q8:V8)</f>
        <v>0</v>
      </c>
    </row>
    <row r="9" spans="1:23" ht="16" thickBot="1" x14ac:dyDescent="0.25">
      <c r="A9" s="7"/>
      <c r="B9" s="9"/>
    </row>
    <row r="10" spans="1:23" ht="16" thickBot="1" x14ac:dyDescent="0.25">
      <c r="A10" s="1" t="s">
        <v>83</v>
      </c>
      <c r="B10" s="9"/>
    </row>
    <row r="11" spans="1:23" ht="16" thickBot="1" x14ac:dyDescent="0.25">
      <c r="A11" s="1" t="s">
        <v>85</v>
      </c>
      <c r="B11" s="9"/>
    </row>
    <row r="12" spans="1:23" ht="16" thickBot="1" x14ac:dyDescent="0.25">
      <c r="A12" s="1" t="s">
        <v>89</v>
      </c>
      <c r="B12" s="9">
        <f>I12+P12+W12</f>
        <v>0</v>
      </c>
      <c r="C12">
        <f>COUNTIFS(Accounts!$E:$E,CurrentSaaS!C$1,Accounts!$G:$G,CurrentSaaS!C$2,Accounts!$F:$F,CurrentSaaS!C$3,Accounts!$B:$B,"Customer",Accounts!$BJ:$BJ,"Monthly",Accounts!$C:$C,"Customer",Accounts!$H:$H,"&lt;="&amp;30)</f>
        <v>0</v>
      </c>
      <c r="D12">
        <f>COUNTIFS(Accounts!$E:$E,CurrentSaaS!D$1,Accounts!$G:$G,CurrentSaaS!D$2,Accounts!$F:$F,CurrentSaaS!D$3,Accounts!$B:$B,"Customer",Accounts!$BJ:$BJ,"Monthly",Accounts!$C:$C,"Customer",Accounts!$H:$H,"&lt;="&amp;30)</f>
        <v>0</v>
      </c>
      <c r="E12">
        <f>COUNTIFS(Accounts!$E:$E,CurrentSaaS!E$1,Accounts!$G:$G,CurrentSaaS!E$2,Accounts!$F:$F,CurrentSaaS!E$3,Accounts!$B:$B,"Customer",Accounts!$BJ:$BJ,"Monthly",Accounts!$C:$C,"Customer",Accounts!$H:$H,"&lt;="&amp;30)</f>
        <v>0</v>
      </c>
      <c r="F12">
        <f>COUNTIFS(Accounts!$E:$E,CurrentSaaS!F$1,Accounts!$G:$G,CurrentSaaS!F$2,Accounts!$F:$F,CurrentSaaS!F$3,Accounts!$B:$B,"Customer",Accounts!$BJ:$BJ,"Monthly",Accounts!$C:$C,"Customer",Accounts!$H:$H,"&lt;="&amp;30)</f>
        <v>0</v>
      </c>
      <c r="G12">
        <f>COUNTIFS(Accounts!$E:$E,CurrentSaaS!G$1,Accounts!$G:$G,CurrentSaaS!G$2,Accounts!$F:$F,CurrentSaaS!G$3,Accounts!$B:$B,"Customer",Accounts!$BJ:$BJ,"Monthly",Accounts!$C:$C,"Customer",Accounts!$H:$H,"&lt;="&amp;30)</f>
        <v>0</v>
      </c>
      <c r="H12">
        <f>COUNTIFS(Accounts!$E:$E,CurrentSaaS!H$1,Accounts!$G:$G,CurrentSaaS!H$2,Accounts!$F:$F,CurrentSaaS!H$3,Accounts!$B:$B,"Customer",Accounts!$BJ:$BJ,"Monthly",Accounts!$C:$C,"Customer",Accounts!$H:$H,"&lt;="&amp;30)</f>
        <v>0</v>
      </c>
      <c r="I12" s="15">
        <f>SUM(C12:H12)</f>
        <v>0</v>
      </c>
      <c r="J12">
        <f>COUNTIFS(Accounts!$E:$E,CurrentSaaS!J$1,Accounts!$G:$G,CurrentSaaS!J$2,Accounts!$F:$F,CurrentSaaS!J$3,Accounts!$B:$B,"Customer",Accounts!$BJ:$BJ,"Monthly",Accounts!$C:$C,"Customer",Accounts!$H:$H,"&lt;="&amp;30)</f>
        <v>0</v>
      </c>
      <c r="K12">
        <f>COUNTIFS(Accounts!$E:$E,CurrentSaaS!K$1,Accounts!$G:$G,CurrentSaaS!K$2,Accounts!$F:$F,CurrentSaaS!K$3,Accounts!$B:$B,"Customer",Accounts!$BJ:$BJ,"Monthly",Accounts!$C:$C,"Customer",Accounts!$H:$H,"&lt;="&amp;30)</f>
        <v>0</v>
      </c>
      <c r="L12">
        <f>COUNTIFS(Accounts!$E:$E,CurrentSaaS!L$1,Accounts!$G:$G,CurrentSaaS!L$2,Accounts!$F:$F,CurrentSaaS!L$3,Accounts!$B:$B,"Customer",Accounts!$BJ:$BJ,"Monthly",Accounts!$C:$C,"Customer",Accounts!$H:$H,"&lt;="&amp;30)</f>
        <v>0</v>
      </c>
      <c r="M12">
        <f>COUNTIFS(Accounts!$E:$E,CurrentSaaS!M$1,Accounts!$G:$G,CurrentSaaS!M$2,Accounts!$F:$F,CurrentSaaS!M$3,Accounts!$B:$B,"Customer",Accounts!$BJ:$BJ,"Monthly",Accounts!$C:$C,"Customer",Accounts!$H:$H,"&lt;="&amp;30)</f>
        <v>0</v>
      </c>
      <c r="N12">
        <f>COUNTIFS(Accounts!$E:$E,CurrentSaaS!N$1,Accounts!$G:$G,CurrentSaaS!N$2,Accounts!$F:$F,CurrentSaaS!N$3,Accounts!$B:$B,"Customer",Accounts!$BJ:$BJ,"Monthly",Accounts!$C:$C,"Customer",Accounts!$H:$H,"&lt;="&amp;30)</f>
        <v>0</v>
      </c>
      <c r="O12">
        <f>COUNTIFS(Accounts!$E:$E,CurrentSaaS!O$1,Accounts!$G:$G,CurrentSaaS!O$2,Accounts!$F:$F,CurrentSaaS!O$3,Accounts!$B:$B,"Customer",Accounts!$BJ:$BJ,"Monthly",Accounts!$C:$C,"Customer",Accounts!$H:$H,"&lt;="&amp;30)</f>
        <v>0</v>
      </c>
      <c r="P12" s="15">
        <f>SUM(J12:O12)</f>
        <v>0</v>
      </c>
      <c r="Q12">
        <f>COUNTIFS(Accounts!$E:$E,CurrentSaaS!Q$1,Accounts!$G:$G,CurrentSaaS!Q$2,Accounts!$F:$F,CurrentSaaS!Q$3,Accounts!$B:$B,"Customer",Accounts!$BJ:$BJ,"Monthly",Accounts!$C:$C,"Customer",Accounts!$H:$H,"&lt;="&amp;30)</f>
        <v>0</v>
      </c>
      <c r="R12">
        <f>COUNTIFS(Accounts!$E:$E,CurrentSaaS!R$1,Accounts!$G:$G,CurrentSaaS!R$2,Accounts!$F:$F,CurrentSaaS!R$3,Accounts!$B:$B,"Customer",Accounts!$BJ:$BJ,"Monthly",Accounts!$C:$C,"Customer",Accounts!$H:$H,"&lt;="&amp;30)</f>
        <v>0</v>
      </c>
      <c r="S12">
        <f>COUNTIFS(Accounts!$E:$E,CurrentSaaS!S$1,Accounts!$G:$G,CurrentSaaS!S$2,Accounts!$F:$F,CurrentSaaS!S$3,Accounts!$B:$B,"Customer",Accounts!$BJ:$BJ,"Monthly",Accounts!$C:$C,"Customer",Accounts!$H:$H,"&lt;="&amp;30)</f>
        <v>0</v>
      </c>
      <c r="T12">
        <f>COUNTIFS(Accounts!$E:$E,CurrentSaaS!T$1,Accounts!$G:$G,CurrentSaaS!T$2,Accounts!$F:$F,CurrentSaaS!T$3,Accounts!$B:$B,"Customer",Accounts!$BJ:$BJ,"Monthly",Accounts!$C:$C,"Customer",Accounts!$H:$H,"&lt;="&amp;30)</f>
        <v>0</v>
      </c>
      <c r="U12">
        <f>COUNTIFS(Accounts!$E:$E,CurrentSaaS!U$1,Accounts!$G:$G,CurrentSaaS!U$2,Accounts!$F:$F,CurrentSaaS!U$3,Accounts!$B:$B,"Customer",Accounts!$BJ:$BJ,"Monthly",Accounts!$C:$C,"Customer",Accounts!$H:$H,"&lt;="&amp;30)</f>
        <v>0</v>
      </c>
      <c r="V12">
        <f>COUNTIFS(Accounts!$E:$E,CurrentSaaS!V$1,Accounts!$G:$G,CurrentSaaS!V$2,Accounts!$F:$F,CurrentSaaS!V$3,Accounts!$B:$B,"Customer",Accounts!$BJ:$BJ,"Monthly",Accounts!$C:$C,"Customer",Accounts!$H:$H,"&lt;="&amp;30)</f>
        <v>0</v>
      </c>
      <c r="W12" s="15">
        <f>SUM(Q12:V12)</f>
        <v>0</v>
      </c>
    </row>
    <row r="13" spans="1:23" ht="16" thickBot="1" x14ac:dyDescent="0.25">
      <c r="A13" s="1" t="s">
        <v>92</v>
      </c>
      <c r="B13" s="10">
        <f t="shared" ref="B13:W13" si="1">IF(B12=0,0,B14/B12)</f>
        <v>0</v>
      </c>
      <c r="C13" s="18">
        <f t="shared" si="1"/>
        <v>0</v>
      </c>
      <c r="D13" s="18">
        <f t="shared" si="1"/>
        <v>0</v>
      </c>
      <c r="E13" s="18">
        <f t="shared" si="1"/>
        <v>0</v>
      </c>
      <c r="F13" s="18">
        <f t="shared" si="1"/>
        <v>0</v>
      </c>
      <c r="G13" s="18">
        <f t="shared" si="1"/>
        <v>0</v>
      </c>
      <c r="H13" s="18">
        <f t="shared" si="1"/>
        <v>0</v>
      </c>
      <c r="I13" s="6">
        <f t="shared" si="1"/>
        <v>0</v>
      </c>
      <c r="J13" s="18">
        <f t="shared" si="1"/>
        <v>0</v>
      </c>
      <c r="K13" s="18">
        <f t="shared" si="1"/>
        <v>0</v>
      </c>
      <c r="L13" s="18">
        <f t="shared" si="1"/>
        <v>0</v>
      </c>
      <c r="M13" s="18">
        <f t="shared" si="1"/>
        <v>0</v>
      </c>
      <c r="N13" s="18">
        <f t="shared" si="1"/>
        <v>0</v>
      </c>
      <c r="O13" s="18">
        <f t="shared" si="1"/>
        <v>0</v>
      </c>
      <c r="P13" s="6">
        <f t="shared" si="1"/>
        <v>0</v>
      </c>
      <c r="Q13" s="18">
        <f t="shared" si="1"/>
        <v>0</v>
      </c>
      <c r="R13" s="18">
        <f t="shared" si="1"/>
        <v>0</v>
      </c>
      <c r="S13" s="18">
        <f t="shared" si="1"/>
        <v>0</v>
      </c>
      <c r="T13" s="18">
        <f t="shared" si="1"/>
        <v>0</v>
      </c>
      <c r="U13" s="18">
        <f t="shared" si="1"/>
        <v>0</v>
      </c>
      <c r="V13" s="18">
        <f t="shared" si="1"/>
        <v>0</v>
      </c>
      <c r="W13" s="6">
        <f t="shared" si="1"/>
        <v>0</v>
      </c>
    </row>
    <row r="14" spans="1:23" ht="16" thickBot="1" x14ac:dyDescent="0.25">
      <c r="A14" s="1" t="s">
        <v>93</v>
      </c>
      <c r="B14" s="10">
        <f>I14+P14+W14</f>
        <v>0</v>
      </c>
      <c r="C14" s="18">
        <f>SUMIFS(Accounts!$BH:$BH,Accounts!$E:$E,CurrentSaaS!C$1,Accounts!$G:$G,CurrentSaaS!C$2,Accounts!$F:$F,CurrentSaaS!C$3,Accounts!$W:$W,0,Accounts!$C:$C,"Customer",Accounts!$BJ:$BJ,"Monthly",Accounts!$H:$H,"&lt;="&amp;30)</f>
        <v>0</v>
      </c>
      <c r="D14" s="18">
        <f>SUMIFS(Accounts!$BH:$BH,Accounts!$E:$E,CurrentSaaS!D$1,Accounts!$G:$G,CurrentSaaS!D$2,Accounts!$F:$F,CurrentSaaS!D$3,Accounts!$W:$W,0,Accounts!$C:$C,"Customer",Accounts!$BJ:$BJ,"Monthly",Accounts!$H:$H,"&lt;="&amp;30)</f>
        <v>0</v>
      </c>
      <c r="E14" s="18">
        <f>SUMIFS(Accounts!$BH:$BH,Accounts!$E:$E,CurrentSaaS!E$1,Accounts!$G:$G,CurrentSaaS!E$2,Accounts!$F:$F,CurrentSaaS!E$3,Accounts!$W:$W,0,Accounts!$C:$C,"Customer",Accounts!$BJ:$BJ,"Monthly",Accounts!$H:$H,"&lt;="&amp;30)</f>
        <v>0</v>
      </c>
      <c r="F14" s="18">
        <f>SUMIFS(Accounts!$BH:$BH,Accounts!$E:$E,CurrentSaaS!F$1,Accounts!$G:$G,CurrentSaaS!F$2,Accounts!$F:$F,CurrentSaaS!F$3,Accounts!$W:$W,0,Accounts!$C:$C,"Customer",Accounts!$BJ:$BJ,"Monthly",Accounts!$H:$H,"&lt;="&amp;30)</f>
        <v>0</v>
      </c>
      <c r="G14" s="18">
        <f>SUMIFS(Accounts!$BH:$BH,Accounts!$E:$E,CurrentSaaS!G$1,Accounts!$G:$G,CurrentSaaS!G$2,Accounts!$F:$F,CurrentSaaS!G$3,Accounts!$W:$W,0,Accounts!$C:$C,"Customer",Accounts!$BJ:$BJ,"Monthly",Accounts!$H:$H,"&lt;="&amp;30)</f>
        <v>0</v>
      </c>
      <c r="H14" s="18">
        <f>SUMIFS(Accounts!$BH:$BH,Accounts!$E:$E,CurrentSaaS!H$1,Accounts!$G:$G,CurrentSaaS!H$2,Accounts!$F:$F,CurrentSaaS!H$3,Accounts!$W:$W,0,Accounts!$C:$C,"Customer",Accounts!$BJ:$BJ,"Monthly",Accounts!$H:$H,"&lt;="&amp;30)</f>
        <v>0</v>
      </c>
      <c r="I14" s="6">
        <f>SUM(C14:H14)</f>
        <v>0</v>
      </c>
      <c r="J14" s="18">
        <f>SUMIFS(Accounts!$BH:$BH,Accounts!$E:$E,CurrentSaaS!J$1,Accounts!$G:$G,CurrentSaaS!J$2,Accounts!$F:$F,CurrentSaaS!J$3,Accounts!$W:$W,0,Accounts!$C:$C,"Customer",Accounts!$BJ:$BJ,"Monthly",Accounts!$H:$H,"&lt;="&amp;30)</f>
        <v>0</v>
      </c>
      <c r="K14" s="18">
        <f>SUMIFS(Accounts!$BH:$BH,Accounts!$E:$E,CurrentSaaS!K$1,Accounts!$G:$G,CurrentSaaS!K$2,Accounts!$F:$F,CurrentSaaS!K$3,Accounts!$W:$W,0,Accounts!$C:$C,"Customer",Accounts!$BJ:$BJ,"Monthly",Accounts!$H:$H,"&lt;="&amp;30)</f>
        <v>0</v>
      </c>
      <c r="L14" s="18">
        <f>SUMIFS(Accounts!$BH:$BH,Accounts!$E:$E,CurrentSaaS!L$1,Accounts!$G:$G,CurrentSaaS!L$2,Accounts!$F:$F,CurrentSaaS!L$3,Accounts!$W:$W,0,Accounts!$C:$C,"Customer",Accounts!$BJ:$BJ,"Monthly",Accounts!$H:$H,"&lt;="&amp;30)</f>
        <v>0</v>
      </c>
      <c r="M14" s="18">
        <f>SUMIFS(Accounts!$BH:$BH,Accounts!$E:$E,CurrentSaaS!M$1,Accounts!$G:$G,CurrentSaaS!M$2,Accounts!$F:$F,CurrentSaaS!M$3,Accounts!$W:$W,0,Accounts!$C:$C,"Customer",Accounts!$BJ:$BJ,"Monthly",Accounts!$H:$H,"&lt;="&amp;30)</f>
        <v>0</v>
      </c>
      <c r="N14" s="18">
        <f>SUMIFS(Accounts!$BH:$BH,Accounts!$E:$E,CurrentSaaS!N$1,Accounts!$G:$G,CurrentSaaS!N$2,Accounts!$F:$F,CurrentSaaS!N$3,Accounts!$W:$W,0,Accounts!$C:$C,"Customer",Accounts!$BJ:$BJ,"Monthly",Accounts!$H:$H,"&lt;="&amp;30)</f>
        <v>0</v>
      </c>
      <c r="O14" s="18">
        <f>SUMIFS(Accounts!$BH:$BH,Accounts!$E:$E,CurrentSaaS!O$1,Accounts!$G:$G,CurrentSaaS!O$2,Accounts!$F:$F,CurrentSaaS!O$3,Accounts!$W:$W,0,Accounts!$C:$C,"Customer",Accounts!$BJ:$BJ,"Monthly",Accounts!$H:$H,"&lt;="&amp;30)</f>
        <v>0</v>
      </c>
      <c r="P14" s="6">
        <f>SUM(J14:O14)</f>
        <v>0</v>
      </c>
      <c r="Q14" s="18">
        <f>SUMIFS(Accounts!$BH:$BH,Accounts!$E:$E,CurrentSaaS!Q$1,Accounts!$G:$G,CurrentSaaS!Q$2,Accounts!$F:$F,CurrentSaaS!Q$3,Accounts!$W:$W,0,Accounts!$C:$C,"Customer",Accounts!$BJ:$BJ,"Monthly",Accounts!$H:$H,"&lt;="&amp;30)</f>
        <v>0</v>
      </c>
      <c r="R14" s="18">
        <f>SUMIFS(Accounts!$BH:$BH,Accounts!$E:$E,CurrentSaaS!R$1,Accounts!$G:$G,CurrentSaaS!R$2,Accounts!$F:$F,CurrentSaaS!R$3,Accounts!$W:$W,0,Accounts!$C:$C,"Customer",Accounts!$BJ:$BJ,"Monthly",Accounts!$H:$H,"&lt;="&amp;30)</f>
        <v>0</v>
      </c>
      <c r="S14" s="18">
        <f>SUMIFS(Accounts!$BH:$BH,Accounts!$E:$E,CurrentSaaS!S$1,Accounts!$G:$G,CurrentSaaS!S$2,Accounts!$F:$F,CurrentSaaS!S$3,Accounts!$W:$W,0,Accounts!$C:$C,"Customer",Accounts!$BJ:$BJ,"Monthly",Accounts!$H:$H,"&lt;="&amp;30)</f>
        <v>0</v>
      </c>
      <c r="T14" s="18">
        <f>SUMIFS(Accounts!$BH:$BH,Accounts!$E:$E,CurrentSaaS!T$1,Accounts!$G:$G,CurrentSaaS!T$2,Accounts!$F:$F,CurrentSaaS!T$3,Accounts!$W:$W,0,Accounts!$C:$C,"Customer",Accounts!$BJ:$BJ,"Monthly",Accounts!$H:$H,"&lt;="&amp;30)</f>
        <v>0</v>
      </c>
      <c r="U14" s="18">
        <f>SUMIFS(Accounts!$BH:$BH,Accounts!$E:$E,CurrentSaaS!U$1,Accounts!$G:$G,CurrentSaaS!U$2,Accounts!$F:$F,CurrentSaaS!U$3,Accounts!$W:$W,0,Accounts!$C:$C,"Customer",Accounts!$BJ:$BJ,"Monthly",Accounts!$H:$H,"&lt;="&amp;30)</f>
        <v>0</v>
      </c>
      <c r="V14" s="18">
        <f>SUMIFS(Accounts!$BH:$BH,Accounts!$E:$E,CurrentSaaS!V$1,Accounts!$G:$G,CurrentSaaS!V$2,Accounts!$F:$F,CurrentSaaS!V$3,Accounts!$W:$W,0,Accounts!$C:$C,"Customer",Accounts!$BJ:$BJ,"Monthly",Accounts!$H:$H,"&lt;="&amp;30)</f>
        <v>0</v>
      </c>
      <c r="W14" s="6">
        <f>SUM(Q14:V14)</f>
        <v>0</v>
      </c>
    </row>
    <row r="15" spans="1:23" ht="16" thickBot="1" x14ac:dyDescent="0.25">
      <c r="A15" s="1" t="s">
        <v>94</v>
      </c>
      <c r="B15" s="10"/>
      <c r="C15" s="18"/>
      <c r="D15" s="18"/>
      <c r="E15" s="18"/>
      <c r="F15" s="18"/>
      <c r="G15" s="18"/>
      <c r="H15" s="18"/>
      <c r="I15" s="6"/>
      <c r="J15" s="18"/>
      <c r="K15" s="18"/>
      <c r="L15" s="18"/>
      <c r="M15" s="18"/>
      <c r="N15" s="18"/>
      <c r="O15" s="18"/>
      <c r="P15" s="6"/>
      <c r="Q15" s="18"/>
      <c r="R15" s="18"/>
      <c r="S15" s="18"/>
      <c r="T15" s="18"/>
      <c r="U15" s="18"/>
      <c r="V15" s="18"/>
      <c r="W15" s="6"/>
    </row>
    <row r="16" spans="1:23" ht="16" thickBot="1" x14ac:dyDescent="0.25">
      <c r="A16" s="1" t="s">
        <v>89</v>
      </c>
      <c r="B16" s="9">
        <f>I16+P16+W16</f>
        <v>0</v>
      </c>
      <c r="C16">
        <f>COUNTIFS(Accounts!$E:$E,CurrentSaaS!C$1,Accounts!$G:$G,CurrentSaaS!C$2,Accounts!$F:$F,CurrentSaaS!C$3,Accounts!$B:$B,"Customer",Accounts!$BJ:$BJ,"Monthly",Accounts!$C:$C,"Customer",Accounts!$H:$H,"&gt;"&amp;30,Accounts!$H:$H,"&lt;="&amp;60)</f>
        <v>0</v>
      </c>
      <c r="D16">
        <f>COUNTIFS(Accounts!$E:$E,CurrentSaaS!D$1,Accounts!$G:$G,CurrentSaaS!D$2,Accounts!$F:$F,CurrentSaaS!D$3,Accounts!$B:$B,"Customer",Accounts!$BJ:$BJ,"Monthly",Accounts!$C:$C,"Customer",Accounts!$H:$H,"&gt;"&amp;30,Accounts!$H:$H,"&lt;="&amp;60)</f>
        <v>0</v>
      </c>
      <c r="E16">
        <f>COUNTIFS(Accounts!$E:$E,CurrentSaaS!E$1,Accounts!$G:$G,CurrentSaaS!E$2,Accounts!$F:$F,CurrentSaaS!E$3,Accounts!$B:$B,"Customer",Accounts!$BJ:$BJ,"Monthly",Accounts!$C:$C,"Customer",Accounts!$H:$H,"&gt;"&amp;30,Accounts!$H:$H,"&lt;="&amp;60)</f>
        <v>0</v>
      </c>
      <c r="F16">
        <f>COUNTIFS(Accounts!$E:$E,CurrentSaaS!F$1,Accounts!$G:$G,CurrentSaaS!F$2,Accounts!$F:$F,CurrentSaaS!F$3,Accounts!$B:$B,"Customer",Accounts!$BJ:$BJ,"Monthly",Accounts!$C:$C,"Customer",Accounts!$H:$H,"&gt;"&amp;30,Accounts!$H:$H,"&lt;="&amp;60)</f>
        <v>0</v>
      </c>
      <c r="G16">
        <f>COUNTIFS(Accounts!$E:$E,CurrentSaaS!G$1,Accounts!$G:$G,CurrentSaaS!G$2,Accounts!$F:$F,CurrentSaaS!G$3,Accounts!$B:$B,"Customer",Accounts!$BJ:$BJ,"Monthly",Accounts!$C:$C,"Customer",Accounts!$H:$H,"&gt;"&amp;30,Accounts!$H:$H,"&lt;="&amp;60)</f>
        <v>0</v>
      </c>
      <c r="H16">
        <f>COUNTIFS(Accounts!$E:$E,CurrentSaaS!H$1,Accounts!$G:$G,CurrentSaaS!H$2,Accounts!$F:$F,CurrentSaaS!H$3,Accounts!$B:$B,"Customer",Accounts!$BJ:$BJ,"Monthly",Accounts!$C:$C,"Customer",Accounts!$H:$H,"&gt;"&amp;30,Accounts!$H:$H,"&lt;="&amp;60)</f>
        <v>0</v>
      </c>
      <c r="I16" s="15">
        <f>SUM(C16:H16)</f>
        <v>0</v>
      </c>
      <c r="J16">
        <f>COUNTIFS(Accounts!$E:$E,CurrentSaaS!J$1,Accounts!$G:$G,CurrentSaaS!J$2,Accounts!$F:$F,CurrentSaaS!J$3,Accounts!$B:$B,"Customer",Accounts!$BJ:$BJ,"Monthly",Accounts!$C:$C,"Customer",Accounts!$H:$H,"&gt;"&amp;30,Accounts!$H:$H,"&lt;="&amp;60)</f>
        <v>0</v>
      </c>
      <c r="K16">
        <f>COUNTIFS(Accounts!$E:$E,CurrentSaaS!K$1,Accounts!$G:$G,CurrentSaaS!K$2,Accounts!$F:$F,CurrentSaaS!K$3,Accounts!$B:$B,"Customer",Accounts!$BJ:$BJ,"Monthly",Accounts!$C:$C,"Customer",Accounts!$H:$H,"&gt;"&amp;30,Accounts!$H:$H,"&lt;="&amp;60)</f>
        <v>0</v>
      </c>
      <c r="L16">
        <f>COUNTIFS(Accounts!$E:$E,CurrentSaaS!L$1,Accounts!$G:$G,CurrentSaaS!L$2,Accounts!$F:$F,CurrentSaaS!L$3,Accounts!$B:$B,"Customer",Accounts!$BJ:$BJ,"Monthly",Accounts!$C:$C,"Customer",Accounts!$H:$H,"&gt;"&amp;30,Accounts!$H:$H,"&lt;="&amp;60)</f>
        <v>0</v>
      </c>
      <c r="M16">
        <f>COUNTIFS(Accounts!$E:$E,CurrentSaaS!M$1,Accounts!$G:$G,CurrentSaaS!M$2,Accounts!$F:$F,CurrentSaaS!M$3,Accounts!$B:$B,"Customer",Accounts!$BJ:$BJ,"Monthly",Accounts!$C:$C,"Customer",Accounts!$H:$H,"&gt;"&amp;30,Accounts!$H:$H,"&lt;="&amp;60)</f>
        <v>0</v>
      </c>
      <c r="N16">
        <f>COUNTIFS(Accounts!$E:$E,CurrentSaaS!N$1,Accounts!$G:$G,CurrentSaaS!N$2,Accounts!$F:$F,CurrentSaaS!N$3,Accounts!$B:$B,"Customer",Accounts!$BJ:$BJ,"Monthly",Accounts!$C:$C,"Customer",Accounts!$H:$H,"&gt;"&amp;30,Accounts!$H:$H,"&lt;="&amp;60)</f>
        <v>0</v>
      </c>
      <c r="O16">
        <f>COUNTIFS(Accounts!$E:$E,CurrentSaaS!O$1,Accounts!$G:$G,CurrentSaaS!O$2,Accounts!$F:$F,CurrentSaaS!O$3,Accounts!$B:$B,"Customer",Accounts!$BJ:$BJ,"Monthly",Accounts!$C:$C,"Customer",Accounts!$H:$H,"&gt;"&amp;30,Accounts!$H:$H,"&lt;="&amp;60)</f>
        <v>0</v>
      </c>
      <c r="P16" s="15">
        <f>SUM(J16:O16)</f>
        <v>0</v>
      </c>
      <c r="Q16">
        <f>COUNTIFS(Accounts!$E:$E,CurrentSaaS!Q$1,Accounts!$G:$G,CurrentSaaS!Q$2,Accounts!$F:$F,CurrentSaaS!Q$3,Accounts!$B:$B,"Customer",Accounts!$BJ:$BJ,"Monthly",Accounts!$C:$C,"Customer",Accounts!$H:$H,"&gt;"&amp;30,Accounts!$H:$H,"&lt;="&amp;60)</f>
        <v>0</v>
      </c>
      <c r="R16">
        <f>COUNTIFS(Accounts!$E:$E,CurrentSaaS!R$1,Accounts!$G:$G,CurrentSaaS!R$2,Accounts!$F:$F,CurrentSaaS!R$3,Accounts!$B:$B,"Customer",Accounts!$BJ:$BJ,"Monthly",Accounts!$C:$C,"Customer",Accounts!$H:$H,"&gt;"&amp;30,Accounts!$H:$H,"&lt;="&amp;60)</f>
        <v>0</v>
      </c>
      <c r="S16">
        <f>COUNTIFS(Accounts!$E:$E,CurrentSaaS!S$1,Accounts!$G:$G,CurrentSaaS!S$2,Accounts!$F:$F,CurrentSaaS!S$3,Accounts!$B:$B,"Customer",Accounts!$BJ:$BJ,"Monthly",Accounts!$C:$C,"Customer",Accounts!$H:$H,"&gt;"&amp;30,Accounts!$H:$H,"&lt;="&amp;60)</f>
        <v>0</v>
      </c>
      <c r="T16">
        <f>COUNTIFS(Accounts!$E:$E,CurrentSaaS!T$1,Accounts!$G:$G,CurrentSaaS!T$2,Accounts!$F:$F,CurrentSaaS!T$3,Accounts!$B:$B,"Customer",Accounts!$BJ:$BJ,"Monthly",Accounts!$C:$C,"Customer",Accounts!$H:$H,"&gt;"&amp;30,Accounts!$H:$H,"&lt;="&amp;60)</f>
        <v>0</v>
      </c>
      <c r="U16">
        <f>COUNTIFS(Accounts!$E:$E,CurrentSaaS!U$1,Accounts!$G:$G,CurrentSaaS!U$2,Accounts!$F:$F,CurrentSaaS!U$3,Accounts!$B:$B,"Customer",Accounts!$BJ:$BJ,"Monthly",Accounts!$C:$C,"Customer",Accounts!$H:$H,"&gt;"&amp;30,Accounts!$H:$H,"&lt;="&amp;60)</f>
        <v>0</v>
      </c>
      <c r="V16">
        <f>COUNTIFS(Accounts!$E:$E,CurrentSaaS!V$1,Accounts!$G:$G,CurrentSaaS!V$2,Accounts!$F:$F,CurrentSaaS!V$3,Accounts!$B:$B,"Customer",Accounts!$BJ:$BJ,"Monthly",Accounts!$C:$C,"Customer",Accounts!$H:$H,"&gt;"&amp;30,Accounts!$H:$H,"&lt;="&amp;60)</f>
        <v>0</v>
      </c>
      <c r="W16" s="15">
        <f>SUM(Q16:V16)</f>
        <v>0</v>
      </c>
    </row>
    <row r="17" spans="1:23" ht="16" thickBot="1" x14ac:dyDescent="0.25">
      <c r="A17" s="1" t="s">
        <v>92</v>
      </c>
      <c r="B17" s="10">
        <f t="shared" ref="B17:W17" si="2">IF(B16=0,0,B18/B16)</f>
        <v>0</v>
      </c>
      <c r="C17" s="18">
        <f t="shared" si="2"/>
        <v>0</v>
      </c>
      <c r="D17" s="18">
        <f t="shared" si="2"/>
        <v>0</v>
      </c>
      <c r="E17" s="18">
        <f t="shared" si="2"/>
        <v>0</v>
      </c>
      <c r="F17" s="18">
        <f t="shared" si="2"/>
        <v>0</v>
      </c>
      <c r="G17" s="18">
        <f t="shared" si="2"/>
        <v>0</v>
      </c>
      <c r="H17" s="18">
        <f t="shared" si="2"/>
        <v>0</v>
      </c>
      <c r="I17" s="6">
        <f t="shared" si="2"/>
        <v>0</v>
      </c>
      <c r="J17" s="18">
        <f t="shared" si="2"/>
        <v>0</v>
      </c>
      <c r="K17" s="18">
        <f t="shared" si="2"/>
        <v>0</v>
      </c>
      <c r="L17" s="18">
        <f t="shared" si="2"/>
        <v>0</v>
      </c>
      <c r="M17" s="18">
        <f t="shared" si="2"/>
        <v>0</v>
      </c>
      <c r="N17" s="18">
        <f t="shared" si="2"/>
        <v>0</v>
      </c>
      <c r="O17" s="18">
        <f t="shared" si="2"/>
        <v>0</v>
      </c>
      <c r="P17" s="6">
        <f t="shared" si="2"/>
        <v>0</v>
      </c>
      <c r="Q17" s="18">
        <f t="shared" si="2"/>
        <v>0</v>
      </c>
      <c r="R17" s="18">
        <f t="shared" si="2"/>
        <v>0</v>
      </c>
      <c r="S17" s="18">
        <f t="shared" si="2"/>
        <v>0</v>
      </c>
      <c r="T17" s="18">
        <f t="shared" si="2"/>
        <v>0</v>
      </c>
      <c r="U17" s="18">
        <f t="shared" si="2"/>
        <v>0</v>
      </c>
      <c r="V17" s="18">
        <f t="shared" si="2"/>
        <v>0</v>
      </c>
      <c r="W17" s="6">
        <f t="shared" si="2"/>
        <v>0</v>
      </c>
    </row>
    <row r="18" spans="1:23" ht="16" thickBot="1" x14ac:dyDescent="0.25">
      <c r="A18" s="1" t="s">
        <v>93</v>
      </c>
      <c r="B18" s="10">
        <f>I18+P18+W18</f>
        <v>0</v>
      </c>
      <c r="C18" s="18">
        <f>SUMIFS(Accounts!$BH:$BH,Accounts!$E:$E,CurrentSaaS!C$1,Accounts!$G:$G,CurrentSaaS!C$2,Accounts!$F:$F,CurrentSaaS!C$3,Accounts!$W:$W,0,Accounts!$C:$C,"Customer",Accounts!$BJ:$BJ,"Monthly",Accounts!$H:$H,"&gt;"&amp;30,Accounts!$H:$H,"&lt;="&amp;60)</f>
        <v>0</v>
      </c>
      <c r="D18" s="18">
        <f>SUMIFS(Accounts!$BH:$BH,Accounts!$E:$E,CurrentSaaS!D$1,Accounts!$G:$G,CurrentSaaS!D$2,Accounts!$F:$F,CurrentSaaS!D$3,Accounts!$W:$W,0,Accounts!$C:$C,"Customer",Accounts!$BJ:$BJ,"Monthly",Accounts!$H:$H,"&gt;"&amp;30,Accounts!$H:$H,"&lt;="&amp;60)</f>
        <v>0</v>
      </c>
      <c r="E18" s="18">
        <f>SUMIFS(Accounts!$BH:$BH,Accounts!$E:$E,CurrentSaaS!E$1,Accounts!$G:$G,CurrentSaaS!E$2,Accounts!$F:$F,CurrentSaaS!E$3,Accounts!$W:$W,0,Accounts!$C:$C,"Customer",Accounts!$BJ:$BJ,"Monthly",Accounts!$H:$H,"&gt;"&amp;30,Accounts!$H:$H,"&lt;="&amp;60)</f>
        <v>0</v>
      </c>
      <c r="F18" s="18">
        <f>SUMIFS(Accounts!$BH:$BH,Accounts!$E:$E,CurrentSaaS!F$1,Accounts!$G:$G,CurrentSaaS!F$2,Accounts!$F:$F,CurrentSaaS!F$3,Accounts!$W:$W,0,Accounts!$C:$C,"Customer",Accounts!$BJ:$BJ,"Monthly",Accounts!$H:$H,"&gt;"&amp;30,Accounts!$H:$H,"&lt;="&amp;60)</f>
        <v>0</v>
      </c>
      <c r="G18" s="18">
        <f>SUMIFS(Accounts!$BH:$BH,Accounts!$E:$E,CurrentSaaS!G$1,Accounts!$G:$G,CurrentSaaS!G$2,Accounts!$F:$F,CurrentSaaS!G$3,Accounts!$W:$W,0,Accounts!$C:$C,"Customer",Accounts!$BJ:$BJ,"Monthly",Accounts!$H:$H,"&gt;"&amp;30,Accounts!$H:$H,"&lt;="&amp;60)</f>
        <v>0</v>
      </c>
      <c r="H18" s="18">
        <f>SUMIFS(Accounts!$BH:$BH,Accounts!$E:$E,CurrentSaaS!H$1,Accounts!$G:$G,CurrentSaaS!H$2,Accounts!$F:$F,CurrentSaaS!H$3,Accounts!$W:$W,0,Accounts!$C:$C,"Customer",Accounts!$BJ:$BJ,"Monthly",Accounts!$H:$H,"&gt;"&amp;30,Accounts!$H:$H,"&lt;="&amp;60)</f>
        <v>0</v>
      </c>
      <c r="I18" s="6">
        <f>SUM(C18:H18)</f>
        <v>0</v>
      </c>
      <c r="J18" s="18">
        <f>SUMIFS(Accounts!$BH:$BH,Accounts!$E:$E,CurrentSaaS!J$1,Accounts!$G:$G,CurrentSaaS!J$2,Accounts!$F:$F,CurrentSaaS!J$3,Accounts!$W:$W,0,Accounts!$C:$C,"Customer",Accounts!$BJ:$BJ,"Monthly",Accounts!$H:$H,"&gt;"&amp;30,Accounts!$H:$H,"&lt;="&amp;60)</f>
        <v>0</v>
      </c>
      <c r="K18" s="18">
        <f>SUMIFS(Accounts!$BH:$BH,Accounts!$E:$E,CurrentSaaS!K$1,Accounts!$G:$G,CurrentSaaS!K$2,Accounts!$F:$F,CurrentSaaS!K$3,Accounts!$W:$W,0,Accounts!$C:$C,"Customer",Accounts!$BJ:$BJ,"Monthly",Accounts!$H:$H,"&gt;"&amp;30,Accounts!$H:$H,"&lt;="&amp;60)</f>
        <v>0</v>
      </c>
      <c r="L18" s="18">
        <f>SUMIFS(Accounts!$BH:$BH,Accounts!$E:$E,CurrentSaaS!L$1,Accounts!$G:$G,CurrentSaaS!L$2,Accounts!$F:$F,CurrentSaaS!L$3,Accounts!$W:$W,0,Accounts!$C:$C,"Customer",Accounts!$BJ:$BJ,"Monthly",Accounts!$H:$H,"&gt;"&amp;30,Accounts!$H:$H,"&lt;="&amp;60)</f>
        <v>0</v>
      </c>
      <c r="M18" s="18">
        <f>SUMIFS(Accounts!$BH:$BH,Accounts!$E:$E,CurrentSaaS!M$1,Accounts!$G:$G,CurrentSaaS!M$2,Accounts!$F:$F,CurrentSaaS!M$3,Accounts!$W:$W,0,Accounts!$C:$C,"Customer",Accounts!$BJ:$BJ,"Monthly",Accounts!$H:$H,"&gt;"&amp;30,Accounts!$H:$H,"&lt;="&amp;60)</f>
        <v>0</v>
      </c>
      <c r="N18" s="18">
        <f>SUMIFS(Accounts!$BH:$BH,Accounts!$E:$E,CurrentSaaS!N$1,Accounts!$G:$G,CurrentSaaS!N$2,Accounts!$F:$F,CurrentSaaS!N$3,Accounts!$W:$W,0,Accounts!$C:$C,"Customer",Accounts!$BJ:$BJ,"Monthly",Accounts!$H:$H,"&gt;"&amp;30,Accounts!$H:$H,"&lt;="&amp;60)</f>
        <v>0</v>
      </c>
      <c r="O18" s="18">
        <f>SUMIFS(Accounts!$BH:$BH,Accounts!$E:$E,CurrentSaaS!O$1,Accounts!$G:$G,CurrentSaaS!O$2,Accounts!$F:$F,CurrentSaaS!O$3,Accounts!$W:$W,0,Accounts!$C:$C,"Customer",Accounts!$BJ:$BJ,"Monthly",Accounts!$H:$H,"&gt;"&amp;30,Accounts!$H:$H,"&lt;="&amp;60)</f>
        <v>0</v>
      </c>
      <c r="P18" s="6">
        <f>SUM(J18:O18)</f>
        <v>0</v>
      </c>
      <c r="Q18" s="18">
        <f>SUMIFS(Accounts!$BH:$BH,Accounts!$E:$E,CurrentSaaS!Q$1,Accounts!$G:$G,CurrentSaaS!Q$2,Accounts!$F:$F,CurrentSaaS!Q$3,Accounts!$W:$W,0,Accounts!$C:$C,"Customer",Accounts!$BJ:$BJ,"Monthly",Accounts!$H:$H,"&gt;"&amp;30,Accounts!$H:$H,"&lt;="&amp;60)</f>
        <v>0</v>
      </c>
      <c r="R18" s="18">
        <f>SUMIFS(Accounts!$BH:$BH,Accounts!$E:$E,CurrentSaaS!R$1,Accounts!$G:$G,CurrentSaaS!R$2,Accounts!$F:$F,CurrentSaaS!R$3,Accounts!$W:$W,0,Accounts!$C:$C,"Customer",Accounts!$BJ:$BJ,"Monthly",Accounts!$H:$H,"&gt;"&amp;30,Accounts!$H:$H,"&lt;="&amp;60)</f>
        <v>0</v>
      </c>
      <c r="S18" s="18">
        <f>SUMIFS(Accounts!$BH:$BH,Accounts!$E:$E,CurrentSaaS!S$1,Accounts!$G:$G,CurrentSaaS!S$2,Accounts!$F:$F,CurrentSaaS!S$3,Accounts!$W:$W,0,Accounts!$C:$C,"Customer",Accounts!$BJ:$BJ,"Monthly",Accounts!$H:$H,"&gt;"&amp;30,Accounts!$H:$H,"&lt;="&amp;60)</f>
        <v>0</v>
      </c>
      <c r="T18" s="18">
        <f>SUMIFS(Accounts!$BH:$BH,Accounts!$E:$E,CurrentSaaS!T$1,Accounts!$G:$G,CurrentSaaS!T$2,Accounts!$F:$F,CurrentSaaS!T$3,Accounts!$W:$W,0,Accounts!$C:$C,"Customer",Accounts!$BJ:$BJ,"Monthly",Accounts!$H:$H,"&gt;"&amp;30,Accounts!$H:$H,"&lt;="&amp;60)</f>
        <v>0</v>
      </c>
      <c r="U18" s="18">
        <f>SUMIFS(Accounts!$BH:$BH,Accounts!$E:$E,CurrentSaaS!U$1,Accounts!$G:$G,CurrentSaaS!U$2,Accounts!$F:$F,CurrentSaaS!U$3,Accounts!$W:$W,0,Accounts!$C:$C,"Customer",Accounts!$BJ:$BJ,"Monthly",Accounts!$H:$H,"&gt;"&amp;30,Accounts!$H:$H,"&lt;="&amp;60)</f>
        <v>0</v>
      </c>
      <c r="V18" s="18">
        <f>SUMIFS(Accounts!$BH:$BH,Accounts!$E:$E,CurrentSaaS!V$1,Accounts!$G:$G,CurrentSaaS!V$2,Accounts!$F:$F,CurrentSaaS!V$3,Accounts!$W:$W,0,Accounts!$C:$C,"Customer",Accounts!$BJ:$BJ,"Monthly",Accounts!$H:$H,"&gt;"&amp;30,Accounts!$H:$H,"&lt;="&amp;60)</f>
        <v>0</v>
      </c>
      <c r="W18" s="6">
        <f>SUM(Q18:V18)</f>
        <v>0</v>
      </c>
    </row>
    <row r="19" spans="1:23" ht="16" thickBot="1" x14ac:dyDescent="0.25">
      <c r="A19" s="1" t="s">
        <v>124</v>
      </c>
      <c r="B19" s="10"/>
      <c r="C19" s="18"/>
      <c r="D19" s="18"/>
      <c r="E19" s="18"/>
      <c r="F19" s="18"/>
      <c r="G19" s="18"/>
      <c r="H19" s="18"/>
      <c r="I19" s="6"/>
      <c r="J19" s="18"/>
      <c r="K19" s="18"/>
      <c r="L19" s="18"/>
      <c r="M19" s="18"/>
      <c r="N19" s="18"/>
      <c r="O19" s="18"/>
      <c r="P19" s="6"/>
      <c r="Q19" s="18"/>
      <c r="R19" s="18"/>
      <c r="S19" s="18"/>
      <c r="T19" s="18"/>
      <c r="U19" s="18"/>
      <c r="V19" s="18"/>
      <c r="W19" s="6"/>
    </row>
    <row r="20" spans="1:23" ht="16" thickBot="1" x14ac:dyDescent="0.25">
      <c r="A20" s="1" t="s">
        <v>89</v>
      </c>
      <c r="B20" s="9">
        <f>I20+P20+W20</f>
        <v>0</v>
      </c>
      <c r="C20">
        <f>COUNTIFS(Accounts!$E:$E,CurrentSaaS!C$1,Accounts!$G:$G,CurrentSaaS!C$2,Accounts!$F:$F,CurrentSaaS!C$3,Accounts!$B:$B,"Customer",Accounts!$BJ:$BJ,"Monthly",Accounts!$C:$C,"Customer",Accounts!$H:$H,"&gt;"&amp;60,Accounts!$H:$H,"&lt;="&amp;180)</f>
        <v>0</v>
      </c>
      <c r="D20">
        <f>COUNTIFS(Accounts!$E:$E,CurrentSaaS!D$1,Accounts!$G:$G,CurrentSaaS!D$2,Accounts!$F:$F,CurrentSaaS!D$3,Accounts!$B:$B,"Customer",Accounts!$BJ:$BJ,"Monthly",Accounts!$C:$C,"Customer",Accounts!$H:$H,"&gt;"&amp;60,Accounts!$H:$H,"&lt;="&amp;180)</f>
        <v>0</v>
      </c>
      <c r="E20">
        <f>COUNTIFS(Accounts!$E:$E,CurrentSaaS!E$1,Accounts!$G:$G,CurrentSaaS!E$2,Accounts!$F:$F,CurrentSaaS!E$3,Accounts!$B:$B,"Customer",Accounts!$BJ:$BJ,"Monthly",Accounts!$C:$C,"Customer",Accounts!$H:$H,"&gt;"&amp;60,Accounts!$H:$H,"&lt;="&amp;180)</f>
        <v>0</v>
      </c>
      <c r="F20">
        <f>COUNTIFS(Accounts!$E:$E,CurrentSaaS!F$1,Accounts!$G:$G,CurrentSaaS!F$2,Accounts!$F:$F,CurrentSaaS!F$3,Accounts!$B:$B,"Customer",Accounts!$BJ:$BJ,"Monthly",Accounts!$C:$C,"Customer",Accounts!$H:$H,"&gt;"&amp;60,Accounts!$H:$H,"&lt;="&amp;180)</f>
        <v>0</v>
      </c>
      <c r="G20">
        <f>COUNTIFS(Accounts!$E:$E,CurrentSaaS!G$1,Accounts!$G:$G,CurrentSaaS!G$2,Accounts!$F:$F,CurrentSaaS!G$3,Accounts!$B:$B,"Customer",Accounts!$BJ:$BJ,"Monthly",Accounts!$C:$C,"Customer",Accounts!$H:$H,"&gt;"&amp;60,Accounts!$H:$H,"&lt;="&amp;180)</f>
        <v>0</v>
      </c>
      <c r="H20">
        <f>COUNTIFS(Accounts!$E:$E,CurrentSaaS!H$1,Accounts!$G:$G,CurrentSaaS!H$2,Accounts!$F:$F,CurrentSaaS!H$3,Accounts!$B:$B,"Customer",Accounts!$BJ:$BJ,"Monthly",Accounts!$C:$C,"Customer",Accounts!$H:$H,"&gt;"&amp;60,Accounts!$H:$H,"&lt;="&amp;180)</f>
        <v>0</v>
      </c>
      <c r="I20" s="15">
        <f>SUM(C20:H20)</f>
        <v>0</v>
      </c>
      <c r="J20">
        <f>COUNTIFS(Accounts!$E:$E,CurrentSaaS!J$1,Accounts!$G:$G,CurrentSaaS!J$2,Accounts!$F:$F,CurrentSaaS!J$3,Accounts!$B:$B,"Customer",Accounts!$BJ:$BJ,"Monthly",Accounts!$C:$C,"Customer",Accounts!$H:$H,"&gt;"&amp;60,Accounts!$H:$H,"&lt;="&amp;180)</f>
        <v>0</v>
      </c>
      <c r="K20">
        <f>COUNTIFS(Accounts!$E:$E,CurrentSaaS!K$1,Accounts!$G:$G,CurrentSaaS!K$2,Accounts!$F:$F,CurrentSaaS!K$3,Accounts!$B:$B,"Customer",Accounts!$BJ:$BJ,"Monthly",Accounts!$C:$C,"Customer",Accounts!$H:$H,"&gt;"&amp;60,Accounts!$H:$H,"&lt;="&amp;180)</f>
        <v>0</v>
      </c>
      <c r="L20">
        <f>COUNTIFS(Accounts!$E:$E,CurrentSaaS!L$1,Accounts!$G:$G,CurrentSaaS!L$2,Accounts!$F:$F,CurrentSaaS!L$3,Accounts!$B:$B,"Customer",Accounts!$BJ:$BJ,"Monthly",Accounts!$C:$C,"Customer",Accounts!$H:$H,"&gt;"&amp;60,Accounts!$H:$H,"&lt;="&amp;180)</f>
        <v>0</v>
      </c>
      <c r="M20">
        <f>COUNTIFS(Accounts!$E:$E,CurrentSaaS!M$1,Accounts!$G:$G,CurrentSaaS!M$2,Accounts!$F:$F,CurrentSaaS!M$3,Accounts!$B:$B,"Customer",Accounts!$BJ:$BJ,"Monthly",Accounts!$C:$C,"Customer",Accounts!$H:$H,"&gt;"&amp;60,Accounts!$H:$H,"&lt;="&amp;180)</f>
        <v>0</v>
      </c>
      <c r="N20">
        <f>COUNTIFS(Accounts!$E:$E,CurrentSaaS!N$1,Accounts!$G:$G,CurrentSaaS!N$2,Accounts!$F:$F,CurrentSaaS!N$3,Accounts!$B:$B,"Customer",Accounts!$BJ:$BJ,"Monthly",Accounts!$C:$C,"Customer",Accounts!$H:$H,"&gt;"&amp;60,Accounts!$H:$H,"&lt;="&amp;180)</f>
        <v>0</v>
      </c>
      <c r="O20">
        <f>COUNTIFS(Accounts!$E:$E,CurrentSaaS!O$1,Accounts!$G:$G,CurrentSaaS!O$2,Accounts!$F:$F,CurrentSaaS!O$3,Accounts!$B:$B,"Customer",Accounts!$BJ:$BJ,"Monthly",Accounts!$C:$C,"Customer",Accounts!$H:$H,"&gt;"&amp;60,Accounts!$H:$H,"&lt;="&amp;180)</f>
        <v>0</v>
      </c>
      <c r="P20" s="15">
        <f>SUM(J20:O20)</f>
        <v>0</v>
      </c>
      <c r="Q20">
        <f>COUNTIFS(Accounts!$E:$E,CurrentSaaS!Q$1,Accounts!$G:$G,CurrentSaaS!Q$2,Accounts!$F:$F,CurrentSaaS!Q$3,Accounts!$B:$B,"Customer",Accounts!$BJ:$BJ,"Monthly",Accounts!$C:$C,"Customer",Accounts!$H:$H,"&gt;"&amp;60,Accounts!$H:$H,"&lt;="&amp;180)</f>
        <v>0</v>
      </c>
      <c r="R20">
        <f>COUNTIFS(Accounts!$E:$E,CurrentSaaS!R$1,Accounts!$G:$G,CurrentSaaS!R$2,Accounts!$F:$F,CurrentSaaS!R$3,Accounts!$B:$B,"Customer",Accounts!$BJ:$BJ,"Monthly",Accounts!$C:$C,"Customer",Accounts!$H:$H,"&gt;"&amp;60,Accounts!$H:$H,"&lt;="&amp;180)</f>
        <v>0</v>
      </c>
      <c r="S20">
        <f>COUNTIFS(Accounts!$E:$E,CurrentSaaS!S$1,Accounts!$G:$G,CurrentSaaS!S$2,Accounts!$F:$F,CurrentSaaS!S$3,Accounts!$B:$B,"Customer",Accounts!$BJ:$BJ,"Monthly",Accounts!$C:$C,"Customer",Accounts!$H:$H,"&gt;"&amp;60,Accounts!$H:$H,"&lt;="&amp;180)</f>
        <v>0</v>
      </c>
      <c r="T20">
        <f>COUNTIFS(Accounts!$E:$E,CurrentSaaS!T$1,Accounts!$G:$G,CurrentSaaS!T$2,Accounts!$F:$F,CurrentSaaS!T$3,Accounts!$B:$B,"Customer",Accounts!$BJ:$BJ,"Monthly",Accounts!$C:$C,"Customer",Accounts!$H:$H,"&gt;"&amp;60,Accounts!$H:$H,"&lt;="&amp;180)</f>
        <v>0</v>
      </c>
      <c r="U20">
        <f>COUNTIFS(Accounts!$E:$E,CurrentSaaS!U$1,Accounts!$G:$G,CurrentSaaS!U$2,Accounts!$F:$F,CurrentSaaS!U$3,Accounts!$B:$B,"Customer",Accounts!$BJ:$BJ,"Monthly",Accounts!$C:$C,"Customer",Accounts!$H:$H,"&gt;"&amp;60,Accounts!$H:$H,"&lt;="&amp;180)</f>
        <v>0</v>
      </c>
      <c r="V20">
        <f>COUNTIFS(Accounts!$E:$E,CurrentSaaS!V$1,Accounts!$G:$G,CurrentSaaS!V$2,Accounts!$F:$F,CurrentSaaS!V$3,Accounts!$B:$B,"Customer",Accounts!$BJ:$BJ,"Monthly",Accounts!$C:$C,"Customer",Accounts!$H:$H,"&gt;"&amp;60,Accounts!$H:$H,"&lt;="&amp;180)</f>
        <v>0</v>
      </c>
      <c r="W20" s="15">
        <f>SUM(Q20:V20)</f>
        <v>0</v>
      </c>
    </row>
    <row r="21" spans="1:23" ht="16" thickBot="1" x14ac:dyDescent="0.25">
      <c r="A21" s="1" t="s">
        <v>92</v>
      </c>
      <c r="B21" s="10">
        <f t="shared" ref="B21:W21" si="3">IF(B20=0,0,B22/B20)</f>
        <v>0</v>
      </c>
      <c r="C21" s="18">
        <f t="shared" si="3"/>
        <v>0</v>
      </c>
      <c r="D21" s="18">
        <f t="shared" si="3"/>
        <v>0</v>
      </c>
      <c r="E21" s="18">
        <f t="shared" si="3"/>
        <v>0</v>
      </c>
      <c r="F21" s="18">
        <f t="shared" si="3"/>
        <v>0</v>
      </c>
      <c r="G21" s="18">
        <f t="shared" si="3"/>
        <v>0</v>
      </c>
      <c r="H21" s="18">
        <f t="shared" si="3"/>
        <v>0</v>
      </c>
      <c r="I21" s="6">
        <f t="shared" si="3"/>
        <v>0</v>
      </c>
      <c r="J21" s="18">
        <f t="shared" si="3"/>
        <v>0</v>
      </c>
      <c r="K21" s="18">
        <f t="shared" si="3"/>
        <v>0</v>
      </c>
      <c r="L21" s="18">
        <f t="shared" si="3"/>
        <v>0</v>
      </c>
      <c r="M21" s="18">
        <f t="shared" si="3"/>
        <v>0</v>
      </c>
      <c r="N21" s="18">
        <f t="shared" si="3"/>
        <v>0</v>
      </c>
      <c r="O21" s="18">
        <f t="shared" si="3"/>
        <v>0</v>
      </c>
      <c r="P21" s="6">
        <f t="shared" si="3"/>
        <v>0</v>
      </c>
      <c r="Q21" s="18">
        <f t="shared" si="3"/>
        <v>0</v>
      </c>
      <c r="R21" s="18">
        <f t="shared" si="3"/>
        <v>0</v>
      </c>
      <c r="S21" s="18">
        <f t="shared" si="3"/>
        <v>0</v>
      </c>
      <c r="T21" s="18">
        <f t="shared" si="3"/>
        <v>0</v>
      </c>
      <c r="U21" s="18">
        <f t="shared" si="3"/>
        <v>0</v>
      </c>
      <c r="V21" s="18">
        <f t="shared" si="3"/>
        <v>0</v>
      </c>
      <c r="W21" s="6">
        <f t="shared" si="3"/>
        <v>0</v>
      </c>
    </row>
    <row r="22" spans="1:23" ht="16" thickBot="1" x14ac:dyDescent="0.25">
      <c r="A22" s="1" t="s">
        <v>93</v>
      </c>
      <c r="B22" s="10">
        <f>I22+P22+W22</f>
        <v>0</v>
      </c>
      <c r="C22" s="18">
        <f>SUMIFS(Accounts!$BH:$BH,Accounts!$E:$E,CurrentSaaS!C$1,Accounts!$G:$G,CurrentSaaS!C$2,Accounts!$F:$F,CurrentSaaS!C$3,Accounts!$W:$W,0,Accounts!$C:$C,"Customer",Accounts!$BJ:$BJ,"Monthly",Accounts!$H:$H,"&gt;"&amp;60,Accounts!$H:$H,"&lt;="&amp;180)</f>
        <v>0</v>
      </c>
      <c r="D22" s="18">
        <f>SUMIFS(Accounts!$BH:$BH,Accounts!$E:$E,CurrentSaaS!D$1,Accounts!$G:$G,CurrentSaaS!D$2,Accounts!$F:$F,CurrentSaaS!D$3,Accounts!$W:$W,0,Accounts!$C:$C,"Customer",Accounts!$BJ:$BJ,"Monthly",Accounts!$H:$H,"&gt;"&amp;60,Accounts!$H:$H,"&lt;="&amp;180)</f>
        <v>0</v>
      </c>
      <c r="E22" s="18">
        <f>SUMIFS(Accounts!$BH:$BH,Accounts!$E:$E,CurrentSaaS!E$1,Accounts!$G:$G,CurrentSaaS!E$2,Accounts!$F:$F,CurrentSaaS!E$3,Accounts!$W:$W,0,Accounts!$C:$C,"Customer",Accounts!$BJ:$BJ,"Monthly",Accounts!$H:$H,"&gt;"&amp;60,Accounts!$H:$H,"&lt;="&amp;180)</f>
        <v>0</v>
      </c>
      <c r="F22" s="18">
        <f>SUMIFS(Accounts!$BH:$BH,Accounts!$E:$E,CurrentSaaS!F$1,Accounts!$G:$G,CurrentSaaS!F$2,Accounts!$F:$F,CurrentSaaS!F$3,Accounts!$W:$W,0,Accounts!$C:$C,"Customer",Accounts!$BJ:$BJ,"Monthly",Accounts!$H:$H,"&gt;"&amp;60,Accounts!$H:$H,"&lt;="&amp;180)</f>
        <v>0</v>
      </c>
      <c r="G22" s="18">
        <f>SUMIFS(Accounts!$BH:$BH,Accounts!$E:$E,CurrentSaaS!G$1,Accounts!$G:$G,CurrentSaaS!G$2,Accounts!$F:$F,CurrentSaaS!G$3,Accounts!$W:$W,0,Accounts!$C:$C,"Customer",Accounts!$BJ:$BJ,"Monthly",Accounts!$H:$H,"&gt;"&amp;60,Accounts!$H:$H,"&lt;="&amp;180)</f>
        <v>0</v>
      </c>
      <c r="H22" s="18">
        <f>SUMIFS(Accounts!$BH:$BH,Accounts!$E:$E,CurrentSaaS!H$1,Accounts!$G:$G,CurrentSaaS!H$2,Accounts!$F:$F,CurrentSaaS!H$3,Accounts!$W:$W,0,Accounts!$C:$C,"Customer",Accounts!$BJ:$BJ,"Monthly",Accounts!$H:$H,"&gt;"&amp;60,Accounts!$H:$H,"&lt;="&amp;180)</f>
        <v>0</v>
      </c>
      <c r="I22" s="6">
        <f>SUM(C22:H22)</f>
        <v>0</v>
      </c>
      <c r="J22" s="18">
        <f>SUMIFS(Accounts!$BH:$BH,Accounts!$E:$E,CurrentSaaS!J$1,Accounts!$G:$G,CurrentSaaS!J$2,Accounts!$F:$F,CurrentSaaS!J$3,Accounts!$W:$W,0,Accounts!$C:$C,"Customer",Accounts!$BJ:$BJ,"Monthly",Accounts!$H:$H,"&gt;"&amp;60,Accounts!$H:$H,"&lt;="&amp;180)</f>
        <v>0</v>
      </c>
      <c r="K22" s="18">
        <f>SUMIFS(Accounts!$BH:$BH,Accounts!$E:$E,CurrentSaaS!K$1,Accounts!$G:$G,CurrentSaaS!K$2,Accounts!$F:$F,CurrentSaaS!K$3,Accounts!$W:$W,0,Accounts!$C:$C,"Customer",Accounts!$BJ:$BJ,"Monthly",Accounts!$H:$H,"&gt;"&amp;60,Accounts!$H:$H,"&lt;="&amp;180)</f>
        <v>0</v>
      </c>
      <c r="L22" s="18">
        <f>SUMIFS(Accounts!$BH:$BH,Accounts!$E:$E,CurrentSaaS!L$1,Accounts!$G:$G,CurrentSaaS!L$2,Accounts!$F:$F,CurrentSaaS!L$3,Accounts!$W:$W,0,Accounts!$C:$C,"Customer",Accounts!$BJ:$BJ,"Monthly",Accounts!$H:$H,"&gt;"&amp;60,Accounts!$H:$H,"&lt;="&amp;180)</f>
        <v>0</v>
      </c>
      <c r="M22" s="18">
        <f>SUMIFS(Accounts!$BH:$BH,Accounts!$E:$E,CurrentSaaS!M$1,Accounts!$G:$G,CurrentSaaS!M$2,Accounts!$F:$F,CurrentSaaS!M$3,Accounts!$W:$W,0,Accounts!$C:$C,"Customer",Accounts!$BJ:$BJ,"Monthly",Accounts!$H:$H,"&gt;"&amp;60,Accounts!$H:$H,"&lt;="&amp;180)</f>
        <v>0</v>
      </c>
      <c r="N22" s="18">
        <f>SUMIFS(Accounts!$BH:$BH,Accounts!$E:$E,CurrentSaaS!N$1,Accounts!$G:$G,CurrentSaaS!N$2,Accounts!$F:$F,CurrentSaaS!N$3,Accounts!$W:$W,0,Accounts!$C:$C,"Customer",Accounts!$BJ:$BJ,"Monthly",Accounts!$H:$H,"&gt;"&amp;60,Accounts!$H:$H,"&lt;="&amp;180)</f>
        <v>0</v>
      </c>
      <c r="O22" s="18">
        <f>SUMIFS(Accounts!$BH:$BH,Accounts!$E:$E,CurrentSaaS!O$1,Accounts!$G:$G,CurrentSaaS!O$2,Accounts!$F:$F,CurrentSaaS!O$3,Accounts!$W:$W,0,Accounts!$C:$C,"Customer",Accounts!$BJ:$BJ,"Monthly",Accounts!$H:$H,"&gt;"&amp;60,Accounts!$H:$H,"&lt;="&amp;180)</f>
        <v>0</v>
      </c>
      <c r="P22" s="6">
        <f>SUM(J22:O22)</f>
        <v>0</v>
      </c>
      <c r="Q22" s="18">
        <f>SUMIFS(Accounts!$BH:$BH,Accounts!$E:$E,CurrentSaaS!Q$1,Accounts!$G:$G,CurrentSaaS!Q$2,Accounts!$F:$F,CurrentSaaS!Q$3,Accounts!$W:$W,0,Accounts!$C:$C,"Customer",Accounts!$BJ:$BJ,"Monthly",Accounts!$H:$H,"&gt;"&amp;60,Accounts!$H:$H,"&lt;="&amp;180)</f>
        <v>0</v>
      </c>
      <c r="R22" s="18">
        <f>SUMIFS(Accounts!$BH:$BH,Accounts!$E:$E,CurrentSaaS!R$1,Accounts!$G:$G,CurrentSaaS!R$2,Accounts!$F:$F,CurrentSaaS!R$3,Accounts!$W:$W,0,Accounts!$C:$C,"Customer",Accounts!$BJ:$BJ,"Monthly",Accounts!$H:$H,"&gt;"&amp;60,Accounts!$H:$H,"&lt;="&amp;180)</f>
        <v>0</v>
      </c>
      <c r="S22" s="18">
        <f>SUMIFS(Accounts!$BH:$BH,Accounts!$E:$E,CurrentSaaS!S$1,Accounts!$G:$G,CurrentSaaS!S$2,Accounts!$F:$F,CurrentSaaS!S$3,Accounts!$W:$W,0,Accounts!$C:$C,"Customer",Accounts!$BJ:$BJ,"Monthly",Accounts!$H:$H,"&gt;"&amp;60,Accounts!$H:$H,"&lt;="&amp;180)</f>
        <v>0</v>
      </c>
      <c r="T22" s="18">
        <f>SUMIFS(Accounts!$BH:$BH,Accounts!$E:$E,CurrentSaaS!T$1,Accounts!$G:$G,CurrentSaaS!T$2,Accounts!$F:$F,CurrentSaaS!T$3,Accounts!$W:$W,0,Accounts!$C:$C,"Customer",Accounts!$BJ:$BJ,"Monthly",Accounts!$H:$H,"&gt;"&amp;60,Accounts!$H:$H,"&lt;="&amp;180)</f>
        <v>0</v>
      </c>
      <c r="U22" s="18">
        <f>SUMIFS(Accounts!$BH:$BH,Accounts!$E:$E,CurrentSaaS!U$1,Accounts!$G:$G,CurrentSaaS!U$2,Accounts!$F:$F,CurrentSaaS!U$3,Accounts!$W:$W,0,Accounts!$C:$C,"Customer",Accounts!$BJ:$BJ,"Monthly",Accounts!$H:$H,"&gt;"&amp;60,Accounts!$H:$H,"&lt;="&amp;180)</f>
        <v>0</v>
      </c>
      <c r="V22" s="18">
        <f>SUMIFS(Accounts!$BH:$BH,Accounts!$E:$E,CurrentSaaS!V$1,Accounts!$G:$G,CurrentSaaS!V$2,Accounts!$F:$F,CurrentSaaS!V$3,Accounts!$W:$W,0,Accounts!$C:$C,"Customer",Accounts!$BJ:$BJ,"Monthly",Accounts!$H:$H,"&gt;"&amp;60,Accounts!$H:$H,"&lt;="&amp;180)</f>
        <v>0</v>
      </c>
      <c r="W22" s="6">
        <f>SUM(Q22:V22)</f>
        <v>0</v>
      </c>
    </row>
    <row r="23" spans="1:23" ht="16" thickBot="1" x14ac:dyDescent="0.25">
      <c r="A23" s="1" t="s">
        <v>97</v>
      </c>
      <c r="B23" s="10"/>
      <c r="C23" s="18"/>
      <c r="D23" s="18"/>
      <c r="E23" s="18"/>
      <c r="F23" s="18"/>
      <c r="G23" s="18"/>
      <c r="H23" s="18"/>
      <c r="I23" s="6"/>
      <c r="J23" s="18"/>
      <c r="K23" s="18"/>
      <c r="L23" s="18"/>
      <c r="M23" s="18"/>
      <c r="N23" s="18"/>
      <c r="O23" s="18"/>
      <c r="P23" s="6"/>
      <c r="Q23" s="18"/>
      <c r="R23" s="18"/>
      <c r="S23" s="18"/>
      <c r="T23" s="18"/>
      <c r="U23" s="18"/>
      <c r="V23" s="18"/>
      <c r="W23" s="6"/>
    </row>
    <row r="24" spans="1:23" ht="16" thickBot="1" x14ac:dyDescent="0.25">
      <c r="A24" s="1" t="s">
        <v>89</v>
      </c>
      <c r="B24" s="9">
        <f>I24+P24+W24</f>
        <v>1</v>
      </c>
      <c r="C24">
        <f>COUNTIFS(Accounts!$E:$E,CurrentSaaS!C$1,Accounts!$G:$G,CurrentSaaS!C$2,Accounts!$F:$F,CurrentSaaS!C$3,Accounts!$B:$B,"Customer",Accounts!$BJ:$BJ,"Monthly",Accounts!$C:$C,"Customer",Accounts!$H:$H,"&gt;"&amp;180)</f>
        <v>0</v>
      </c>
      <c r="D24">
        <f>COUNTIFS(Accounts!$E:$E,CurrentSaaS!D$1,Accounts!$G:$G,CurrentSaaS!D$2,Accounts!$F:$F,CurrentSaaS!D$3,Accounts!$B:$B,"Customer",Accounts!$BJ:$BJ,"Monthly",Accounts!$C:$C,"Customer",Accounts!$H:$H,"&gt;"&amp;180)</f>
        <v>0</v>
      </c>
      <c r="E24">
        <f>COUNTIFS(Accounts!$E:$E,CurrentSaaS!E$1,Accounts!$G:$G,CurrentSaaS!E$2,Accounts!$F:$F,CurrentSaaS!E$3,Accounts!$B:$B,"Customer",Accounts!$BJ:$BJ,"Monthly",Accounts!$C:$C,"Customer",Accounts!$H:$H,"&gt;"&amp;180)</f>
        <v>0</v>
      </c>
      <c r="F24">
        <f>COUNTIFS(Accounts!$E:$E,CurrentSaaS!F$1,Accounts!$G:$G,CurrentSaaS!F$2,Accounts!$F:$F,CurrentSaaS!F$3,Accounts!$B:$B,"Customer",Accounts!$BJ:$BJ,"Monthly",Accounts!$C:$C,"Customer",Accounts!$H:$H,"&gt;"&amp;180)</f>
        <v>0</v>
      </c>
      <c r="G24">
        <f>COUNTIFS(Accounts!$E:$E,CurrentSaaS!G$1,Accounts!$G:$G,CurrentSaaS!G$2,Accounts!$F:$F,CurrentSaaS!G$3,Accounts!$B:$B,"Customer",Accounts!$BJ:$BJ,"Monthly",Accounts!$C:$C,"Customer",Accounts!$H:$H,"&gt;"&amp;180)</f>
        <v>0</v>
      </c>
      <c r="H24">
        <f>COUNTIFS(Accounts!$E:$E,CurrentSaaS!H$1,Accounts!$G:$G,CurrentSaaS!H$2,Accounts!$F:$F,CurrentSaaS!H$3,Accounts!$B:$B,"Customer",Accounts!$BJ:$BJ,"Monthly",Accounts!$C:$C,"Customer",Accounts!$H:$H,"&gt;"&amp;180)</f>
        <v>0</v>
      </c>
      <c r="I24" s="15">
        <f>SUM(C24:H24)</f>
        <v>0</v>
      </c>
      <c r="J24">
        <f>COUNTIFS(Accounts!$E:$E,CurrentSaaS!J$1,Accounts!$G:$G,CurrentSaaS!J$2,Accounts!$F:$F,CurrentSaaS!J$3,Accounts!$B:$B,"Customer",Accounts!$BJ:$BJ,"Monthly",Accounts!$C:$C,"Customer",Accounts!$H:$H,"&gt;"&amp;180)</f>
        <v>0</v>
      </c>
      <c r="K24">
        <f>COUNTIFS(Accounts!$E:$E,CurrentSaaS!K$1,Accounts!$G:$G,CurrentSaaS!K$2,Accounts!$F:$F,CurrentSaaS!K$3,Accounts!$B:$B,"Customer",Accounts!$BJ:$BJ,"Monthly",Accounts!$C:$C,"Customer",Accounts!$H:$H,"&gt;"&amp;180)</f>
        <v>0</v>
      </c>
      <c r="L24">
        <f>COUNTIFS(Accounts!$E:$E,CurrentSaaS!L$1,Accounts!$G:$G,CurrentSaaS!L$2,Accounts!$F:$F,CurrentSaaS!L$3,Accounts!$B:$B,"Customer",Accounts!$BJ:$BJ,"Monthly",Accounts!$C:$C,"Customer",Accounts!$H:$H,"&gt;"&amp;180)</f>
        <v>0</v>
      </c>
      <c r="M24">
        <f>COUNTIFS(Accounts!$E:$E,CurrentSaaS!M$1,Accounts!$G:$G,CurrentSaaS!M$2,Accounts!$F:$F,CurrentSaaS!M$3,Accounts!$B:$B,"Customer",Accounts!$BJ:$BJ,"Monthly",Accounts!$C:$C,"Customer",Accounts!$H:$H,"&gt;"&amp;180)</f>
        <v>0</v>
      </c>
      <c r="N24">
        <f>COUNTIFS(Accounts!$E:$E,CurrentSaaS!N$1,Accounts!$G:$G,CurrentSaaS!N$2,Accounts!$F:$F,CurrentSaaS!N$3,Accounts!$B:$B,"Customer",Accounts!$BJ:$BJ,"Monthly",Accounts!$C:$C,"Customer",Accounts!$H:$H,"&gt;"&amp;180)</f>
        <v>0</v>
      </c>
      <c r="O24">
        <f>COUNTIFS(Accounts!$E:$E,CurrentSaaS!O$1,Accounts!$G:$G,CurrentSaaS!O$2,Accounts!$F:$F,CurrentSaaS!O$3,Accounts!$B:$B,"Customer",Accounts!$BJ:$BJ,"Monthly",Accounts!$C:$C,"Customer",Accounts!$H:$H,"&gt;"&amp;180)</f>
        <v>0</v>
      </c>
      <c r="P24" s="15">
        <f>SUM(J24:O24)</f>
        <v>0</v>
      </c>
      <c r="Q24">
        <f>COUNTIFS(Accounts!$E:$E,CurrentSaaS!Q$1,Accounts!$G:$G,CurrentSaaS!Q$2,Accounts!$F:$F,CurrentSaaS!Q$3,Accounts!$B:$B,"Customer",Accounts!$BJ:$BJ,"Monthly",Accounts!$C:$C,"Customer",Accounts!$H:$H,"&gt;"&amp;180)</f>
        <v>0</v>
      </c>
      <c r="R24">
        <f>COUNTIFS(Accounts!$E:$E,CurrentSaaS!R$1,Accounts!$G:$G,CurrentSaaS!R$2,Accounts!$F:$F,CurrentSaaS!R$3,Accounts!$B:$B,"Customer",Accounts!$BJ:$BJ,"Monthly",Accounts!$C:$C,"Customer",Accounts!$H:$H,"&gt;"&amp;180)</f>
        <v>1</v>
      </c>
      <c r="S24">
        <f>COUNTIFS(Accounts!$E:$E,CurrentSaaS!S$1,Accounts!$G:$G,CurrentSaaS!S$2,Accounts!$F:$F,CurrentSaaS!S$3,Accounts!$B:$B,"Customer",Accounts!$BJ:$BJ,"Monthly",Accounts!$C:$C,"Customer",Accounts!$H:$H,"&gt;"&amp;180)</f>
        <v>0</v>
      </c>
      <c r="T24">
        <f>COUNTIFS(Accounts!$E:$E,CurrentSaaS!T$1,Accounts!$G:$G,CurrentSaaS!T$2,Accounts!$F:$F,CurrentSaaS!T$3,Accounts!$B:$B,"Customer",Accounts!$BJ:$BJ,"Monthly",Accounts!$C:$C,"Customer",Accounts!$H:$H,"&gt;"&amp;180)</f>
        <v>0</v>
      </c>
      <c r="U24">
        <f>COUNTIFS(Accounts!$E:$E,CurrentSaaS!U$1,Accounts!$G:$G,CurrentSaaS!U$2,Accounts!$F:$F,CurrentSaaS!U$3,Accounts!$B:$B,"Customer",Accounts!$BJ:$BJ,"Monthly",Accounts!$C:$C,"Customer",Accounts!$H:$H,"&gt;"&amp;180)</f>
        <v>0</v>
      </c>
      <c r="V24">
        <f>COUNTIFS(Accounts!$E:$E,CurrentSaaS!V$1,Accounts!$G:$G,CurrentSaaS!V$2,Accounts!$F:$F,CurrentSaaS!V$3,Accounts!$B:$B,"Customer",Accounts!$BJ:$BJ,"Monthly",Accounts!$C:$C,"Customer",Accounts!$H:$H,"&gt;"&amp;180)</f>
        <v>0</v>
      </c>
      <c r="W24" s="15">
        <f>SUM(Q24:V24)</f>
        <v>1</v>
      </c>
    </row>
    <row r="25" spans="1:23" ht="16" thickBot="1" x14ac:dyDescent="0.25">
      <c r="A25" s="1" t="s">
        <v>92</v>
      </c>
      <c r="B25" s="10">
        <f t="shared" ref="B25:W25" si="4">IF(B24=0,0,B26/B24)</f>
        <v>0</v>
      </c>
      <c r="C25" s="18">
        <f t="shared" si="4"/>
        <v>0</v>
      </c>
      <c r="D25" s="18">
        <f t="shared" si="4"/>
        <v>0</v>
      </c>
      <c r="E25" s="18">
        <f t="shared" si="4"/>
        <v>0</v>
      </c>
      <c r="F25" s="18">
        <f t="shared" si="4"/>
        <v>0</v>
      </c>
      <c r="G25" s="18">
        <f t="shared" si="4"/>
        <v>0</v>
      </c>
      <c r="H25" s="18">
        <f t="shared" si="4"/>
        <v>0</v>
      </c>
      <c r="I25" s="6">
        <f t="shared" si="4"/>
        <v>0</v>
      </c>
      <c r="J25" s="18">
        <f t="shared" si="4"/>
        <v>0</v>
      </c>
      <c r="K25" s="18">
        <f t="shared" si="4"/>
        <v>0</v>
      </c>
      <c r="L25" s="18">
        <f t="shared" si="4"/>
        <v>0</v>
      </c>
      <c r="M25" s="18">
        <f t="shared" si="4"/>
        <v>0</v>
      </c>
      <c r="N25" s="18">
        <f t="shared" si="4"/>
        <v>0</v>
      </c>
      <c r="O25" s="18">
        <f t="shared" si="4"/>
        <v>0</v>
      </c>
      <c r="P25" s="6">
        <f t="shared" si="4"/>
        <v>0</v>
      </c>
      <c r="Q25" s="18">
        <f t="shared" si="4"/>
        <v>0</v>
      </c>
      <c r="R25" s="18">
        <f t="shared" si="4"/>
        <v>0</v>
      </c>
      <c r="S25" s="18">
        <f t="shared" si="4"/>
        <v>0</v>
      </c>
      <c r="T25" s="18">
        <f t="shared" si="4"/>
        <v>0</v>
      </c>
      <c r="U25" s="18">
        <f t="shared" si="4"/>
        <v>0</v>
      </c>
      <c r="V25" s="18">
        <f t="shared" si="4"/>
        <v>0</v>
      </c>
      <c r="W25" s="6">
        <f t="shared" si="4"/>
        <v>0</v>
      </c>
    </row>
    <row r="26" spans="1:23" ht="16" thickBot="1" x14ac:dyDescent="0.25">
      <c r="A26" s="1" t="s">
        <v>93</v>
      </c>
      <c r="B26" s="10">
        <f>I26+P26+W26</f>
        <v>0</v>
      </c>
      <c r="C26" s="18">
        <f>SUMIFS(Accounts!$BH:$BH,Accounts!$E:$E,CurrentSaaS!C$1,Accounts!$G:$G,CurrentSaaS!C$2,Accounts!$F:$F,CurrentSaaS!C$3,Accounts!$W:$W,0,Accounts!$C:$C,"Customer",Accounts!$BJ:$BJ,"Monthly",Accounts!$C:$C,"Customer",Accounts!$H:$H,"&gt;"&amp;180)</f>
        <v>0</v>
      </c>
      <c r="D26" s="18">
        <f>SUMIFS(Accounts!$BH:$BH,Accounts!$E:$E,CurrentSaaS!D$1,Accounts!$G:$G,CurrentSaaS!D$2,Accounts!$F:$F,CurrentSaaS!D$3,Accounts!$W:$W,0,Accounts!$C:$C,"Customer",Accounts!$BJ:$BJ,"Monthly",Accounts!$C:$C,"Customer",Accounts!$H:$H,"&gt;"&amp;180)</f>
        <v>0</v>
      </c>
      <c r="E26" s="18">
        <f>SUMIFS(Accounts!$BH:$BH,Accounts!$E:$E,CurrentSaaS!E$1,Accounts!$G:$G,CurrentSaaS!E$2,Accounts!$F:$F,CurrentSaaS!E$3,Accounts!$W:$W,0,Accounts!$C:$C,"Customer",Accounts!$BJ:$BJ,"Monthly",Accounts!$C:$C,"Customer",Accounts!$H:$H,"&gt;"&amp;180)</f>
        <v>0</v>
      </c>
      <c r="F26" s="18">
        <f>SUMIFS(Accounts!$BH:$BH,Accounts!$E:$E,CurrentSaaS!F$1,Accounts!$G:$G,CurrentSaaS!F$2,Accounts!$F:$F,CurrentSaaS!F$3,Accounts!$W:$W,0,Accounts!$C:$C,"Customer",Accounts!$BJ:$BJ,"Monthly",Accounts!$C:$C,"Customer",Accounts!$H:$H,"&gt;"&amp;180)</f>
        <v>0</v>
      </c>
      <c r="G26" s="18">
        <f>SUMIFS(Accounts!$BH:$BH,Accounts!$E:$E,CurrentSaaS!G$1,Accounts!$G:$G,CurrentSaaS!G$2,Accounts!$F:$F,CurrentSaaS!G$3,Accounts!$W:$W,0,Accounts!$C:$C,"Customer",Accounts!$BJ:$BJ,"Monthly",Accounts!$C:$C,"Customer",Accounts!$H:$H,"&gt;"&amp;180)</f>
        <v>0</v>
      </c>
      <c r="H26" s="18">
        <f>SUMIFS(Accounts!$BH:$BH,Accounts!$E:$E,CurrentSaaS!H$1,Accounts!$G:$G,CurrentSaaS!H$2,Accounts!$F:$F,CurrentSaaS!H$3,Accounts!$W:$W,0,Accounts!$C:$C,"Customer",Accounts!$BJ:$BJ,"Monthly",Accounts!$C:$C,"Customer",Accounts!$H:$H,"&gt;"&amp;180)</f>
        <v>0</v>
      </c>
      <c r="I26" s="6">
        <f>SUM(C26:H26)</f>
        <v>0</v>
      </c>
      <c r="J26" s="18">
        <f>SUMIFS(Accounts!$BH:$BH,Accounts!$E:$E,CurrentSaaS!J$1,Accounts!$G:$G,CurrentSaaS!J$2,Accounts!$F:$F,CurrentSaaS!J$3,Accounts!$W:$W,0,Accounts!$C:$C,"Customer",Accounts!$BJ:$BJ,"Monthly",Accounts!$C:$C,"Customer",Accounts!$H:$H,"&gt;"&amp;180)</f>
        <v>0</v>
      </c>
      <c r="K26" s="18">
        <f>SUMIFS(Accounts!$BH:$BH,Accounts!$E:$E,CurrentSaaS!K$1,Accounts!$G:$G,CurrentSaaS!K$2,Accounts!$F:$F,CurrentSaaS!K$3,Accounts!$W:$W,0,Accounts!$C:$C,"Customer",Accounts!$BJ:$BJ,"Monthly",Accounts!$C:$C,"Customer",Accounts!$H:$H,"&gt;"&amp;180)</f>
        <v>0</v>
      </c>
      <c r="L26" s="18">
        <f>SUMIFS(Accounts!$BH:$BH,Accounts!$E:$E,CurrentSaaS!L$1,Accounts!$G:$G,CurrentSaaS!L$2,Accounts!$F:$F,CurrentSaaS!L$3,Accounts!$W:$W,0,Accounts!$C:$C,"Customer",Accounts!$BJ:$BJ,"Monthly",Accounts!$C:$C,"Customer",Accounts!$H:$H,"&gt;"&amp;180)</f>
        <v>0</v>
      </c>
      <c r="M26" s="18">
        <f>SUMIFS(Accounts!$BH:$BH,Accounts!$E:$E,CurrentSaaS!M$1,Accounts!$G:$G,CurrentSaaS!M$2,Accounts!$F:$F,CurrentSaaS!M$3,Accounts!$W:$W,0,Accounts!$C:$C,"Customer",Accounts!$BJ:$BJ,"Monthly",Accounts!$C:$C,"Customer",Accounts!$H:$H,"&gt;"&amp;180)</f>
        <v>0</v>
      </c>
      <c r="N26" s="18">
        <f>SUMIFS(Accounts!$BH:$BH,Accounts!$E:$E,CurrentSaaS!N$1,Accounts!$G:$G,CurrentSaaS!N$2,Accounts!$F:$F,CurrentSaaS!N$3,Accounts!$W:$W,0,Accounts!$C:$C,"Customer",Accounts!$BJ:$BJ,"Monthly",Accounts!$C:$C,"Customer",Accounts!$H:$H,"&gt;"&amp;180)</f>
        <v>0</v>
      </c>
      <c r="O26" s="18">
        <f>SUMIFS(Accounts!$BH:$BH,Accounts!$E:$E,CurrentSaaS!O$1,Accounts!$G:$G,CurrentSaaS!O$2,Accounts!$F:$F,CurrentSaaS!O$3,Accounts!$W:$W,0,Accounts!$C:$C,"Customer",Accounts!$BJ:$BJ,"Monthly",Accounts!$C:$C,"Customer",Accounts!$H:$H,"&gt;"&amp;180)</f>
        <v>0</v>
      </c>
      <c r="P26" s="6">
        <f>SUM(J26:O26)</f>
        <v>0</v>
      </c>
      <c r="Q26" s="18">
        <f>SUMIFS(Accounts!$BH:$BH,Accounts!$E:$E,CurrentSaaS!Q$1,Accounts!$G:$G,CurrentSaaS!Q$2,Accounts!$F:$F,CurrentSaaS!Q$3,Accounts!$W:$W,0,Accounts!$C:$C,"Customer",Accounts!$BJ:$BJ,"Monthly",Accounts!$C:$C,"Customer",Accounts!$H:$H,"&gt;"&amp;180)</f>
        <v>0</v>
      </c>
      <c r="R26" s="18">
        <f>SUMIFS(Accounts!$BH:$BH,Accounts!$E:$E,CurrentSaaS!R$1,Accounts!$G:$G,CurrentSaaS!R$2,Accounts!$F:$F,CurrentSaaS!R$3,Accounts!$W:$W,0,Accounts!$C:$C,"Customer",Accounts!$BJ:$BJ,"Monthly",Accounts!$C:$C,"Customer",Accounts!$H:$H,"&gt;"&amp;180)</f>
        <v>0</v>
      </c>
      <c r="S26" s="18">
        <f>SUMIFS(Accounts!$BH:$BH,Accounts!$E:$E,CurrentSaaS!S$1,Accounts!$G:$G,CurrentSaaS!S$2,Accounts!$F:$F,CurrentSaaS!S$3,Accounts!$W:$W,0,Accounts!$C:$C,"Customer",Accounts!$BJ:$BJ,"Monthly",Accounts!$C:$C,"Customer",Accounts!$H:$H,"&gt;"&amp;180)</f>
        <v>0</v>
      </c>
      <c r="T26" s="18">
        <f>SUMIFS(Accounts!$BH:$BH,Accounts!$E:$E,CurrentSaaS!T$1,Accounts!$G:$G,CurrentSaaS!T$2,Accounts!$F:$F,CurrentSaaS!T$3,Accounts!$W:$W,0,Accounts!$C:$C,"Customer",Accounts!$BJ:$BJ,"Monthly",Accounts!$C:$C,"Customer",Accounts!$H:$H,"&gt;"&amp;180)</f>
        <v>0</v>
      </c>
      <c r="U26" s="18">
        <f>SUMIFS(Accounts!$BH:$BH,Accounts!$E:$E,CurrentSaaS!U$1,Accounts!$G:$G,CurrentSaaS!U$2,Accounts!$F:$F,CurrentSaaS!U$3,Accounts!$W:$W,0,Accounts!$C:$C,"Customer",Accounts!$BJ:$BJ,"Monthly",Accounts!$C:$C,"Customer",Accounts!$H:$H,"&gt;"&amp;180)</f>
        <v>0</v>
      </c>
      <c r="V26" s="18">
        <f>SUMIFS(Accounts!$BH:$BH,Accounts!$E:$E,CurrentSaaS!V$1,Accounts!$G:$G,CurrentSaaS!V$2,Accounts!$F:$F,CurrentSaaS!V$3,Accounts!$W:$W,0,Accounts!$C:$C,"Customer",Accounts!$BJ:$BJ,"Monthly",Accounts!$C:$C,"Customer",Accounts!$H:$H,"&gt;"&amp;180)</f>
        <v>0</v>
      </c>
      <c r="W26" s="6">
        <f>SUM(Q26:V26)</f>
        <v>0</v>
      </c>
    </row>
    <row r="27" spans="1:23" ht="16" thickBot="1" x14ac:dyDescent="0.25">
      <c r="A27" s="1" t="s">
        <v>126</v>
      </c>
      <c r="B27" s="9">
        <f>I27+P27+W27</f>
        <v>1</v>
      </c>
      <c r="C27">
        <f t="shared" ref="C27:H27" si="5">C12+C16+C20+C24</f>
        <v>0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 s="15">
        <f>SUM(C27:H27)</f>
        <v>0</v>
      </c>
      <c r="J27">
        <f t="shared" ref="J27:O27" si="6">J12+J16+J20+J24</f>
        <v>0</v>
      </c>
      <c r="K27">
        <f t="shared" si="6"/>
        <v>0</v>
      </c>
      <c r="L27">
        <f t="shared" si="6"/>
        <v>0</v>
      </c>
      <c r="M27">
        <f t="shared" si="6"/>
        <v>0</v>
      </c>
      <c r="N27">
        <f t="shared" si="6"/>
        <v>0</v>
      </c>
      <c r="O27">
        <f t="shared" si="6"/>
        <v>0</v>
      </c>
      <c r="P27" s="15">
        <f>SUM(J27:O27)</f>
        <v>0</v>
      </c>
      <c r="Q27">
        <f t="shared" ref="Q27:V27" si="7">Q12+Q16+Q20+Q24</f>
        <v>0</v>
      </c>
      <c r="R27">
        <f t="shared" si="7"/>
        <v>1</v>
      </c>
      <c r="S27">
        <f t="shared" si="7"/>
        <v>0</v>
      </c>
      <c r="T27">
        <f t="shared" si="7"/>
        <v>0</v>
      </c>
      <c r="U27">
        <f t="shared" si="7"/>
        <v>0</v>
      </c>
      <c r="V27">
        <f t="shared" si="7"/>
        <v>0</v>
      </c>
      <c r="W27" s="15">
        <f>SUM(Q27:V27)</f>
        <v>1</v>
      </c>
    </row>
    <row r="28" spans="1:23" ht="16" thickBot="1" x14ac:dyDescent="0.25">
      <c r="A28" s="7" t="s">
        <v>127</v>
      </c>
      <c r="B28" s="10">
        <f>I28+P28+W28</f>
        <v>0</v>
      </c>
      <c r="C28" s="18">
        <f t="shared" ref="C28:H28" si="8">C14+C18+C22+C26</f>
        <v>0</v>
      </c>
      <c r="D28" s="18">
        <f t="shared" si="8"/>
        <v>0</v>
      </c>
      <c r="E28" s="18">
        <f t="shared" si="8"/>
        <v>0</v>
      </c>
      <c r="F28" s="18">
        <f t="shared" si="8"/>
        <v>0</v>
      </c>
      <c r="G28" s="18">
        <f t="shared" si="8"/>
        <v>0</v>
      </c>
      <c r="H28" s="18">
        <f t="shared" si="8"/>
        <v>0</v>
      </c>
      <c r="I28" s="6">
        <f>SUM(C28:H28)</f>
        <v>0</v>
      </c>
      <c r="J28" s="18">
        <f t="shared" ref="J28:O28" si="9">J14+J18+J22+J26</f>
        <v>0</v>
      </c>
      <c r="K28" s="18">
        <f t="shared" si="9"/>
        <v>0</v>
      </c>
      <c r="L28" s="18">
        <f t="shared" si="9"/>
        <v>0</v>
      </c>
      <c r="M28" s="18">
        <f t="shared" si="9"/>
        <v>0</v>
      </c>
      <c r="N28" s="18">
        <f t="shared" si="9"/>
        <v>0</v>
      </c>
      <c r="O28" s="18">
        <f t="shared" si="9"/>
        <v>0</v>
      </c>
      <c r="P28" s="6">
        <f>SUM(J28:O28)</f>
        <v>0</v>
      </c>
      <c r="Q28" s="18">
        <f t="shared" ref="Q28:V28" si="10">Q14+Q18+Q22+Q26</f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6">
        <f>SUM(Q28:V28)</f>
        <v>0</v>
      </c>
    </row>
    <row r="29" spans="1:23" ht="16" thickBot="1" x14ac:dyDescent="0.25">
      <c r="B29" s="9"/>
    </row>
    <row r="30" spans="1:23" ht="16" thickBot="1" x14ac:dyDescent="0.25">
      <c r="A30" s="1" t="s">
        <v>105</v>
      </c>
      <c r="B30" s="9">
        <f>I30+P30+W30</f>
        <v>0</v>
      </c>
      <c r="C30">
        <f>COUNTIFS(Accounts!$E:$E,CurrentSaaS!C$1,Accounts!$G:$G,CurrentSaaS!C$2,Accounts!$F:$F,CurrentSaaS!C$3,Accounts!$B:$B,"Customer",Accounts!$BJ:$BJ,"Prepay",Accounts!$C:$C,"Customer")</f>
        <v>0</v>
      </c>
      <c r="D30">
        <f>COUNTIFS(Accounts!$E:$E,CurrentSaaS!D$1,Accounts!$G:$G,CurrentSaaS!D$2,Accounts!$F:$F,CurrentSaaS!D$3,Accounts!$B:$B,"Customer",Accounts!$BJ:$BJ,"Prepay",Accounts!$C:$C,"Customer")</f>
        <v>0</v>
      </c>
      <c r="E30">
        <f>COUNTIFS(Accounts!$E:$E,CurrentSaaS!E$1,Accounts!$G:$G,CurrentSaaS!E$2,Accounts!$F:$F,CurrentSaaS!E$3,Accounts!$B:$B,"Customer",Accounts!$BJ:$BJ,"Prepay",Accounts!$C:$C,"Customer")</f>
        <v>0</v>
      </c>
      <c r="F30">
        <f>COUNTIFS(Accounts!$E:$E,CurrentSaaS!F$1,Accounts!$G:$G,CurrentSaaS!F$2,Accounts!$F:$F,CurrentSaaS!F$3,Accounts!$B:$B,"Customer",Accounts!$BJ:$BJ,"Prepay",Accounts!$C:$C,"Customer")</f>
        <v>0</v>
      </c>
      <c r="G30">
        <f>COUNTIFS(Accounts!$E:$E,CurrentSaaS!G$1,Accounts!$G:$G,CurrentSaaS!G$2,Accounts!$F:$F,CurrentSaaS!G$3,Accounts!$B:$B,"Customer",Accounts!$BJ:$BJ,"Prepay",Accounts!$C:$C,"Customer")</f>
        <v>0</v>
      </c>
      <c r="H30">
        <f>COUNTIFS(Accounts!$E:$E,CurrentSaaS!H$1,Accounts!$G:$G,CurrentSaaS!H$2,Accounts!$F:$F,CurrentSaaS!H$3,Accounts!$B:$B,"Customer",Accounts!$BJ:$BJ,"Prepay",Accounts!$C:$C,"Customer")</f>
        <v>0</v>
      </c>
      <c r="I30" s="15">
        <f>SUM(C30:H30)</f>
        <v>0</v>
      </c>
      <c r="J30">
        <f>COUNTIFS(Accounts!$E:$E,CurrentSaaS!J$1,Accounts!$G:$G,CurrentSaaS!J$2,Accounts!$F:$F,CurrentSaaS!J$3,Accounts!$B:$B,"Customer",Accounts!$BJ:$BJ,"Prepay",Accounts!$C:$C,"Customer")</f>
        <v>0</v>
      </c>
      <c r="K30">
        <f>COUNTIFS(Accounts!$E:$E,CurrentSaaS!K$1,Accounts!$G:$G,CurrentSaaS!K$2,Accounts!$F:$F,CurrentSaaS!K$3,Accounts!$B:$B,"Customer",Accounts!$BJ:$BJ,"Prepay",Accounts!$C:$C,"Customer")</f>
        <v>0</v>
      </c>
      <c r="L30">
        <f>COUNTIFS(Accounts!$E:$E,CurrentSaaS!L$1,Accounts!$G:$G,CurrentSaaS!L$2,Accounts!$F:$F,CurrentSaaS!L$3,Accounts!$B:$B,"Customer",Accounts!$BJ:$BJ,"Prepay",Accounts!$C:$C,"Customer")</f>
        <v>0</v>
      </c>
      <c r="M30">
        <f>COUNTIFS(Accounts!$E:$E,CurrentSaaS!M$1,Accounts!$G:$G,CurrentSaaS!M$2,Accounts!$F:$F,CurrentSaaS!M$3,Accounts!$B:$B,"Customer",Accounts!$BJ:$BJ,"Prepay",Accounts!$C:$C,"Customer")</f>
        <v>0</v>
      </c>
      <c r="N30">
        <f>COUNTIFS(Accounts!$E:$E,CurrentSaaS!N$1,Accounts!$G:$G,CurrentSaaS!N$2,Accounts!$F:$F,CurrentSaaS!N$3,Accounts!$B:$B,"Customer",Accounts!$BJ:$BJ,"Prepay",Accounts!$C:$C,"Customer")</f>
        <v>0</v>
      </c>
      <c r="O30">
        <f>COUNTIFS(Accounts!$E:$E,CurrentSaaS!O$1,Accounts!$G:$G,CurrentSaaS!O$2,Accounts!$F:$F,CurrentSaaS!O$3,Accounts!$B:$B,"Customer",Accounts!$BJ:$BJ,"Prepay",Accounts!$C:$C,"Customer")</f>
        <v>0</v>
      </c>
      <c r="P30" s="15">
        <f>SUM(J30:O30)</f>
        <v>0</v>
      </c>
      <c r="Q30">
        <f>COUNTIFS(Accounts!$E:$E,CurrentSaaS!Q$1,Accounts!$G:$G,CurrentSaaS!Q$2,Accounts!$F:$F,CurrentSaaS!Q$3,Accounts!$B:$B,"Customer",Accounts!$BJ:$BJ,"Prepay",Accounts!$C:$C,"Customer")</f>
        <v>0</v>
      </c>
      <c r="R30">
        <f>COUNTIFS(Accounts!$E:$E,CurrentSaaS!R$1,Accounts!$G:$G,CurrentSaaS!R$2,Accounts!$F:$F,CurrentSaaS!R$3,Accounts!$B:$B,"Customer",Accounts!$BJ:$BJ,"Prepay",Accounts!$C:$C,"Customer")</f>
        <v>0</v>
      </c>
      <c r="S30">
        <f>COUNTIFS(Accounts!$E:$E,CurrentSaaS!S$1,Accounts!$G:$G,CurrentSaaS!S$2,Accounts!$F:$F,CurrentSaaS!S$3,Accounts!$B:$B,"Customer",Accounts!$BJ:$BJ,"Prepay",Accounts!$C:$C,"Customer")</f>
        <v>0</v>
      </c>
      <c r="T30">
        <f>COUNTIFS(Accounts!$E:$E,CurrentSaaS!T$1,Accounts!$G:$G,CurrentSaaS!T$2,Accounts!$F:$F,CurrentSaaS!T$3,Accounts!$B:$B,"Customer",Accounts!$BJ:$BJ,"Prepay",Accounts!$C:$C,"Customer")</f>
        <v>0</v>
      </c>
      <c r="U30">
        <f>COUNTIFS(Accounts!$E:$E,CurrentSaaS!U$1,Accounts!$G:$G,CurrentSaaS!U$2,Accounts!$F:$F,CurrentSaaS!U$3,Accounts!$B:$B,"Customer",Accounts!$BJ:$BJ,"Prepay",Accounts!$C:$C,"Customer")</f>
        <v>0</v>
      </c>
      <c r="V30">
        <f>COUNTIFS(Accounts!$E:$E,CurrentSaaS!V$1,Accounts!$G:$G,CurrentSaaS!V$2,Accounts!$F:$F,CurrentSaaS!V$3,Accounts!$B:$B,"Customer",Accounts!$BJ:$BJ,"Prepay",Accounts!$C:$C,"Customer")</f>
        <v>0</v>
      </c>
      <c r="W30" s="15">
        <f>SUM(Q30:V30)</f>
        <v>0</v>
      </c>
    </row>
    <row r="31" spans="1:23" ht="16" thickBot="1" x14ac:dyDescent="0.25">
      <c r="A31" s="1" t="s">
        <v>638</v>
      </c>
      <c r="B31" s="10">
        <f>I31+P31+W31</f>
        <v>0</v>
      </c>
      <c r="C31" s="18">
        <f>SUMIFS(Accounts!$BH:$BH,Accounts!$E:$E,CurrentSaaS!C$1,Accounts!$G:$G,CurrentSaaS!C$2,Accounts!$F:$F,CurrentSaaS!C$3,Accounts!$W:$W,0,Accounts!$C:$C,"Customer",Accounts!$BJ:$BJ,"Prepay")</f>
        <v>0</v>
      </c>
      <c r="D31" s="18">
        <f>SUMIFS(Accounts!$BH:$BH,Accounts!$E:$E,CurrentSaaS!D$1,Accounts!$G:$G,CurrentSaaS!D$2,Accounts!$F:$F,CurrentSaaS!D$3,Accounts!$W:$W,0,Accounts!$C:$C,"Customer",Accounts!$BJ:$BJ,"Prepay")</f>
        <v>0</v>
      </c>
      <c r="E31" s="18">
        <f>SUMIFS(Accounts!$BH:$BH,Accounts!$E:$E,CurrentSaaS!E$1,Accounts!$G:$G,CurrentSaaS!E$2,Accounts!$F:$F,CurrentSaaS!E$3,Accounts!$W:$W,0,Accounts!$C:$C,"Customer",Accounts!$BJ:$BJ,"Prepay")</f>
        <v>0</v>
      </c>
      <c r="F31" s="18">
        <f>SUMIFS(Accounts!$BH:$BH,Accounts!$E:$E,CurrentSaaS!F$1,Accounts!$G:$G,CurrentSaaS!F$2,Accounts!$F:$F,CurrentSaaS!F$3,Accounts!$W:$W,0,Accounts!$C:$C,"Customer",Accounts!$BJ:$BJ,"Prepay")</f>
        <v>0</v>
      </c>
      <c r="G31" s="18">
        <f>SUMIFS(Accounts!$BH:$BH,Accounts!$E:$E,CurrentSaaS!G$1,Accounts!$G:$G,CurrentSaaS!G$2,Accounts!$F:$F,CurrentSaaS!G$3,Accounts!$W:$W,0,Accounts!$C:$C,"Customer",Accounts!$BJ:$BJ,"Prepay")</f>
        <v>0</v>
      </c>
      <c r="H31" s="18">
        <f>SUMIFS(Accounts!$BH:$BH,Accounts!$E:$E,CurrentSaaS!H$1,Accounts!$G:$G,CurrentSaaS!H$2,Accounts!$F:$F,CurrentSaaS!H$3,Accounts!$W:$W,0,Accounts!$C:$C,"Customer",Accounts!$BJ:$BJ,"Prepay")</f>
        <v>0</v>
      </c>
      <c r="I31" s="6">
        <f>SUM(C31:H31)</f>
        <v>0</v>
      </c>
      <c r="J31" s="18">
        <f>SUMIFS(Accounts!$BH:$BH,Accounts!$E:$E,CurrentSaaS!J$1,Accounts!$G:$G,CurrentSaaS!J$2,Accounts!$F:$F,CurrentSaaS!J$3,Accounts!$W:$W,0,Accounts!$C:$C,"Customer",Accounts!$BJ:$BJ,"Prepay")</f>
        <v>0</v>
      </c>
      <c r="K31" s="18">
        <f>SUMIFS(Accounts!$BH:$BH,Accounts!$E:$E,CurrentSaaS!K$1,Accounts!$G:$G,CurrentSaaS!K$2,Accounts!$F:$F,CurrentSaaS!K$3,Accounts!$W:$W,0,Accounts!$C:$C,"Customer",Accounts!$BJ:$BJ,"Prepay")</f>
        <v>0</v>
      </c>
      <c r="L31" s="18">
        <f>SUMIFS(Accounts!$BH:$BH,Accounts!$E:$E,CurrentSaaS!L$1,Accounts!$G:$G,CurrentSaaS!L$2,Accounts!$F:$F,CurrentSaaS!L$3,Accounts!$W:$W,0,Accounts!$C:$C,"Customer",Accounts!$BJ:$BJ,"Prepay")</f>
        <v>0</v>
      </c>
      <c r="M31" s="18">
        <f>SUMIFS(Accounts!$BH:$BH,Accounts!$E:$E,CurrentSaaS!M$1,Accounts!$G:$G,CurrentSaaS!M$2,Accounts!$F:$F,CurrentSaaS!M$3,Accounts!$W:$W,0,Accounts!$C:$C,"Customer",Accounts!$BJ:$BJ,"Prepay")</f>
        <v>0</v>
      </c>
      <c r="N31" s="18">
        <f>SUMIFS(Accounts!$BH:$BH,Accounts!$E:$E,CurrentSaaS!N$1,Accounts!$G:$G,CurrentSaaS!N$2,Accounts!$F:$F,CurrentSaaS!N$3,Accounts!$W:$W,0,Accounts!$C:$C,"Customer",Accounts!$BJ:$BJ,"Prepay")</f>
        <v>0</v>
      </c>
      <c r="O31" s="18">
        <f>SUMIFS(Accounts!$BH:$BH,Accounts!$E:$E,CurrentSaaS!O$1,Accounts!$G:$G,CurrentSaaS!O$2,Accounts!$F:$F,CurrentSaaS!O$3,Accounts!$W:$W,0,Accounts!$C:$C,"Customer",Accounts!$BJ:$BJ,"Prepay")</f>
        <v>0</v>
      </c>
      <c r="P31" s="6">
        <f>SUM(J31:O31)</f>
        <v>0</v>
      </c>
      <c r="Q31" s="18">
        <f>SUMIFS(Accounts!$BH:$BH,Accounts!$E:$E,CurrentSaaS!Q$1,Accounts!$G:$G,CurrentSaaS!Q$2,Accounts!$F:$F,CurrentSaaS!Q$3,Accounts!$W:$W,0,Accounts!$C:$C,"Customer",Accounts!$BJ:$BJ,"Prepay")</f>
        <v>0</v>
      </c>
      <c r="R31" s="18">
        <f>SUMIFS(Accounts!$BH:$BH,Accounts!$E:$E,CurrentSaaS!R$1,Accounts!$G:$G,CurrentSaaS!R$2,Accounts!$F:$F,CurrentSaaS!R$3,Accounts!$W:$W,0,Accounts!$C:$C,"Customer",Accounts!$BJ:$BJ,"Prepay")</f>
        <v>0</v>
      </c>
      <c r="S31" s="18">
        <f>SUMIFS(Accounts!$BH:$BH,Accounts!$E:$E,CurrentSaaS!S$1,Accounts!$G:$G,CurrentSaaS!S$2,Accounts!$F:$F,CurrentSaaS!S$3,Accounts!$W:$W,0,Accounts!$C:$C,"Customer",Accounts!$BJ:$BJ,"Prepay")</f>
        <v>0</v>
      </c>
      <c r="T31" s="18">
        <f>SUMIFS(Accounts!$BH:$BH,Accounts!$E:$E,CurrentSaaS!T$1,Accounts!$G:$G,CurrentSaaS!T$2,Accounts!$F:$F,CurrentSaaS!T$3,Accounts!$W:$W,0,Accounts!$C:$C,"Customer",Accounts!$BJ:$BJ,"Prepay")</f>
        <v>0</v>
      </c>
      <c r="U31" s="18">
        <f>SUMIFS(Accounts!$BH:$BH,Accounts!$E:$E,CurrentSaaS!U$1,Accounts!$G:$G,CurrentSaaS!U$2,Accounts!$F:$F,CurrentSaaS!U$3,Accounts!$W:$W,0,Accounts!$C:$C,"Customer",Accounts!$BJ:$BJ,"Prepay")</f>
        <v>0</v>
      </c>
      <c r="V31" s="18">
        <f>SUMIFS(Accounts!$BH:$BH,Accounts!$E:$E,CurrentSaaS!V$1,Accounts!$G:$G,CurrentSaaS!V$2,Accounts!$F:$F,CurrentSaaS!V$3,Accounts!$W:$W,0,Accounts!$C:$C,"Customer",Accounts!$BJ:$BJ,"Prepay")</f>
        <v>0</v>
      </c>
      <c r="W31" s="6">
        <f>SUM(Q31:V31)</f>
        <v>0</v>
      </c>
    </row>
    <row r="32" spans="1:23" ht="16" thickBot="1" x14ac:dyDescent="0.25">
      <c r="A32" s="1" t="s">
        <v>639</v>
      </c>
      <c r="B32" s="10">
        <f>IF(B30=0,0,B31/B30)</f>
        <v>0</v>
      </c>
      <c r="C32" s="18">
        <f t="shared" ref="C32:H32" si="11">C31*0.1</f>
        <v>0</v>
      </c>
      <c r="D32" s="18">
        <f t="shared" si="11"/>
        <v>0</v>
      </c>
      <c r="E32" s="18">
        <f t="shared" si="11"/>
        <v>0</v>
      </c>
      <c r="F32" s="18">
        <f t="shared" si="11"/>
        <v>0</v>
      </c>
      <c r="G32" s="18">
        <f t="shared" si="11"/>
        <v>0</v>
      </c>
      <c r="H32" s="18">
        <f t="shared" si="11"/>
        <v>0</v>
      </c>
      <c r="I32" s="6">
        <f>SUM(C32:H32)</f>
        <v>0</v>
      </c>
      <c r="J32" s="18">
        <f t="shared" ref="J32:O32" si="12">J31*0.1</f>
        <v>0</v>
      </c>
      <c r="K32" s="18">
        <f t="shared" si="12"/>
        <v>0</v>
      </c>
      <c r="L32" s="18">
        <f t="shared" si="12"/>
        <v>0</v>
      </c>
      <c r="M32" s="18">
        <f t="shared" si="12"/>
        <v>0</v>
      </c>
      <c r="N32" s="18">
        <f t="shared" si="12"/>
        <v>0</v>
      </c>
      <c r="O32" s="18">
        <f t="shared" si="12"/>
        <v>0</v>
      </c>
      <c r="P32" s="6">
        <f>SUM(J32:O32)</f>
        <v>0</v>
      </c>
      <c r="Q32" s="18">
        <f t="shared" ref="Q32:V32" si="13">Q31*0.1</f>
        <v>0</v>
      </c>
      <c r="R32" s="18">
        <f t="shared" si="13"/>
        <v>0</v>
      </c>
      <c r="S32" s="18">
        <f t="shared" si="13"/>
        <v>0</v>
      </c>
      <c r="T32" s="18">
        <f t="shared" si="13"/>
        <v>0</v>
      </c>
      <c r="U32" s="18">
        <f t="shared" si="13"/>
        <v>0</v>
      </c>
      <c r="V32" s="18">
        <f t="shared" si="13"/>
        <v>0</v>
      </c>
      <c r="W32" s="6">
        <f>SUM(Q32:V32)</f>
        <v>0</v>
      </c>
    </row>
    <row r="33" spans="1:23" ht="16" thickBot="1" x14ac:dyDescent="0.25">
      <c r="A33" s="7" t="s">
        <v>107</v>
      </c>
      <c r="B33" s="10">
        <f>I33+P33+W33</f>
        <v>0</v>
      </c>
      <c r="C33" s="18">
        <f t="shared" ref="C33:K33" si="14">C31-C32</f>
        <v>0</v>
      </c>
      <c r="D33" s="18">
        <f t="shared" si="14"/>
        <v>0</v>
      </c>
      <c r="E33" s="18">
        <f t="shared" si="14"/>
        <v>0</v>
      </c>
      <c r="F33" s="18">
        <f t="shared" si="14"/>
        <v>0</v>
      </c>
      <c r="G33" s="18">
        <f t="shared" si="14"/>
        <v>0</v>
      </c>
      <c r="H33" s="18">
        <f t="shared" si="14"/>
        <v>0</v>
      </c>
      <c r="I33" s="6">
        <f t="shared" si="14"/>
        <v>0</v>
      </c>
      <c r="J33" s="18">
        <f t="shared" si="14"/>
        <v>0</v>
      </c>
      <c r="K33" s="18">
        <f t="shared" si="14"/>
        <v>0</v>
      </c>
      <c r="L33" s="18"/>
      <c r="M33" s="18">
        <f>M31-M32</f>
        <v>0</v>
      </c>
      <c r="N33" s="18">
        <f>N31-N32</f>
        <v>0</v>
      </c>
      <c r="O33" s="18">
        <f>O31-O32</f>
        <v>0</v>
      </c>
      <c r="P33" s="6">
        <f t="shared" ref="P33" si="15">P31-P32</f>
        <v>0</v>
      </c>
      <c r="Q33" s="18">
        <f>Q31-Q32</f>
        <v>0</v>
      </c>
      <c r="R33" s="18">
        <f>R31-R32</f>
        <v>0</v>
      </c>
      <c r="S33" s="18"/>
      <c r="T33" s="18">
        <f>T31-T32</f>
        <v>0</v>
      </c>
      <c r="U33" s="18">
        <f>U31-U32</f>
        <v>0</v>
      </c>
      <c r="V33" s="18">
        <f>V31-V32</f>
        <v>0</v>
      </c>
      <c r="W33" s="6">
        <f t="shared" ref="W33" si="16">W31-W32</f>
        <v>0</v>
      </c>
    </row>
    <row r="34" spans="1:23" ht="16" thickBot="1" x14ac:dyDescent="0.25">
      <c r="A34" s="1" t="s">
        <v>106</v>
      </c>
      <c r="B34" s="10">
        <f t="shared" ref="B34:W34" si="17">IF(B30=0,0,B33/B30)</f>
        <v>0</v>
      </c>
      <c r="C34" s="18">
        <f t="shared" si="17"/>
        <v>0</v>
      </c>
      <c r="D34" s="18">
        <f t="shared" si="17"/>
        <v>0</v>
      </c>
      <c r="E34" s="18">
        <f t="shared" si="17"/>
        <v>0</v>
      </c>
      <c r="F34" s="18">
        <f t="shared" si="17"/>
        <v>0</v>
      </c>
      <c r="G34" s="18">
        <f t="shared" si="17"/>
        <v>0</v>
      </c>
      <c r="H34" s="18">
        <f t="shared" si="17"/>
        <v>0</v>
      </c>
      <c r="I34" s="6">
        <f t="shared" si="17"/>
        <v>0</v>
      </c>
      <c r="J34" s="18">
        <f t="shared" si="17"/>
        <v>0</v>
      </c>
      <c r="K34" s="18">
        <f t="shared" si="17"/>
        <v>0</v>
      </c>
      <c r="L34" s="18">
        <f t="shared" si="17"/>
        <v>0</v>
      </c>
      <c r="M34" s="18">
        <f t="shared" si="17"/>
        <v>0</v>
      </c>
      <c r="N34" s="18">
        <f t="shared" si="17"/>
        <v>0</v>
      </c>
      <c r="O34" s="18">
        <f t="shared" si="17"/>
        <v>0</v>
      </c>
      <c r="P34" s="6">
        <f t="shared" si="17"/>
        <v>0</v>
      </c>
      <c r="Q34" s="18">
        <f t="shared" si="17"/>
        <v>0</v>
      </c>
      <c r="R34" s="18">
        <f t="shared" si="17"/>
        <v>0</v>
      </c>
      <c r="S34" s="18">
        <f t="shared" si="17"/>
        <v>0</v>
      </c>
      <c r="T34" s="18">
        <f t="shared" si="17"/>
        <v>0</v>
      </c>
      <c r="U34" s="18">
        <f t="shared" si="17"/>
        <v>0</v>
      </c>
      <c r="V34" s="18">
        <f t="shared" si="17"/>
        <v>0</v>
      </c>
      <c r="W34" s="6">
        <f t="shared" si="17"/>
        <v>0</v>
      </c>
    </row>
    <row r="35" spans="1:23" ht="16" thickBot="1" x14ac:dyDescent="0.25">
      <c r="A35" s="1"/>
    </row>
    <row r="36" spans="1:23" ht="16" thickBot="1" x14ac:dyDescent="0.25">
      <c r="A36" s="1" t="s">
        <v>640</v>
      </c>
      <c r="B36" s="18">
        <f>I36+P36+W36</f>
        <v>0</v>
      </c>
      <c r="C36" s="18">
        <f t="shared" ref="C36:H36" si="18">C8</f>
        <v>0</v>
      </c>
      <c r="D36" s="18">
        <f t="shared" si="18"/>
        <v>0</v>
      </c>
      <c r="E36" s="18">
        <f t="shared" si="18"/>
        <v>0</v>
      </c>
      <c r="F36" s="18">
        <f t="shared" si="18"/>
        <v>0</v>
      </c>
      <c r="G36" s="18">
        <f t="shared" si="18"/>
        <v>0</v>
      </c>
      <c r="H36" s="18">
        <f t="shared" si="18"/>
        <v>0</v>
      </c>
      <c r="I36" s="6">
        <f>SUM(C36:H36)</f>
        <v>0</v>
      </c>
      <c r="J36" s="18">
        <f t="shared" ref="J36:O36" si="19">J8</f>
        <v>0</v>
      </c>
      <c r="K36" s="18">
        <f t="shared" si="19"/>
        <v>0</v>
      </c>
      <c r="L36" s="18">
        <f t="shared" si="19"/>
        <v>0</v>
      </c>
      <c r="M36" s="18">
        <f t="shared" si="19"/>
        <v>0</v>
      </c>
      <c r="N36" s="18">
        <f t="shared" si="19"/>
        <v>0</v>
      </c>
      <c r="O36" s="18">
        <f t="shared" si="19"/>
        <v>0</v>
      </c>
      <c r="P36" s="6">
        <f>SUM(J36:O36)</f>
        <v>0</v>
      </c>
      <c r="Q36" s="18">
        <f t="shared" ref="Q36:V36" si="20">Q8</f>
        <v>0</v>
      </c>
      <c r="R36" s="18">
        <f t="shared" si="20"/>
        <v>0</v>
      </c>
      <c r="S36" s="18">
        <f t="shared" si="20"/>
        <v>0</v>
      </c>
      <c r="T36" s="18">
        <f t="shared" si="20"/>
        <v>0</v>
      </c>
      <c r="U36" s="18">
        <f t="shared" si="20"/>
        <v>0</v>
      </c>
      <c r="V36" s="18">
        <f t="shared" si="20"/>
        <v>0</v>
      </c>
      <c r="W36" s="6">
        <f>SUM(Q36:V36)</f>
        <v>0</v>
      </c>
    </row>
    <row r="37" spans="1:23" ht="16" thickBot="1" x14ac:dyDescent="0.25">
      <c r="A37" s="1" t="s">
        <v>641</v>
      </c>
      <c r="B37" s="18">
        <f>I37+P37+W37</f>
        <v>0</v>
      </c>
      <c r="C37" s="18">
        <f t="shared" ref="C37:H37" si="21">C28+C33</f>
        <v>0</v>
      </c>
      <c r="D37" s="18">
        <f t="shared" si="21"/>
        <v>0</v>
      </c>
      <c r="E37" s="18">
        <f t="shared" si="21"/>
        <v>0</v>
      </c>
      <c r="F37" s="18">
        <f t="shared" si="21"/>
        <v>0</v>
      </c>
      <c r="G37" s="18">
        <f t="shared" si="21"/>
        <v>0</v>
      </c>
      <c r="H37" s="18">
        <f t="shared" si="21"/>
        <v>0</v>
      </c>
      <c r="I37" s="6">
        <f>SUM(C37:H37)</f>
        <v>0</v>
      </c>
      <c r="J37" s="18">
        <f t="shared" ref="J37:O37" si="22">J28+J33</f>
        <v>0</v>
      </c>
      <c r="K37" s="18">
        <f t="shared" si="22"/>
        <v>0</v>
      </c>
      <c r="L37" s="18">
        <f t="shared" si="22"/>
        <v>0</v>
      </c>
      <c r="M37" s="18">
        <f t="shared" si="22"/>
        <v>0</v>
      </c>
      <c r="N37" s="18">
        <f t="shared" si="22"/>
        <v>0</v>
      </c>
      <c r="O37" s="18">
        <f t="shared" si="22"/>
        <v>0</v>
      </c>
      <c r="P37" s="6">
        <f>SUM(J37:O37)</f>
        <v>0</v>
      </c>
      <c r="Q37" s="18">
        <f t="shared" ref="Q37:V37" si="23">Q28+Q33</f>
        <v>0</v>
      </c>
      <c r="R37" s="18">
        <f t="shared" si="23"/>
        <v>0</v>
      </c>
      <c r="S37" s="18">
        <f t="shared" si="23"/>
        <v>0</v>
      </c>
      <c r="T37" s="18">
        <f t="shared" si="23"/>
        <v>0</v>
      </c>
      <c r="U37" s="18">
        <f t="shared" si="23"/>
        <v>0</v>
      </c>
      <c r="V37" s="18">
        <f t="shared" si="23"/>
        <v>0</v>
      </c>
      <c r="W37" s="6">
        <f>SUM(Q37:V37)</f>
        <v>0</v>
      </c>
    </row>
    <row r="38" spans="1:23" ht="16" thickBot="1" x14ac:dyDescent="0.25">
      <c r="A38" s="1" t="s">
        <v>642</v>
      </c>
      <c r="B38" s="25">
        <f t="shared" ref="B38:W38" si="24">B30+B24+B20+B16+B12+B6</f>
        <v>1</v>
      </c>
      <c r="C38" s="25">
        <f t="shared" si="24"/>
        <v>0</v>
      </c>
      <c r="D38" s="25">
        <f t="shared" si="24"/>
        <v>0</v>
      </c>
      <c r="E38" s="25">
        <f t="shared" si="24"/>
        <v>0</v>
      </c>
      <c r="F38" s="25">
        <f t="shared" si="24"/>
        <v>0</v>
      </c>
      <c r="G38" s="25">
        <f t="shared" si="24"/>
        <v>0</v>
      </c>
      <c r="H38" s="25">
        <f t="shared" si="24"/>
        <v>0</v>
      </c>
      <c r="I38" s="64">
        <f t="shared" si="24"/>
        <v>0</v>
      </c>
      <c r="J38" s="25">
        <f t="shared" si="24"/>
        <v>0</v>
      </c>
      <c r="K38" s="25">
        <f t="shared" si="24"/>
        <v>0</v>
      </c>
      <c r="L38" s="25">
        <f t="shared" si="24"/>
        <v>0</v>
      </c>
      <c r="M38" s="25">
        <f t="shared" si="24"/>
        <v>0</v>
      </c>
      <c r="N38" s="25">
        <f t="shared" si="24"/>
        <v>0</v>
      </c>
      <c r="O38" s="25">
        <f t="shared" si="24"/>
        <v>0</v>
      </c>
      <c r="P38" s="64">
        <f t="shared" si="24"/>
        <v>0</v>
      </c>
      <c r="Q38" s="25">
        <f t="shared" si="24"/>
        <v>0</v>
      </c>
      <c r="R38" s="25">
        <f t="shared" si="24"/>
        <v>1</v>
      </c>
      <c r="S38" s="25">
        <f t="shared" si="24"/>
        <v>0</v>
      </c>
      <c r="T38" s="25">
        <f t="shared" si="24"/>
        <v>0</v>
      </c>
      <c r="U38" s="25">
        <f t="shared" si="24"/>
        <v>0</v>
      </c>
      <c r="V38" s="25">
        <f t="shared" si="24"/>
        <v>0</v>
      </c>
      <c r="W38" s="64">
        <f t="shared" si="24"/>
        <v>1</v>
      </c>
    </row>
  </sheetData>
  <pageMargins left="0.7" right="0.7" top="0.75" bottom="0.75" header="0.3" footer="0.3"/>
  <pageSetup paperSize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3" sqref="D3"/>
    </sheetView>
  </sheetViews>
  <sheetFormatPr baseColWidth="10" defaultColWidth="8.83203125" defaultRowHeight="15" x14ac:dyDescent="0.2"/>
  <cols>
    <col min="4" max="4" width="11.6640625" bestFit="1" customWidth="1"/>
  </cols>
  <sheetData>
    <row r="1" spans="1:4" x14ac:dyDescent="0.2">
      <c r="A1" s="15" t="s">
        <v>116</v>
      </c>
    </row>
    <row r="3" spans="1:4" x14ac:dyDescent="0.2">
      <c r="A3" t="s">
        <v>117</v>
      </c>
      <c r="D3" s="16">
        <f ca="1">SUMIFS(INDIRECT("Invoices!N2:N" &amp; CountsForFormulas!$D$4 &amp; ""),INDIRECT("Invoices!F2:F" &amp; CountsForFormulas!$D$4 &amp; ""),"PrepayContract")</f>
        <v>0</v>
      </c>
    </row>
    <row r="4" spans="1:4" x14ac:dyDescent="0.2">
      <c r="A4" t="s">
        <v>118</v>
      </c>
      <c r="D4" s="17">
        <f ca="1">SUMIFS(INDIRECT("Invoices!N2:N" &amp; CountsForFormulas!$D$4 &amp; ""),INDIRECT("Invoices!F2:F" &amp; CountsForFormulas!$D$4 &amp; ""),"SaaS")</f>
        <v>0</v>
      </c>
    </row>
    <row r="5" spans="1:4" x14ac:dyDescent="0.2">
      <c r="A5" t="s">
        <v>119</v>
      </c>
      <c r="D5" s="18">
        <f ca="1">D3+D4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3" max="3" width="8.83203125" style="2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"/>
  <sheetViews>
    <sheetView topLeftCell="AZ1" workbookViewId="0">
      <pane ySplit="1" topLeftCell="A2" activePane="bottomLeft" state="frozenSplit"/>
      <selection pane="bottomLeft" activeCell="BJ3" sqref="BJ3"/>
    </sheetView>
  </sheetViews>
  <sheetFormatPr baseColWidth="10" defaultColWidth="8.83203125" defaultRowHeight="15" x14ac:dyDescent="0.2"/>
  <cols>
    <col min="20" max="20" width="18.6640625" style="22" customWidth="1"/>
    <col min="21" max="21" width="24.83203125" style="22" customWidth="1"/>
    <col min="22" max="22" width="19.1640625" style="22" customWidth="1"/>
    <col min="23" max="23" width="13.83203125" customWidth="1"/>
    <col min="45" max="45" width="36.83203125" customWidth="1"/>
    <col min="46" max="46" width="61.33203125" customWidth="1"/>
    <col min="47" max="47" width="13.1640625" customWidth="1"/>
    <col min="48" max="49" width="13.1640625" style="22" customWidth="1"/>
    <col min="50" max="50" width="20.6640625" customWidth="1"/>
    <col min="51" max="51" width="16.5" style="23" customWidth="1"/>
    <col min="52" max="55" width="13.1640625" customWidth="1"/>
    <col min="56" max="56" width="22.6640625" style="22" customWidth="1"/>
  </cols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2" t="s">
        <v>19</v>
      </c>
      <c r="U1" s="22" t="s">
        <v>20</v>
      </c>
      <c r="V1" s="2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22" t="s">
        <v>47</v>
      </c>
      <c r="AW1" s="22" t="s">
        <v>48</v>
      </c>
      <c r="AX1" t="s">
        <v>49</v>
      </c>
      <c r="AY1" s="23" t="s">
        <v>50</v>
      </c>
      <c r="AZ1" t="s">
        <v>51</v>
      </c>
      <c r="BA1" t="s">
        <v>52</v>
      </c>
      <c r="BB1" t="s">
        <v>53</v>
      </c>
      <c r="BC1" t="s">
        <v>54</v>
      </c>
      <c r="BD1" s="22" t="s">
        <v>631</v>
      </c>
      <c r="BE1" t="s">
        <v>55</v>
      </c>
      <c r="BF1" t="s">
        <v>632</v>
      </c>
      <c r="BG1" t="s">
        <v>633</v>
      </c>
      <c r="BH1" t="s">
        <v>636</v>
      </c>
      <c r="BI1" t="s">
        <v>637</v>
      </c>
      <c r="BJ1" t="s">
        <v>643</v>
      </c>
    </row>
    <row r="2" spans="1:62" x14ac:dyDescent="0.2">
      <c r="A2" t="s">
        <v>56</v>
      </c>
      <c r="B2" t="s">
        <v>57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>
        <v>3378</v>
      </c>
      <c r="I2">
        <v>0</v>
      </c>
      <c r="J2">
        <v>0</v>
      </c>
      <c r="K2">
        <v>1</v>
      </c>
      <c r="L2">
        <v>3</v>
      </c>
      <c r="M2">
        <v>2</v>
      </c>
      <c r="N2">
        <v>0</v>
      </c>
      <c r="O2">
        <v>0</v>
      </c>
      <c r="P2">
        <v>0</v>
      </c>
      <c r="R2" t="b">
        <v>0</v>
      </c>
      <c r="S2" t="b">
        <v>1</v>
      </c>
      <c r="T2" s="22">
        <v>39722.666666666701</v>
      </c>
      <c r="U2" s="22">
        <v>41244.708333333299</v>
      </c>
      <c r="V2" s="22">
        <v>0</v>
      </c>
      <c r="W2">
        <f t="shared" ref="W2" si="0">IF(IF(B2="none",1,IF(B2="Trialer",1,0))+IF(C2="Customer",1,IF(C2="Lost",1,0))=2,1,0)</f>
        <v>0</v>
      </c>
      <c r="X2" t="s">
        <v>62</v>
      </c>
      <c r="Y2" t="s">
        <v>63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 t="s">
        <v>64</v>
      </c>
      <c r="AS2" t="s">
        <v>65</v>
      </c>
      <c r="AT2" t="s">
        <v>66</v>
      </c>
      <c r="AU2" t="s">
        <v>66</v>
      </c>
      <c r="AV2" s="22">
        <v>40542</v>
      </c>
      <c r="AW2" s="22">
        <v>43391.087500000001</v>
      </c>
      <c r="AX2">
        <v>0</v>
      </c>
      <c r="AY2">
        <v>0</v>
      </c>
      <c r="AZ2">
        <v>577</v>
      </c>
      <c r="BA2">
        <v>2</v>
      </c>
      <c r="BB2">
        <v>63</v>
      </c>
      <c r="BC2">
        <v>27</v>
      </c>
      <c r="BD2" s="22" t="s">
        <v>634</v>
      </c>
      <c r="BE2" t="s">
        <v>635</v>
      </c>
      <c r="BF2" t="b">
        <v>0</v>
      </c>
      <c r="BG2" t="b">
        <v>0</v>
      </c>
      <c r="BH2">
        <v>0</v>
      </c>
      <c r="BI2">
        <v>0</v>
      </c>
      <c r="BJ2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T1" workbookViewId="0">
      <pane ySplit="1" topLeftCell="A54" activePane="bottomLeft" state="frozen"/>
      <selection pane="bottomLeft" activeCell="K21" sqref="K21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.83203125" customWidth="1"/>
    <col min="2" max="2" width="16.5" customWidth="1"/>
    <col min="3" max="3" width="17" style="22" customWidth="1"/>
    <col min="4" max="4" width="8.83203125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.8320312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T2626"/>
  <sheetViews>
    <sheetView zoomScale="110" zoomScaleNormal="110" workbookViewId="0">
      <selection activeCell="D10" sqref="D10"/>
    </sheetView>
  </sheetViews>
  <sheetFormatPr baseColWidth="10" defaultColWidth="11.5" defaultRowHeight="15" x14ac:dyDescent="0.2"/>
  <cols>
    <col min="1" max="1" width="22.6640625" customWidth="1"/>
    <col min="2" max="2" width="22.6640625" style="24" customWidth="1"/>
    <col min="3" max="3" width="22.6640625" style="25" customWidth="1"/>
    <col min="4" max="434" width="22.6640625" customWidth="1"/>
  </cols>
  <sheetData>
    <row r="1" spans="1:436" s="28" customFormat="1" ht="102" x14ac:dyDescent="0.2">
      <c r="A1" s="28" t="s">
        <v>4</v>
      </c>
      <c r="B1" s="29" t="s">
        <v>171</v>
      </c>
      <c r="C1" s="30" t="s">
        <v>172</v>
      </c>
      <c r="D1" s="28" t="s">
        <v>132</v>
      </c>
      <c r="E1" s="28" t="s">
        <v>133</v>
      </c>
      <c r="F1" s="28" t="s">
        <v>134</v>
      </c>
      <c r="G1" s="28" t="s">
        <v>135</v>
      </c>
      <c r="H1" s="28" t="s">
        <v>270</v>
      </c>
      <c r="I1" s="28" t="s">
        <v>271</v>
      </c>
      <c r="J1" s="28" t="s">
        <v>277</v>
      </c>
      <c r="K1" s="28" t="s">
        <v>278</v>
      </c>
      <c r="L1" s="28" t="s">
        <v>630</v>
      </c>
      <c r="M1" s="28" t="s">
        <v>279</v>
      </c>
      <c r="N1" s="28" t="s">
        <v>280</v>
      </c>
      <c r="O1" s="28" t="s">
        <v>164</v>
      </c>
      <c r="P1" s="28" t="s">
        <v>136</v>
      </c>
      <c r="Q1" s="28" t="s">
        <v>146</v>
      </c>
      <c r="R1" s="28" t="s">
        <v>147</v>
      </c>
      <c r="S1" s="28" t="s">
        <v>165</v>
      </c>
      <c r="T1" s="28" t="s">
        <v>622</v>
      </c>
      <c r="U1" s="28" t="s">
        <v>578</v>
      </c>
      <c r="V1" s="28" t="s">
        <v>579</v>
      </c>
      <c r="W1" s="28" t="s">
        <v>580</v>
      </c>
      <c r="X1" s="28" t="s">
        <v>581</v>
      </c>
      <c r="Y1" s="28" t="s">
        <v>629</v>
      </c>
      <c r="Z1" s="28" t="s">
        <v>582</v>
      </c>
      <c r="AA1" s="28" t="s">
        <v>583</v>
      </c>
      <c r="AB1" s="28" t="s">
        <v>584</v>
      </c>
      <c r="AC1" s="28" t="s">
        <v>585</v>
      </c>
      <c r="AD1" s="28" t="s">
        <v>586</v>
      </c>
      <c r="AE1" s="28" t="s">
        <v>587</v>
      </c>
      <c r="AF1" s="28" t="s">
        <v>588</v>
      </c>
      <c r="AG1" s="28" t="s">
        <v>589</v>
      </c>
      <c r="AH1" s="28" t="s">
        <v>590</v>
      </c>
      <c r="AI1" s="28" t="s">
        <v>591</v>
      </c>
      <c r="AJ1" s="28" t="s">
        <v>592</v>
      </c>
      <c r="AK1" s="28" t="s">
        <v>593</v>
      </c>
      <c r="AL1" s="28" t="s">
        <v>594</v>
      </c>
      <c r="AM1" s="28" t="s">
        <v>595</v>
      </c>
      <c r="AN1" s="28" t="s">
        <v>596</v>
      </c>
      <c r="AO1" s="28" t="s">
        <v>597</v>
      </c>
      <c r="AP1" s="28" t="s">
        <v>598</v>
      </c>
      <c r="AQ1" s="28" t="s">
        <v>599</v>
      </c>
      <c r="AR1" s="28" t="s">
        <v>600</v>
      </c>
      <c r="AS1" s="28" t="s">
        <v>601</v>
      </c>
      <c r="AT1" s="28" t="s">
        <v>570</v>
      </c>
      <c r="AU1" s="28" t="s">
        <v>571</v>
      </c>
      <c r="AV1" s="28" t="s">
        <v>572</v>
      </c>
      <c r="AW1" s="28" t="s">
        <v>573</v>
      </c>
      <c r="AX1" s="28" t="s">
        <v>628</v>
      </c>
      <c r="AY1" s="28" t="s">
        <v>574</v>
      </c>
      <c r="AZ1" s="28" t="s">
        <v>575</v>
      </c>
      <c r="BA1" s="28" t="s">
        <v>576</v>
      </c>
      <c r="BB1" s="28" t="s">
        <v>577</v>
      </c>
      <c r="BC1" s="28" t="s">
        <v>559</v>
      </c>
      <c r="BD1" s="28" t="s">
        <v>560</v>
      </c>
      <c r="BE1" s="28" t="s">
        <v>561</v>
      </c>
      <c r="BF1" s="28" t="s">
        <v>562</v>
      </c>
      <c r="BG1" s="28" t="s">
        <v>563</v>
      </c>
      <c r="BH1" s="28" t="s">
        <v>627</v>
      </c>
      <c r="BI1" s="28" t="s">
        <v>564</v>
      </c>
      <c r="BJ1" s="28" t="s">
        <v>565</v>
      </c>
      <c r="BK1" s="28" t="s">
        <v>566</v>
      </c>
      <c r="BL1" s="28" t="s">
        <v>567</v>
      </c>
      <c r="BM1" s="28" t="s">
        <v>137</v>
      </c>
      <c r="BN1" s="28" t="s">
        <v>144</v>
      </c>
      <c r="BO1" s="28" t="s">
        <v>138</v>
      </c>
      <c r="BP1" s="28" t="s">
        <v>139</v>
      </c>
      <c r="BQ1" s="28" t="s">
        <v>140</v>
      </c>
      <c r="BR1" s="28" t="s">
        <v>623</v>
      </c>
      <c r="BS1" s="28" t="s">
        <v>141</v>
      </c>
      <c r="BT1" s="28" t="s">
        <v>142</v>
      </c>
      <c r="BU1" s="28" t="s">
        <v>143</v>
      </c>
      <c r="BV1" s="28" t="s">
        <v>176</v>
      </c>
      <c r="BW1" s="28" t="s">
        <v>177</v>
      </c>
      <c r="BX1" s="28" t="s">
        <v>178</v>
      </c>
      <c r="BY1" s="28" t="s">
        <v>179</v>
      </c>
      <c r="BZ1" s="28" t="s">
        <v>624</v>
      </c>
      <c r="CA1" s="28" t="s">
        <v>180</v>
      </c>
      <c r="CB1" s="28" t="s">
        <v>181</v>
      </c>
      <c r="CC1" s="28" t="s">
        <v>182</v>
      </c>
      <c r="CD1" s="28" t="s">
        <v>183</v>
      </c>
      <c r="CE1" s="28" t="s">
        <v>184</v>
      </c>
      <c r="CF1" s="28" t="s">
        <v>185</v>
      </c>
      <c r="CG1" s="28" t="s">
        <v>186</v>
      </c>
      <c r="CH1" s="28" t="s">
        <v>187</v>
      </c>
      <c r="CI1" s="28" t="s">
        <v>625</v>
      </c>
      <c r="CJ1" s="28" t="s">
        <v>188</v>
      </c>
      <c r="CK1" s="28" t="s">
        <v>189</v>
      </c>
      <c r="CL1" s="28" t="s">
        <v>190</v>
      </c>
      <c r="CM1" s="28" t="s">
        <v>191</v>
      </c>
      <c r="CN1" s="28" t="s">
        <v>602</v>
      </c>
      <c r="CO1" s="28" t="s">
        <v>603</v>
      </c>
      <c r="CP1" s="28" t="s">
        <v>604</v>
      </c>
      <c r="CQ1" s="28" t="s">
        <v>605</v>
      </c>
      <c r="CR1" s="28" t="s">
        <v>626</v>
      </c>
      <c r="CS1" s="28" t="s">
        <v>606</v>
      </c>
      <c r="CT1" s="28" t="s">
        <v>607</v>
      </c>
      <c r="CU1" s="28" t="s">
        <v>608</v>
      </c>
      <c r="CV1" s="28" t="s">
        <v>609</v>
      </c>
      <c r="CW1" s="28" t="s">
        <v>192</v>
      </c>
      <c r="CX1" s="28" t="s">
        <v>193</v>
      </c>
      <c r="CY1" s="28" t="s">
        <v>196</v>
      </c>
      <c r="CZ1" s="28" t="s">
        <v>197</v>
      </c>
      <c r="DA1" s="28" t="s">
        <v>198</v>
      </c>
      <c r="DB1" s="28" t="s">
        <v>194</v>
      </c>
      <c r="DC1" s="28" t="s">
        <v>195</v>
      </c>
      <c r="DD1" s="28" t="s">
        <v>610</v>
      </c>
      <c r="DE1" s="28" t="s">
        <v>511</v>
      </c>
      <c r="DF1" s="28" t="s">
        <v>512</v>
      </c>
      <c r="DG1" s="28" t="s">
        <v>513</v>
      </c>
      <c r="DH1" s="28" t="s">
        <v>514</v>
      </c>
      <c r="DI1" s="28" t="s">
        <v>305</v>
      </c>
      <c r="DJ1" s="28" t="s">
        <v>306</v>
      </c>
      <c r="DK1" s="28" t="s">
        <v>307</v>
      </c>
      <c r="DL1" s="28" t="s">
        <v>308</v>
      </c>
      <c r="DM1" s="28" t="s">
        <v>329</v>
      </c>
      <c r="DN1" s="28" t="s">
        <v>309</v>
      </c>
      <c r="DO1" s="28" t="s">
        <v>330</v>
      </c>
      <c r="DP1" s="28" t="s">
        <v>310</v>
      </c>
      <c r="DQ1" s="28" t="s">
        <v>311</v>
      </c>
      <c r="DR1" s="28" t="s">
        <v>312</v>
      </c>
      <c r="DS1" s="28" t="s">
        <v>313</v>
      </c>
      <c r="DT1" s="28" t="s">
        <v>314</v>
      </c>
      <c r="DU1" s="28" t="s">
        <v>331</v>
      </c>
      <c r="DV1" s="28" t="s">
        <v>315</v>
      </c>
      <c r="DW1" s="28" t="s">
        <v>332</v>
      </c>
      <c r="DX1" s="28" t="s">
        <v>316</v>
      </c>
      <c r="DY1" s="28" t="s">
        <v>333</v>
      </c>
      <c r="DZ1" s="28" t="s">
        <v>334</v>
      </c>
      <c r="EA1" s="28" t="s">
        <v>335</v>
      </c>
      <c r="EB1" s="28" t="s">
        <v>336</v>
      </c>
      <c r="EC1" s="28" t="s">
        <v>337</v>
      </c>
      <c r="ED1" s="28" t="s">
        <v>338</v>
      </c>
      <c r="EE1" s="28" t="s">
        <v>339</v>
      </c>
      <c r="EF1" s="28" t="s">
        <v>611</v>
      </c>
      <c r="EG1" s="28" t="s">
        <v>515</v>
      </c>
      <c r="EH1" s="28" t="s">
        <v>516</v>
      </c>
      <c r="EI1" s="28" t="s">
        <v>517</v>
      </c>
      <c r="EJ1" s="28" t="s">
        <v>518</v>
      </c>
      <c r="EK1" s="28" t="s">
        <v>340</v>
      </c>
      <c r="EL1" s="28" t="s">
        <v>341</v>
      </c>
      <c r="EM1" s="28" t="s">
        <v>342</v>
      </c>
      <c r="EN1" s="28" t="s">
        <v>343</v>
      </c>
      <c r="EO1" s="28" t="s">
        <v>344</v>
      </c>
      <c r="EP1" s="28" t="s">
        <v>345</v>
      </c>
      <c r="EQ1" s="28" t="s">
        <v>346</v>
      </c>
      <c r="ER1" s="28" t="s">
        <v>347</v>
      </c>
      <c r="ES1" s="28" t="s">
        <v>348</v>
      </c>
      <c r="ET1" s="28" t="s">
        <v>349</v>
      </c>
      <c r="EU1" s="28" t="s">
        <v>350</v>
      </c>
      <c r="EV1" s="28" t="s">
        <v>351</v>
      </c>
      <c r="EW1" s="28" t="s">
        <v>352</v>
      </c>
      <c r="EX1" s="28" t="s">
        <v>353</v>
      </c>
      <c r="EY1" s="28" t="s">
        <v>354</v>
      </c>
      <c r="EZ1" s="28" t="s">
        <v>355</v>
      </c>
      <c r="FA1" s="28" t="s">
        <v>199</v>
      </c>
      <c r="FB1" s="28" t="s">
        <v>200</v>
      </c>
      <c r="FC1" s="28" t="s">
        <v>201</v>
      </c>
      <c r="FD1" s="28" t="s">
        <v>202</v>
      </c>
      <c r="FE1" s="28" t="s">
        <v>203</v>
      </c>
      <c r="FF1" s="28" t="s">
        <v>204</v>
      </c>
      <c r="FG1" s="28" t="s">
        <v>205</v>
      </c>
      <c r="FH1" s="28" t="s">
        <v>612</v>
      </c>
      <c r="FI1" s="28" t="s">
        <v>519</v>
      </c>
      <c r="FJ1" s="28" t="s">
        <v>520</v>
      </c>
      <c r="FK1" s="28" t="s">
        <v>521</v>
      </c>
      <c r="FL1" s="28" t="s">
        <v>522</v>
      </c>
      <c r="FM1" s="28" t="s">
        <v>317</v>
      </c>
      <c r="FN1" s="28" t="s">
        <v>318</v>
      </c>
      <c r="FO1" s="28" t="s">
        <v>319</v>
      </c>
      <c r="FP1" s="28" t="s">
        <v>320</v>
      </c>
      <c r="FQ1" s="28" t="s">
        <v>356</v>
      </c>
      <c r="FR1" s="28" t="s">
        <v>321</v>
      </c>
      <c r="FS1" s="28" t="s">
        <v>357</v>
      </c>
      <c r="FT1" s="28" t="s">
        <v>322</v>
      </c>
      <c r="FU1" s="28" t="s">
        <v>323</v>
      </c>
      <c r="FV1" s="28" t="s">
        <v>324</v>
      </c>
      <c r="FW1" s="28" t="s">
        <v>325</v>
      </c>
      <c r="FX1" s="28" t="s">
        <v>326</v>
      </c>
      <c r="FY1" s="28" t="s">
        <v>358</v>
      </c>
      <c r="FZ1" s="28" t="s">
        <v>327</v>
      </c>
      <c r="GA1" s="28" t="s">
        <v>359</v>
      </c>
      <c r="GB1" s="28" t="s">
        <v>328</v>
      </c>
      <c r="GC1" s="28" t="s">
        <v>206</v>
      </c>
      <c r="GD1" s="28" t="s">
        <v>207</v>
      </c>
      <c r="GE1" s="28" t="s">
        <v>208</v>
      </c>
      <c r="GF1" s="28" t="s">
        <v>209</v>
      </c>
      <c r="GG1" s="28" t="s">
        <v>210</v>
      </c>
      <c r="GH1" s="28" t="s">
        <v>211</v>
      </c>
      <c r="GI1" s="28" t="s">
        <v>212</v>
      </c>
      <c r="GJ1" s="28" t="s">
        <v>613</v>
      </c>
      <c r="GK1" s="28" t="s">
        <v>523</v>
      </c>
      <c r="GL1" s="28" t="s">
        <v>524</v>
      </c>
      <c r="GM1" s="28" t="s">
        <v>525</v>
      </c>
      <c r="GN1" s="28" t="s">
        <v>526</v>
      </c>
      <c r="GO1" s="28" t="s">
        <v>360</v>
      </c>
      <c r="GP1" s="28" t="s">
        <v>361</v>
      </c>
      <c r="GQ1" s="28" t="s">
        <v>362</v>
      </c>
      <c r="GR1" s="28" t="s">
        <v>363</v>
      </c>
      <c r="GS1" s="28" t="s">
        <v>364</v>
      </c>
      <c r="GT1" s="28" t="s">
        <v>365</v>
      </c>
      <c r="GU1" s="28" t="s">
        <v>366</v>
      </c>
      <c r="GV1" s="28" t="s">
        <v>367</v>
      </c>
      <c r="GW1" s="28" t="s">
        <v>368</v>
      </c>
      <c r="GX1" s="28" t="s">
        <v>369</v>
      </c>
      <c r="GY1" s="28" t="s">
        <v>370</v>
      </c>
      <c r="GZ1" s="28" t="s">
        <v>371</v>
      </c>
      <c r="HA1" s="28" t="s">
        <v>372</v>
      </c>
      <c r="HB1" s="28" t="s">
        <v>373</v>
      </c>
      <c r="HC1" s="28" t="s">
        <v>374</v>
      </c>
      <c r="HD1" s="28" t="s">
        <v>375</v>
      </c>
      <c r="HE1" s="28" t="s">
        <v>213</v>
      </c>
      <c r="HF1" s="28" t="s">
        <v>214</v>
      </c>
      <c r="HG1" s="28" t="s">
        <v>215</v>
      </c>
      <c r="HH1" s="28" t="s">
        <v>216</v>
      </c>
      <c r="HI1" s="28" t="s">
        <v>217</v>
      </c>
      <c r="HJ1" s="28" t="s">
        <v>218</v>
      </c>
      <c r="HK1" s="28" t="s">
        <v>219</v>
      </c>
      <c r="HL1" s="28" t="s">
        <v>614</v>
      </c>
      <c r="HM1" s="28" t="s">
        <v>527</v>
      </c>
      <c r="HN1" s="28" t="s">
        <v>528</v>
      </c>
      <c r="HO1" s="28" t="s">
        <v>529</v>
      </c>
      <c r="HP1" s="28" t="s">
        <v>530</v>
      </c>
      <c r="HQ1" s="28" t="s">
        <v>376</v>
      </c>
      <c r="HR1" s="28" t="s">
        <v>377</v>
      </c>
      <c r="HS1" s="28" t="s">
        <v>378</v>
      </c>
      <c r="HT1" s="28" t="s">
        <v>379</v>
      </c>
      <c r="HU1" s="28" t="s">
        <v>380</v>
      </c>
      <c r="HV1" s="28" t="s">
        <v>381</v>
      </c>
      <c r="HW1" s="28" t="s">
        <v>382</v>
      </c>
      <c r="HX1" s="28" t="s">
        <v>383</v>
      </c>
      <c r="HY1" s="28" t="s">
        <v>384</v>
      </c>
      <c r="HZ1" s="28" t="s">
        <v>385</v>
      </c>
      <c r="IA1" s="28" t="s">
        <v>386</v>
      </c>
      <c r="IB1" s="28" t="s">
        <v>387</v>
      </c>
      <c r="IC1" s="28" t="s">
        <v>388</v>
      </c>
      <c r="ID1" s="28" t="s">
        <v>389</v>
      </c>
      <c r="IE1" s="28" t="s">
        <v>390</v>
      </c>
      <c r="IF1" s="28" t="s">
        <v>391</v>
      </c>
      <c r="IG1" s="28" t="s">
        <v>220</v>
      </c>
      <c r="IH1" s="28" t="s">
        <v>221</v>
      </c>
      <c r="II1" s="28" t="s">
        <v>222</v>
      </c>
      <c r="IJ1" s="28" t="s">
        <v>223</v>
      </c>
      <c r="IK1" s="28" t="s">
        <v>224</v>
      </c>
      <c r="IL1" s="28" t="s">
        <v>225</v>
      </c>
      <c r="IM1" s="28" t="s">
        <v>226</v>
      </c>
      <c r="IN1" s="28" t="s">
        <v>615</v>
      </c>
      <c r="IO1" s="28" t="s">
        <v>531</v>
      </c>
      <c r="IP1" s="28" t="s">
        <v>532</v>
      </c>
      <c r="IQ1" s="28" t="s">
        <v>533</v>
      </c>
      <c r="IR1" s="28" t="s">
        <v>534</v>
      </c>
      <c r="IS1" s="28" t="s">
        <v>392</v>
      </c>
      <c r="IT1" s="28" t="s">
        <v>393</v>
      </c>
      <c r="IU1" s="28" t="s">
        <v>394</v>
      </c>
      <c r="IV1" s="28" t="s">
        <v>395</v>
      </c>
      <c r="IW1" s="28" t="s">
        <v>396</v>
      </c>
      <c r="IX1" s="28" t="s">
        <v>397</v>
      </c>
      <c r="IY1" s="28" t="s">
        <v>398</v>
      </c>
      <c r="IZ1" s="28" t="s">
        <v>399</v>
      </c>
      <c r="JA1" s="28" t="s">
        <v>400</v>
      </c>
      <c r="JB1" s="28" t="s">
        <v>401</v>
      </c>
      <c r="JC1" s="28" t="s">
        <v>402</v>
      </c>
      <c r="JD1" s="28" t="s">
        <v>403</v>
      </c>
      <c r="JE1" s="28" t="s">
        <v>404</v>
      </c>
      <c r="JF1" s="28" t="s">
        <v>405</v>
      </c>
      <c r="JG1" s="28" t="s">
        <v>406</v>
      </c>
      <c r="JH1" s="28" t="s">
        <v>407</v>
      </c>
      <c r="JI1" s="28" t="s">
        <v>227</v>
      </c>
      <c r="JJ1" s="28" t="s">
        <v>228</v>
      </c>
      <c r="JK1" s="28" t="s">
        <v>229</v>
      </c>
      <c r="JL1" s="28" t="s">
        <v>230</v>
      </c>
      <c r="JM1" s="28" t="s">
        <v>231</v>
      </c>
      <c r="JN1" s="28" t="s">
        <v>232</v>
      </c>
      <c r="JO1" s="28" t="s">
        <v>233</v>
      </c>
      <c r="JP1" s="28" t="s">
        <v>616</v>
      </c>
      <c r="JQ1" s="28" t="s">
        <v>535</v>
      </c>
      <c r="JR1" s="28" t="s">
        <v>536</v>
      </c>
      <c r="JS1" s="28" t="s">
        <v>537</v>
      </c>
      <c r="JT1" s="28" t="s">
        <v>538</v>
      </c>
      <c r="JU1" s="28" t="s">
        <v>408</v>
      </c>
      <c r="JV1" s="28" t="s">
        <v>409</v>
      </c>
      <c r="JW1" s="28" t="s">
        <v>410</v>
      </c>
      <c r="JX1" s="28" t="s">
        <v>411</v>
      </c>
      <c r="JY1" s="28" t="s">
        <v>412</v>
      </c>
      <c r="JZ1" s="28" t="s">
        <v>413</v>
      </c>
      <c r="KA1" s="28" t="s">
        <v>414</v>
      </c>
      <c r="KB1" s="28" t="s">
        <v>415</v>
      </c>
      <c r="KC1" s="28" t="s">
        <v>416</v>
      </c>
      <c r="KD1" s="28" t="s">
        <v>417</v>
      </c>
      <c r="KE1" s="28" t="s">
        <v>418</v>
      </c>
      <c r="KF1" s="28" t="s">
        <v>419</v>
      </c>
      <c r="KG1" s="28" t="s">
        <v>420</v>
      </c>
      <c r="KH1" s="28" t="s">
        <v>421</v>
      </c>
      <c r="KI1" s="28" t="s">
        <v>422</v>
      </c>
      <c r="KJ1" s="28" t="s">
        <v>423</v>
      </c>
      <c r="KK1" s="28" t="s">
        <v>234</v>
      </c>
      <c r="KL1" s="28" t="s">
        <v>235</v>
      </c>
      <c r="KM1" s="28" t="s">
        <v>236</v>
      </c>
      <c r="KN1" s="28" t="s">
        <v>237</v>
      </c>
      <c r="KO1" s="28" t="s">
        <v>238</v>
      </c>
      <c r="KP1" s="28" t="s">
        <v>239</v>
      </c>
      <c r="KQ1" s="28" t="s">
        <v>240</v>
      </c>
      <c r="KR1" s="28" t="s">
        <v>617</v>
      </c>
      <c r="KS1" s="28" t="s">
        <v>539</v>
      </c>
      <c r="KT1" s="28" t="s">
        <v>540</v>
      </c>
      <c r="KU1" s="28" t="s">
        <v>541</v>
      </c>
      <c r="KV1" s="28" t="s">
        <v>542</v>
      </c>
      <c r="KW1" s="28" t="s">
        <v>424</v>
      </c>
      <c r="KX1" s="28" t="s">
        <v>425</v>
      </c>
      <c r="KY1" s="28" t="s">
        <v>426</v>
      </c>
      <c r="KZ1" s="28" t="s">
        <v>427</v>
      </c>
      <c r="LA1" s="28" t="s">
        <v>428</v>
      </c>
      <c r="LB1" s="28" t="s">
        <v>429</v>
      </c>
      <c r="LC1" s="28" t="s">
        <v>430</v>
      </c>
      <c r="LD1" s="28" t="s">
        <v>431</v>
      </c>
      <c r="LE1" s="28" t="s">
        <v>432</v>
      </c>
      <c r="LF1" s="28" t="s">
        <v>433</v>
      </c>
      <c r="LG1" s="28" t="s">
        <v>434</v>
      </c>
      <c r="LH1" s="28" t="s">
        <v>435</v>
      </c>
      <c r="LI1" s="28" t="s">
        <v>436</v>
      </c>
      <c r="LJ1" s="28" t="s">
        <v>437</v>
      </c>
      <c r="LK1" s="28" t="s">
        <v>438</v>
      </c>
      <c r="LL1" s="28" t="s">
        <v>439</v>
      </c>
      <c r="LM1" s="28" t="s">
        <v>241</v>
      </c>
      <c r="LN1" s="28" t="s">
        <v>242</v>
      </c>
      <c r="LO1" s="28" t="s">
        <v>243</v>
      </c>
      <c r="LP1" s="28" t="s">
        <v>244</v>
      </c>
      <c r="LQ1" s="28" t="s">
        <v>245</v>
      </c>
      <c r="LR1" s="28" t="s">
        <v>246</v>
      </c>
      <c r="LS1" s="28" t="s">
        <v>247</v>
      </c>
      <c r="LT1" s="28" t="s">
        <v>618</v>
      </c>
      <c r="LU1" s="28" t="s">
        <v>543</v>
      </c>
      <c r="LV1" s="28" t="s">
        <v>544</v>
      </c>
      <c r="LW1" s="28" t="s">
        <v>545</v>
      </c>
      <c r="LX1" s="28" t="s">
        <v>546</v>
      </c>
      <c r="LY1" s="28" t="s">
        <v>440</v>
      </c>
      <c r="LZ1" s="28" t="s">
        <v>441</v>
      </c>
      <c r="MA1" s="28" t="s">
        <v>442</v>
      </c>
      <c r="MB1" s="28" t="s">
        <v>443</v>
      </c>
      <c r="MC1" s="28" t="s">
        <v>444</v>
      </c>
      <c r="MD1" s="28" t="s">
        <v>445</v>
      </c>
      <c r="ME1" s="28" t="s">
        <v>446</v>
      </c>
      <c r="MF1" s="28" t="s">
        <v>447</v>
      </c>
      <c r="MG1" s="28" t="s">
        <v>448</v>
      </c>
      <c r="MH1" s="28" t="s">
        <v>449</v>
      </c>
      <c r="MI1" s="28" t="s">
        <v>450</v>
      </c>
      <c r="MJ1" s="28" t="s">
        <v>451</v>
      </c>
      <c r="MK1" s="28" t="s">
        <v>452</v>
      </c>
      <c r="ML1" s="28" t="s">
        <v>453</v>
      </c>
      <c r="MM1" s="28" t="s">
        <v>454</v>
      </c>
      <c r="MN1" s="28" t="s">
        <v>455</v>
      </c>
      <c r="MO1" s="28" t="s">
        <v>248</v>
      </c>
      <c r="MP1" s="28" t="s">
        <v>249</v>
      </c>
      <c r="MQ1" s="28" t="s">
        <v>250</v>
      </c>
      <c r="MR1" s="28" t="s">
        <v>251</v>
      </c>
      <c r="MS1" s="28" t="s">
        <v>252</v>
      </c>
      <c r="MT1" s="28" t="s">
        <v>253</v>
      </c>
      <c r="MU1" s="28" t="s">
        <v>254</v>
      </c>
      <c r="MV1" s="28" t="s">
        <v>619</v>
      </c>
      <c r="MW1" s="28" t="s">
        <v>547</v>
      </c>
      <c r="MX1" s="28" t="s">
        <v>548</v>
      </c>
      <c r="MY1" s="28" t="s">
        <v>549</v>
      </c>
      <c r="MZ1" s="28" t="s">
        <v>550</v>
      </c>
      <c r="NA1" s="28" t="s">
        <v>456</v>
      </c>
      <c r="NB1" s="28" t="s">
        <v>457</v>
      </c>
      <c r="NC1" s="28" t="s">
        <v>458</v>
      </c>
      <c r="ND1" s="28" t="s">
        <v>459</v>
      </c>
      <c r="NE1" s="28" t="s">
        <v>460</v>
      </c>
      <c r="NF1" s="28" t="s">
        <v>461</v>
      </c>
      <c r="NG1" s="28" t="s">
        <v>462</v>
      </c>
      <c r="NH1" s="28" t="s">
        <v>463</v>
      </c>
      <c r="NI1" s="28" t="s">
        <v>464</v>
      </c>
      <c r="NJ1" s="28" t="s">
        <v>465</v>
      </c>
      <c r="NK1" s="28" t="s">
        <v>466</v>
      </c>
      <c r="NL1" s="28" t="s">
        <v>467</v>
      </c>
      <c r="NM1" s="28" t="s">
        <v>468</v>
      </c>
      <c r="NN1" s="28" t="s">
        <v>469</v>
      </c>
      <c r="NO1" s="28" t="s">
        <v>470</v>
      </c>
      <c r="NP1" s="28" t="s">
        <v>471</v>
      </c>
      <c r="NQ1" s="28" t="s">
        <v>255</v>
      </c>
      <c r="NR1" s="28" t="s">
        <v>256</v>
      </c>
      <c r="NS1" s="28" t="s">
        <v>257</v>
      </c>
      <c r="NT1" s="28" t="s">
        <v>258</v>
      </c>
      <c r="NU1" s="28" t="s">
        <v>259</v>
      </c>
      <c r="NV1" s="28" t="s">
        <v>260</v>
      </c>
      <c r="NW1" s="28" t="s">
        <v>261</v>
      </c>
      <c r="NX1" s="28" t="s">
        <v>620</v>
      </c>
      <c r="NY1" s="28" t="s">
        <v>551</v>
      </c>
      <c r="NZ1" s="28" t="s">
        <v>552</v>
      </c>
      <c r="OA1" s="28" t="s">
        <v>553</v>
      </c>
      <c r="OB1" s="28" t="s">
        <v>554</v>
      </c>
      <c r="OC1" s="28" t="s">
        <v>472</v>
      </c>
      <c r="OD1" s="28" t="s">
        <v>473</v>
      </c>
      <c r="OE1" s="28" t="s">
        <v>474</v>
      </c>
      <c r="OF1" s="28" t="s">
        <v>475</v>
      </c>
      <c r="OG1" s="28" t="s">
        <v>476</v>
      </c>
      <c r="OH1" s="28" t="s">
        <v>477</v>
      </c>
      <c r="OI1" s="28" t="s">
        <v>478</v>
      </c>
      <c r="OJ1" s="28" t="s">
        <v>479</v>
      </c>
      <c r="OK1" s="28" t="s">
        <v>480</v>
      </c>
      <c r="OL1" s="28" t="s">
        <v>481</v>
      </c>
      <c r="OM1" s="28" t="s">
        <v>482</v>
      </c>
      <c r="ON1" s="28" t="s">
        <v>483</v>
      </c>
      <c r="OO1" s="28" t="s">
        <v>484</v>
      </c>
      <c r="OP1" s="28" t="s">
        <v>485</v>
      </c>
      <c r="OQ1" s="28" t="s">
        <v>486</v>
      </c>
      <c r="OR1" s="28" t="s">
        <v>487</v>
      </c>
      <c r="OS1" s="28" t="s">
        <v>488</v>
      </c>
      <c r="OT1" s="28" t="s">
        <v>489</v>
      </c>
      <c r="OU1" s="28" t="s">
        <v>490</v>
      </c>
      <c r="OV1" s="28" t="s">
        <v>491</v>
      </c>
      <c r="OW1" s="28" t="s">
        <v>492</v>
      </c>
      <c r="OX1" s="28" t="s">
        <v>493</v>
      </c>
      <c r="OY1" s="28" t="s">
        <v>494</v>
      </c>
      <c r="OZ1" s="28" t="s">
        <v>621</v>
      </c>
      <c r="PA1" s="28" t="s">
        <v>555</v>
      </c>
      <c r="PB1" s="28" t="s">
        <v>556</v>
      </c>
      <c r="PC1" s="28" t="s">
        <v>557</v>
      </c>
      <c r="PD1" s="28" t="s">
        <v>558</v>
      </c>
      <c r="PE1" s="28" t="s">
        <v>495</v>
      </c>
      <c r="PF1" s="28" t="s">
        <v>496</v>
      </c>
      <c r="PG1" s="28" t="s">
        <v>497</v>
      </c>
      <c r="PH1" s="28" t="s">
        <v>498</v>
      </c>
      <c r="PI1" s="28" t="s">
        <v>499</v>
      </c>
      <c r="PJ1" s="28" t="s">
        <v>500</v>
      </c>
      <c r="PK1" s="28" t="s">
        <v>501</v>
      </c>
      <c r="PL1" s="28" t="s">
        <v>502</v>
      </c>
      <c r="PM1" s="28" t="s">
        <v>503</v>
      </c>
      <c r="PN1" s="28" t="s">
        <v>504</v>
      </c>
      <c r="PO1" s="28" t="s">
        <v>505</v>
      </c>
      <c r="PP1" s="28" t="s">
        <v>506</v>
      </c>
      <c r="PQ1" s="28" t="s">
        <v>507</v>
      </c>
      <c r="PR1" s="28" t="s">
        <v>508</v>
      </c>
      <c r="PS1" s="28" t="s">
        <v>509</v>
      </c>
      <c r="PT1" s="28" t="s">
        <v>510</v>
      </c>
    </row>
    <row r="2" spans="1:436" s="31" customFormat="1" ht="16" x14ac:dyDescent="0.2">
      <c r="A2" s="31" t="s">
        <v>71</v>
      </c>
      <c r="B2" s="32" t="str">
        <f>Accounts!$BD$2</f>
        <v>2020-Apr-01 04:00</v>
      </c>
      <c r="C2" s="33" t="e">
        <f>DAY(EOMONTH(B2,0))</f>
        <v>#VALUE!</v>
      </c>
      <c r="D2" s="33">
        <f>COUNTIFS(Accounts!$B:$B,"none",Accounts!$BF:$BF,"FALSE")</f>
        <v>0</v>
      </c>
      <c r="E2" s="33">
        <f>COUNTIF(Accounts!$B:$B,"Customer")</f>
        <v>1</v>
      </c>
      <c r="F2" s="33">
        <f>COUNTIF(Accounts!$C:$C,"Customer")</f>
        <v>1</v>
      </c>
      <c r="G2" s="33">
        <f>COUNTIFS(Accounts!$B:$B,"Customer",Accounts!$C:$C,"Lost")</f>
        <v>0</v>
      </c>
      <c r="H2" s="33">
        <f>COUNTIFS(Accounts!$B:$B,"none",Accounts!$C:$C,"Customer")</f>
        <v>0</v>
      </c>
      <c r="I2" s="34" t="e">
        <f>H2/D2</f>
        <v>#DIV/0!</v>
      </c>
      <c r="J2" s="59">
        <f>COUNTIFS(Accounts!$T:$T,"&gt;="&amp;DATE($C$10,$C$11,1),Accounts!$T:$T,"&lt;"&amp;DATE($C$7,$C$8,1),Accounts!$B:$B,"Trialer",Accounts!$C:$C,"Customer")</f>
        <v>0</v>
      </c>
      <c r="K2" s="59">
        <f>COUNTIFS(Accounts!$T:$T,"&gt;="&amp;DATE($C$13,$C$14,1),Accounts!$T:$T,"&lt;"&amp;DATE($C$10,$C$11,1),Accounts!$B:$B,"Trialer",Accounts!$C:$C,"Customer")</f>
        <v>0</v>
      </c>
      <c r="L2" s="59">
        <f>COUNTIFS(Accounts!$T:$T,"&gt;="&amp;DATE($C$16,$C$17,1),Accounts!$T:$T,"&lt;"&amp;DATE($C$13,$C$14,1),Accounts!$B:$B,"Trialer",Accounts!$C:$C,"Customer")</f>
        <v>0</v>
      </c>
      <c r="M2" s="33">
        <f>SUM(COUNTIFS(Accounts!$B:$B,{"Trialer","none"},Accounts!$C:$C,"Customer"))</f>
        <v>0</v>
      </c>
      <c r="N2" s="34" t="e">
        <f>$M$2/$D$2</f>
        <v>#DIV/0!</v>
      </c>
      <c r="O2" s="37" t="e">
        <f>P2/(COUNTIFS(Accounts!$W:$W,1))</f>
        <v>#DIV/0!</v>
      </c>
      <c r="P2" s="37">
        <f>SUMIFS(Accounts!$I:$I,Accounts!$W:$W,1)</f>
        <v>0</v>
      </c>
      <c r="Q2" s="37">
        <f>SUM(Accounts!$I:$I)</f>
        <v>0</v>
      </c>
      <c r="R2" s="37">
        <f>SUM(Accounts!$N:$N)</f>
        <v>0</v>
      </c>
      <c r="S2" s="37">
        <f>($Q$2+R2)/($BC$7+$BC10)</f>
        <v>0</v>
      </c>
      <c r="T2" s="37">
        <f>$Q$2/($BC$7+$BC10)</f>
        <v>0</v>
      </c>
      <c r="U2" s="61">
        <f>SUMIFS(Accounts!$AA:$AA,Accounts!$B:$B,"none",Accounts!$C:$C,"Customer") + SUMIFS(Accounts!$AH:$AH,Accounts!$B:$B,"none",Accounts!$C:$C,"Customer") + SUMIFS(Accounts!$AJ:$AJ,Accounts!$B:$B,"none",Accounts!$C:$C,"Customer") + SUMIFS(Accounts!$AI:$AI,Accounts!$B:$B,"none",Accounts!$C:$C,"Customer") + SUMIFS(Accounts!$AO:$AO,Accounts!$B:$B,"none",Accounts!$C:$C,"Customer")</f>
        <v>0</v>
      </c>
      <c r="V2" s="61">
        <f>SUMIFS(Accounts!$AC:$AC,Accounts!$B:$B,"none",Accounts!$C:$C,"Customer")+SUMIFS(Accounts!$AF:$AF,Accounts!$B:$B,"none",Accounts!$C:$C,"Customer")+SUMIFS(Accounts!$AK:$AK,Accounts!$B:$B,"none",Accounts!$C:$C,"Customer")</f>
        <v>0</v>
      </c>
      <c r="W2" s="61">
        <f>SUMIFS(Accounts!$AB:$AB,Accounts!$B:$B,"none",Accounts!$C:$C,"Customer")</f>
        <v>0</v>
      </c>
      <c r="X2" s="61">
        <f>SUMIFS(Accounts!$AD:$AD,Accounts!$B:$B,"none",Accounts!$C:$C,"Customer")+SUMIFS(Accounts!$AM:$AM,Accounts!$B:$B,"none",Accounts!$C:$C,"Customer")+SUMIFS(Accounts!$AN:$AN,Accounts!$B:$B,"none",Accounts!$C:$C,"Customer")</f>
        <v>0</v>
      </c>
      <c r="Y2" s="33">
        <f>SUM(Z2:AB2)</f>
        <v>0</v>
      </c>
      <c r="Z2" s="61">
        <f>SUMIFS(Accounts!$AE:$AE,Accounts!$B:$B,"none",Accounts!$C:$C,"Customer") + SUMIFS(Accounts!$AP:$AP,Accounts!$B:$B,"none",Accounts!$C:$C,"Customer")</f>
        <v>0</v>
      </c>
      <c r="AA2" s="61">
        <f>SUMIFS(Accounts!$Z:$Z,Accounts!$B:$B,"none",Accounts!$C:$C,"Customer")</f>
        <v>0</v>
      </c>
      <c r="AB2" s="61">
        <f>SUMIFS(Accounts!$AG:$AG,Accounts!$B:$B,"none",Accounts!$C:$C,"Customer") + SUMIFS(Accounts!$AL:$AL,Accounts!$B:$B,"none",Accounts!$C:$C,"Customer")</f>
        <v>0</v>
      </c>
      <c r="AC2" s="61">
        <f>SUMIFS(Accounts!$AQ:$AQ,Accounts!$B:$B,"none",Accounts!$C:$C,"Customer")</f>
        <v>0</v>
      </c>
      <c r="AD2" s="61">
        <f>SUMIFS(Accounts!$AA:$AA,Accounts!$T:$T,"&gt;="&amp;DATE($C$10,$C$11,1),Accounts!$T:$T,"&lt;"&amp;DATE($C$7,$C$8,1),Accounts!$B:$B,"Trialer",Accounts!$C:$C,"Customer") + SUMIFS(Accounts!$AH:$AH,Accounts!$T:$T,"&gt;="&amp;DATE($C$10,$C$11,1),Accounts!$T:$T,"&lt;"&amp;DATE($C$7,$C$8,1),Accounts!$B:$B,"Trialer",Accounts!$C:$C,"Customer") + SUMIFS(Accounts!$AJ:$AJ,Accounts!$T:$T,"&gt;="&amp;DATE($C$10,$C$11,1),Accounts!$T:$T,"&lt;"&amp;DATE($C$7,$C$8,1),Accounts!$B:$B,"Trialer",Accounts!$C:$C,"Customer") + SUMIFS(Accounts!$AI:$AI,Accounts!$T:$T,"&gt;="&amp;DATE($C$10,$C$11,1),Accounts!$T:$T,"&lt;"&amp;DATE($C$7,$C$8,1),Accounts!$B:$B,"Trialer",Accounts!$C:$C,"Customer") + SUMIFS(Accounts!$AO:$AO,Accounts!$T:$T,"&gt;="&amp;DATE($C$10,$C$11,1),Accounts!$T:$T,"&lt;"&amp;DATE($C$7,$C$8,1),Accounts!$B:$B,"Trialer",Accounts!$C:$C,"Customer")</f>
        <v>0</v>
      </c>
      <c r="AE2" s="61">
        <f>SUMIFS(Accounts!$AC:$AC,Accounts!$T:$T,"&gt;="&amp;DATE($C$10,$C$11,1),Accounts!$T:$T,"&lt;"&amp;DATE($C$7,$C$8,1),Accounts!$B:$B,"Trialer",Accounts!$C:$C,"Customer")+SUMIFS(Accounts!$AF:$AF,Accounts!$T:$T,"&gt;="&amp;DATE($C$10,$C$11,1),Accounts!$T:$T,"&lt;"&amp;DATE($C$7,$C$8,1),Accounts!$B:$B,"Trialer",Accounts!$C:$C,"Customer")+SUMIFS(Accounts!$AK:$AK,Accounts!$T:$T,"&gt;="&amp;DATE($C$10,$C$11,1),Accounts!$T:$T,"&lt;"&amp;DATE($C$7,$C$8,1),Accounts!$B:$B,"Trialer",Accounts!$C:$C,"Customer")</f>
        <v>0</v>
      </c>
      <c r="AF2" s="61">
        <f>SUMIFS(Accounts!$AB:$AB,Accounts!$T:$T,"&gt;="&amp;DATE($C$10,$C$11,1),Accounts!$T:$T,"&lt;"&amp;DATE($C$7,$C$8,1),Accounts!$B:$B,"Trialer",Accounts!$C:$C,"Customer")</f>
        <v>0</v>
      </c>
      <c r="AG2" s="61">
        <f>SUMIFS(Accounts!$AD:$AD,Accounts!$T:$T,"&gt;="&amp;DATE($C$10,$C$11,1),Accounts!$T:$T,"&lt;"&amp;DATE($C$7,$C$8,1),Accounts!$B:$B,"Trialer",Accounts!$C:$C,"Customer")+SUMIFS(Accounts!$AM:$AM,Accounts!$T:$T,"&gt;="&amp;DATE($C$10,$C$11,1),Accounts!$T:$T,"&lt;"&amp;DATE($C$7,$C$8,1),Accounts!$B:$B,"Trialer",Accounts!$C:$C,"Customer")+SUMIFS(Accounts!$AN:$AN,Accounts!$T:$T,"&gt;="&amp;DATE($C$10,$C$11,1),Accounts!$T:$T,"&lt;"&amp;DATE($C$7,$C$8,1),Accounts!$B:$B,"Trialer",Accounts!$C:$C,"Customer")</f>
        <v>0</v>
      </c>
      <c r="AH2" s="61">
        <f>SUMIFS(Accounts!$AE:$AE,Accounts!$T:$T,"&gt;="&amp;DATE($C$10,$C$11,1),Accounts!$T:$T,"&lt;"&amp;DATE($C$7,$C$8,1),Accounts!$B:$B,"Trialer",Accounts!$C:$C,"Customer") + SUMIFS(Accounts!$AP:$AP,Accounts!$T:$T,"&gt;="&amp;DATE($C$10,$C$11,1),Accounts!$T:$T,"&lt;"&amp;DATE($C$7,$C$8,1),Accounts!$B:$B,"Trialer",Accounts!$C:$C,"Customer")</f>
        <v>0</v>
      </c>
      <c r="AI2" s="61">
        <f>SUMIFS(Accounts!$Z:$Z,Accounts!$T:$T,"&gt;="&amp;DATE($C$10,$C$11,1),Accounts!$T:$T,"&lt;"&amp;DATE($C$7,$C$8,1),Accounts!$B:$B,"Trialer",Accounts!$C:$C,"Customer")</f>
        <v>0</v>
      </c>
      <c r="AJ2" s="61">
        <f>SUMIFS(Accounts!$AG:$AG,Accounts!$T:$T,"&gt;="&amp;DATE($C$10,$C$11,1),Accounts!$T:$T,"&lt;"&amp;DATE($C$7,$C$8,1),Accounts!$B:$B,"Trialer",Accounts!$C:$C,"Customer") + SUMIFS(Accounts!$AL:$AL,Accounts!$T:$T,"&gt;="&amp;DATE($C$10,$C$11,1),Accounts!$T:$T,"&lt;"&amp;DATE($C$7,$C$8,1),Accounts!$B:$B,"Trialer",Accounts!$C:$C,"Customer")</f>
        <v>0</v>
      </c>
      <c r="AK2" s="61">
        <f>SUMIFS(Accounts!$AQ:$AQ,Accounts!$T:$T,"&gt;="&amp;DATE($C$10,$C$11,1),Accounts!$T:$T,"&lt;"&amp;DATE($C$7,$C$8,1),Accounts!$B:$B,"Trialer",Accounts!$C:$C,"Customer")</f>
        <v>0</v>
      </c>
      <c r="AL2" s="61">
        <f>SUMIFS(Accounts!$AA:$AA,Accounts!$T:$T,"&gt;="&amp;DATE($C$13,$C$14,1),Accounts!$T:$T,"&lt;"&amp;DATE($C$10,$C$11,1),Accounts!$B:$B,"Trialer",Accounts!$C:$C,"Customer") + SUMIFS(Accounts!$AH:$AH,Accounts!$T:$T,"&gt;="&amp;DATE($C$13,$C$14,1),Accounts!$T:$T,"&lt;"&amp;DATE($C$10,$C$11,1),Accounts!$B:$B,"Trialer",Accounts!$C:$C,"Customer") + SUMIFS(Accounts!$AJ:$AJ,Accounts!$T:$T,"&gt;="&amp;DATE($C$13,$C$14,1),Accounts!$T:$T,"&lt;"&amp;DATE($C$10,$C$11,1),Accounts!$B:$B,"Trialer",Accounts!$C:$C,"Customer") + SUMIFS(Accounts!$AI:$AI,Accounts!$T:$T,"&gt;="&amp;DATE($C$13,$C$14,1),Accounts!$T:$T,"&lt;"&amp;DATE($C$10,$C$11,1),Accounts!$B:$B,"Trialer",Accounts!$C:$C,"Customer") + SUMIFS(Accounts!$AO:$AO,Accounts!$T:$T,"&gt;="&amp;DATE($C$13,$C$14,1),Accounts!$T:$T,"&lt;"&amp;DATE($C$10,$C$11,1),Accounts!$B:$B,"Trialer",Accounts!$C:$C,"Customer")</f>
        <v>0</v>
      </c>
      <c r="AM2" s="61">
        <f>SUMIFS(Accounts!$AC:$AC,Accounts!$T:$T,"&gt;="&amp;DATE($C$13,$C$14,1),Accounts!$T:$T,"&lt;"&amp;DATE($C$10,$C$11,1),Accounts!$B:$B,"Trialer",Accounts!$C:$C,"Customer")+SUMIFS(Accounts!$AF:$AF,Accounts!$T:$T,"&gt;="&amp;DATE($C$13,$C$14,1),Accounts!$T:$T,"&lt;"&amp;DATE($C$10,$C$11,1),Accounts!$B:$B,"Trialer",Accounts!$C:$C,"Customer")+SUMIFS(Accounts!$AK:$AK,Accounts!$T:$T,"&gt;="&amp;DATE($C$13,$C$14,1),Accounts!$T:$T,"&lt;"&amp;DATE($C$10,$C$11,1),Accounts!$B:$B,"Trialer",Accounts!$C:$C,"Customer")</f>
        <v>0</v>
      </c>
      <c r="AN2" s="61">
        <f>SUMIFS(Accounts!$AB:$AB,Accounts!$T:$T,"&gt;="&amp;DATE($C$13,$C$14,1),Accounts!$T:$T,"&lt;"&amp;DATE($C$10,$C$11,1),Accounts!$B:$B,"Trialer",Accounts!$C:$C,"Customer")</f>
        <v>0</v>
      </c>
      <c r="AO2" s="61">
        <f>SUMIFS(Accounts!$AD:$AD,Accounts!$T:$T,"&gt;="&amp;DATE($C$13,$C$14,1),Accounts!$T:$T,"&lt;"&amp;DATE($C$10,$C$11,1),Accounts!$B:$B,"Trialer",Accounts!$C:$C,"Customer")+SUMIFS(Accounts!$AM:$AM,Accounts!$T:$T,"&gt;="&amp;DATE($C$13,$C$14,1),Accounts!$T:$T,"&lt;"&amp;DATE($C$10,$C$11,1),Accounts!$B:$B,"Trialer",Accounts!$C:$C,"Customer")+SUMIFS(Accounts!$AN:$AN,Accounts!$T:$T,"&gt;="&amp;DATE($C$13,$C$14,1),Accounts!$T:$T,"&lt;"&amp;DATE($C$10,$C$11,1),Accounts!$B:$B,"Trialer",Accounts!$C:$C,"Customer")</f>
        <v>0</v>
      </c>
      <c r="AP2" s="61">
        <f>SUMIFS(Accounts!$AE:$AE,Accounts!$T:$T,"&gt;="&amp;DATE($C$13,$C$14,1),Accounts!$T:$T,"&lt;"&amp;DATE($C$10,$C$11,1),Accounts!$B:$B,"Trialer",Accounts!$C:$C,"Customer") + SUMIFS(Accounts!$AP:$AP,Accounts!$T:$T,"&gt;="&amp;DATE($C$13,$C$14,1),Accounts!$T:$T,"&lt;"&amp;DATE($C$10,$C$11,1),Accounts!$B:$B,"Trialer",Accounts!$C:$C,"Customer")</f>
        <v>0</v>
      </c>
      <c r="AQ2" s="61">
        <f>SUMIFS(Accounts!$Z:$Z,Accounts!$T:$T,"&gt;="&amp;DATE($C$13,$C$14,1),Accounts!$T:$T,"&lt;"&amp;DATE($C$10,$C$11,1),Accounts!$B:$B,"Trialer",Accounts!$C:$C,"Customer")</f>
        <v>0</v>
      </c>
      <c r="AR2" s="61">
        <f>SUMIFS(Accounts!$AG:$AG,Accounts!$T:$T,"&gt;="&amp;DATE($C$13,$C$14,1),Accounts!$T:$T,"&lt;"&amp;DATE($C$10,$C$11,1),Accounts!$B:$B,"Trialer",Accounts!$C:$C,"Customer") + SUMIFS(Accounts!$AL:$AL,Accounts!$T:$T,"&gt;="&amp;DATE($C$13,$C$14,1),Accounts!$T:$T,"&lt;"&amp;DATE($C$10,$C$11,1),Accounts!$B:$B,"Trialer",Accounts!$C:$C,"Customer")</f>
        <v>0</v>
      </c>
      <c r="AS2" s="61">
        <f>SUMIFS(Accounts!$AQ:$AQ,Accounts!$T:$T,"&gt;="&amp;DATE($C$13,$C$14,1),Accounts!$T:$T,"&lt;"&amp;DATE($C$10,$C$11,1),Accounts!$B:$B,"Trialer",Accounts!$C:$C,"Customer")</f>
        <v>0</v>
      </c>
      <c r="AT2" s="19">
        <f>IFERROR((SUMPRODUCT(SUMIFS(Accounts!$AA:$AA,Accounts!$B:$B,{"Trialer","none"},Accounts!$C:$C,"Customer")) + SUMPRODUCT(SUMIFS(Accounts!$AH:$AH,Accounts!$B:$B,{"Trialer","none"},Accounts!$C:$C,"Customer")) + SUMPRODUCT(SUMIFS(Accounts!$AJ:$AJ,Accounts!$B:$B,{"Trialer","none"},Accounts!$C:$C,"Customer")) + SUMPRODUCT(SUMIFS(Accounts!$AI:$AI,Accounts!$B:$B,{"Trialer","none"},Accounts!$C:$C,"Customer")) + SUMPRODUCT(SUMIFS(Accounts!$AO:$AO,Accounts!$B:$B,{"Trialer","none"},Accounts!$C:$C,"Customer")))/BM2,0)</f>
        <v>0</v>
      </c>
      <c r="AU2" s="19">
        <f>IFERROR((SUMPRODUCT(SUMIFS(Accounts!$AC:$AC,Accounts!$B:$B,{"Trialer","none"},Accounts!$C:$C,"Customer"))+SUMPRODUCT(SUMIFS(Accounts!$AF:$AF,Accounts!$B:$B,{"Trialer","none"},Accounts!$C:$C,"Customer"))+SUMPRODUCT(SUMIFS(Accounts!$AK:$AK,Accounts!$B:$B,{"Trialer","none"},Accounts!$C:$C,"Customer")))/BN2,0)</f>
        <v>0</v>
      </c>
      <c r="AV2" s="19">
        <f>IFERROR((SUMPRODUCT(SUMIFS(Accounts!$AB:$AB,Accounts!$B:$B,{"Trialer","none"},Accounts!$C:$C,"Customer")))/BO2,0)</f>
        <v>0</v>
      </c>
      <c r="AW2" s="19">
        <f>IFERROR((SUMPRODUCT(SUMIFS(Accounts!$AD:$AD,Accounts!$B:$B,{"Trialer","none"},Accounts!$C:$C,"Customer"))+SUMPRODUCT(SUMIFS(Accounts!$AM:$AM,Accounts!$B:$B,{"Trialer","none"},Accounts!$C:$C,"Customer"))+SUMPRODUCT(SUMIFS(Accounts!$AN:$AN,Accounts!$B:$B,{"Trialer","none"},Accounts!$C:$C,"Customer")))/BP2,0)</f>
        <v>0</v>
      </c>
      <c r="AX2" s="19">
        <f>IFERROR((
SUMPRODUCT(SUMIFS(Accounts!$AP:$AP,Accounts!$B:$B,{"Trialer","none"},Accounts!$C:$C,"Customer"))+
SUMPRODUCT(SUMIFS(Accounts!$AE:$AE,Accounts!$B:$B,{"Trialer","none"},Accounts!$C:$C,"Customer"))+
SUMPRODUCT(SUMIFS(Accounts!$Z:$Z,Accounts!$B:$B,{"Trialer","none"},Accounts!$C:$C,"Customer"))+
SUMPRODUCT(SUMIFS(Accounts!$AG:$AG,Accounts!$B:$B,{"Trialer","none"},Accounts!$C:$C,"Customer"))+
SUMPRODUCT(SUMIFS(Accounts!$AL:$AL,Accounts!$B:$B,{"Trialer","none"},Accounts!$C:$C,"Customer"))
)
/(BQ2+BS2+BT2),0
)</f>
        <v>0</v>
      </c>
      <c r="AY2" s="19">
        <f>IFERROR((
SUMPRODUCT(SUMIFS(Accounts!$AP:$AP,Accounts!$B:$B,{"Trialer","none"},Accounts!$C:$C,"Customer"))+
SUMPRODUCT(SUMIFS(Accounts!$AE:$AE,Accounts!$B:$B,{"Trialer","none"},Accounts!$C:$C,"Customer"))
)
/BQ2,0
)</f>
        <v>0</v>
      </c>
      <c r="AZ2" s="19">
        <f>IFERROR(SUMPRODUCT(SUMIFS(Accounts!$Z:$Z,Accounts!$B:$B,{"Trialer","none"},Accounts!$C:$C,"Customer"))/BS2,0)</f>
        <v>0</v>
      </c>
      <c r="BA2" s="19">
        <f>IFERROR((SUMPRODUCT(SUMIFS(Accounts!$AG:$AG,Accounts!$B:$B,{"Trialer","none"},Accounts!$C:$C,"Customer")) + SUMPRODUCT(SUMIFS(Accounts!$AL:$AL,Accounts!$B:$B,{"Trialer","none"},Accounts!$C:$C,"Customer")))/BT2,0)</f>
        <v>0</v>
      </c>
      <c r="BB2" s="19">
        <f>IFERROR(SUMPRODUCT(SUMIFS(Accounts!$AQ:$AQ,Accounts!$B:$B,{"Trialer","none"},Accounts!$C:$C,"Customer"))/BU2,0)</f>
        <v>0</v>
      </c>
      <c r="BC2" s="34" t="e">
        <f>((BC8+BC11)/(((BC7*$C$2)+(0.5*BC10*$C$2)))*$C$2)</f>
        <v>#VALUE!</v>
      </c>
      <c r="BD2" s="34" t="e">
        <f>(($BD$8+$BD$11)/((($BD$7*$C$2)+(0.5*$BD$10*$C$2)))*$C$2)</f>
        <v>#VALUE!</v>
      </c>
      <c r="BE2" s="34" t="e">
        <f>((BE8+BE11)/((BE7*$C$2)+(0.5*BE10*$C$2)))*$C$2</f>
        <v>#VALUE!</v>
      </c>
      <c r="BF2" s="34" t="e">
        <f t="shared" ref="BF2:BL2" si="0">((BF8+BF11)/((BF7*$C$2)+(0.5*BF10*$C$2)))*$C$2</f>
        <v>#VALUE!</v>
      </c>
      <c r="BG2" s="34" t="e">
        <f t="shared" si="0"/>
        <v>#VALUE!</v>
      </c>
      <c r="BH2" s="34" t="e">
        <f>((BH8+BH11)/((BH7*$C$2)+(0.5*BH10*$C$2)))*$C$2</f>
        <v>#VALUE!</v>
      </c>
      <c r="BI2" s="34" t="e">
        <f>((BI8+BI11)/((BI7*$C$2)+(0.5*BI10*$C$2)))*$C$2</f>
        <v>#VALUE!</v>
      </c>
      <c r="BJ2" s="34" t="e">
        <f t="shared" si="0"/>
        <v>#VALUE!</v>
      </c>
      <c r="BK2" s="34" t="e">
        <f t="shared" si="0"/>
        <v>#VALUE!</v>
      </c>
      <c r="BL2" s="34" t="e">
        <f t="shared" si="0"/>
        <v>#VALUE!</v>
      </c>
      <c r="BM2" s="39">
        <f>SUMIFS(Accounts!$AA:$AA,Accounts!$B:$B,"none") + SUMIFS(Accounts!$AH:$AH,Accounts!$B:$B,"none") + SUMIFS(Accounts!$AJ:$AJ,Accounts!$B:$B,"none") + SUMIFS(Accounts!$AI:$AI,Accounts!$B:$B,"none") + SUMIFS(Accounts!$AO:$AO,Accounts!$B:$B,"none")</f>
        <v>0</v>
      </c>
      <c r="BN2" s="39">
        <f>SUMIFS(Accounts!$AC:$AC,Accounts!$B:$B,"none") + SUMIFS(Accounts!$AF:$AF,Accounts!$B:$B,"none") + SUMIFS(Accounts!$AK:$AK,Accounts!$B:$B,"none")</f>
        <v>0</v>
      </c>
      <c r="BO2" s="39">
        <f>SUMIFS(Accounts!$AB:$AB,Accounts!$B:$B,"none")</f>
        <v>0</v>
      </c>
      <c r="BP2" s="39">
        <f>SUMIFS(Accounts!$AD:$AD,Accounts!$B:$B,"none") + SUMIFS(Accounts!$AM:$AM,Accounts!$B:$B,"none") + SUMIFS(Accounts!$AN:$AN,Accounts!$B:$B,"none")</f>
        <v>0</v>
      </c>
      <c r="BQ2" s="39">
        <f>SUMIFS(Accounts!$AE:$AE,Accounts!$B:$B,"none") + SUMIFS(Accounts!$AP:$AP,Accounts!$B:$B,"none")</f>
        <v>0</v>
      </c>
      <c r="BR2" s="39">
        <f>SUM(BS2:BT2,BQ2)</f>
        <v>0</v>
      </c>
      <c r="BS2" s="39">
        <f>SUMIFS(Accounts!$Z:$Z,Accounts!$B:$B,"none")</f>
        <v>0</v>
      </c>
      <c r="BT2" s="39">
        <f>SUMIFS(Accounts!$AG:$AG,Accounts!$B:$B,"none") + SUMIFS(Accounts!$AL:$AL,Accounts!$B:$B,"none")</f>
        <v>0</v>
      </c>
      <c r="BU2" s="39">
        <f>SUMIFS(Accounts!$AQ:$AQ,Accounts!$B:$B,"none")</f>
        <v>0</v>
      </c>
      <c r="BV2" s="37" t="e">
        <f>$B$31/($BD$7+$BD$10)</f>
        <v>#DIV/0!</v>
      </c>
      <c r="BW2" s="37" t="e">
        <f>$C$31/($BE$7+$BE$10)</f>
        <v>#DIV/0!</v>
      </c>
      <c r="BX2" s="37" t="e">
        <f>$D$31/($BF$7+$BF$10)</f>
        <v>#DIV/0!</v>
      </c>
      <c r="BY2" s="37" t="e">
        <f>$E$31/($BG$7+$BG$10)</f>
        <v>#DIV/0!</v>
      </c>
      <c r="BZ2" s="37" t="e">
        <f>($F$31+$G$31+$H$31)/($BI$7+$BJ$7+$BK$7+$BI$10+$BJ$10+$BK$10)</f>
        <v>#DIV/0!</v>
      </c>
      <c r="CA2" s="37" t="e">
        <f>$F$31/($BI$7+$BI$10)</f>
        <v>#DIV/0!</v>
      </c>
      <c r="CB2" s="37" t="e">
        <f>$G$31/($BJ$7+$BJ$10)</f>
        <v>#DIV/0!</v>
      </c>
      <c r="CC2" s="37" t="e">
        <f>$H$31/($BK$7+$BK$10)</f>
        <v>#DIV/0!</v>
      </c>
      <c r="CD2" s="37">
        <f>$I$31/($BL$7+$BL$10)</f>
        <v>0</v>
      </c>
      <c r="CE2" s="37" t="e">
        <f>($B$31+$J$31)/($BD$7+$BD$10)</f>
        <v>#DIV/0!</v>
      </c>
      <c r="CF2" s="37" t="e">
        <f>($C$31+$K$31)/($BE$7+$BE$10)</f>
        <v>#DIV/0!</v>
      </c>
      <c r="CG2" s="37" t="e">
        <f>($D$31+$L$31)/($BF$7+$BF$10)</f>
        <v>#DIV/0!</v>
      </c>
      <c r="CH2" s="37" t="e">
        <f>($E$31+$M$31)/($BG$7+$BG$10)</f>
        <v>#DIV/0!</v>
      </c>
      <c r="CI2" s="37" t="e">
        <f>($F$31+$N$31+G31+H31+O31+P31)/($BI$7+$BI$10+BJ7+BK7+BJ10+BK10)</f>
        <v>#DIV/0!</v>
      </c>
      <c r="CJ2" s="37" t="e">
        <f>($F$31+$N$31)/($BI$7+$BI$10)</f>
        <v>#DIV/0!</v>
      </c>
      <c r="CK2" s="37" t="e">
        <f>($G$31+$O$31)/($BJ$7+$BJ$10)</f>
        <v>#DIV/0!</v>
      </c>
      <c r="CL2" s="37" t="e">
        <f>($H$31+$P$31)/($BK$7+$BK$10)</f>
        <v>#DIV/0!</v>
      </c>
      <c r="CM2" s="37">
        <f>($I$31+$Q$31)/($BL$7+$BL$10)</f>
        <v>0</v>
      </c>
      <c r="CN2" s="37" t="e">
        <f>$BV$2*$BD$6</f>
        <v>#DIV/0!</v>
      </c>
      <c r="CO2" s="37" t="e">
        <f>$BW$2*$BE$6</f>
        <v>#DIV/0!</v>
      </c>
      <c r="CP2" s="37" t="e">
        <f>$BX$2*$BF$6</f>
        <v>#DIV/0!</v>
      </c>
      <c r="CQ2" s="37" t="e">
        <f>$BY$2*$BG$6</f>
        <v>#DIV/0!</v>
      </c>
      <c r="CR2" s="37" t="e">
        <f>$BZ$2*$BH$6</f>
        <v>#DIV/0!</v>
      </c>
      <c r="CS2" s="37" t="e">
        <f>$CA$2*$BI$6</f>
        <v>#DIV/0!</v>
      </c>
      <c r="CT2" s="37" t="e">
        <f>$CB$2*$BJ$6</f>
        <v>#DIV/0!</v>
      </c>
      <c r="CU2" s="37" t="e">
        <f>$CC$2*$BK$6</f>
        <v>#DIV/0!</v>
      </c>
      <c r="CV2" s="37" t="e">
        <f>$CD$2*$BL$6</f>
        <v>#VALUE!</v>
      </c>
      <c r="CW2" s="34" t="e">
        <f>((CW8+CW11)/((CW7*$C$2)+(0.5*CW10*$C$2)))*$C$2</f>
        <v>#VALUE!</v>
      </c>
      <c r="CX2" s="39">
        <f>COUNTIFS(Accounts!$AS:$AS, "Manufacturing (MWD)",Accounts!$B:$B,"none")</f>
        <v>0</v>
      </c>
      <c r="CY2" s="33">
        <f>COUNTIFS(Accounts!$AS:$AS, "Manufacturing (MWD)",Accounts!$B:$B,"Customer")</f>
        <v>0</v>
      </c>
      <c r="CZ2" s="37">
        <f>SUMIFS(Accounts!$I:$I,Accounts!$AS:$AS, "Manufacturing (MWD)")</f>
        <v>0</v>
      </c>
      <c r="DA2" s="37">
        <f>SUMIFS(Accounts!$N:$N,Accounts!$AS:$AS, "Manufacturing (MWD)")</f>
        <v>0</v>
      </c>
      <c r="DB2" s="37" t="e">
        <f>CZ2/(CY2+CW10)</f>
        <v>#DIV/0!</v>
      </c>
      <c r="DC2" s="37" t="e">
        <f>(CZ2+DA2)/(CY2+CW10)</f>
        <v>#DIV/0!</v>
      </c>
      <c r="DD2" s="37" t="e">
        <f>CW6*DB2</f>
        <v>#VALUE!</v>
      </c>
      <c r="DE2" s="37" t="e">
        <f>AVERAGEIFS(Accounts!$AY:$AY,Accounts!$AS:$AS, "Manufacturing (MWD)",Accounts!$B:$B,"Customer",Accounts!$AY:$AY,"&gt;0")</f>
        <v>#DIV/0!</v>
      </c>
      <c r="DF2" s="33" t="e">
        <f>AVERAGEIFS(Accounts!$AX:$AX,Accounts!$AS:$AS, "Manufacturing (MWD)",Accounts!$B:$B,"Customer",Accounts!$AX:$AX,"&gt;0")</f>
        <v>#DIV/0!</v>
      </c>
      <c r="DG2" s="37" t="e">
        <f>AVERAGEIFS(Accounts!$AY:$AY,Accounts!$AS:$AS, "Manufacturing (MWD)",Accounts!$B:$B,"none",Accounts!$AY:$AY,"&gt;0")</f>
        <v>#DIV/0!</v>
      </c>
      <c r="DH2" s="33" t="e">
        <f>AVERAGEIFS(Accounts!$AX:$AX,Accounts!$AS:$AS, "Manufacturing (MWD)",Accounts!$B:$B,"none",Accounts!$AX:$AX,"&gt;0")</f>
        <v>#DIV/0!</v>
      </c>
      <c r="DI2" s="55">
        <f>SUMIFS(Accounts!$AA:$AA,Accounts!$B:$B,"Customer",Accounts!$AS:$AS, "Manufacturing (MWD)") + SUMIFS(Accounts!$AH:$AH,Accounts!$B:$B,"Customer",Accounts!$AS:$AS, "Manufacturing (MWD)") + SUMIFS(Accounts!$AJ:$AJ,Accounts!$B:$B,"Customer",Accounts!$AS:$AS, "Manufacturing (MWD)") + SUMIFS(Accounts!$AI:$AI,Accounts!$B:$B,"Customer",Accounts!$AS:$AS, "Manufacturing (MWD)") + SUMIFS(Accounts!$AO:$AO,Accounts!$B:$B,"Customer",Accounts!$AS:$AS, "Manufacturing (MWD)")</f>
        <v>0</v>
      </c>
      <c r="DJ2" s="55">
        <f>(SUMIFS(Accounts!$AC:$AC,Accounts!$B:$B,"Customer",Accounts!$AS:$AS, "Manufacturing (MWD)")+SUMIFS(Accounts!$AF:$AF,Accounts!$B:$B,"Customer",Accounts!$AS:$AS, "Manufacturing (MWD)")+SUMIFS(Accounts!$AK:$AK,Accounts!$B:$B,"Customer",Accounts!$AS:$AS, "Manufacturing (MWD)"))</f>
        <v>0</v>
      </c>
      <c r="DK2" s="55">
        <f>SUMIFS(Accounts!$AB:$AB,Accounts!$B:$B,"Customer",Accounts!$AS:$AS, "Manufacturing (MWD)")</f>
        <v>0</v>
      </c>
      <c r="DL2" s="55">
        <f>SUMIFS(Accounts!$AD:$AD,Accounts!$B:$B,"Customer",Accounts!$AS:$AS, "Manufacturing (MWD)")+SUMIFS(Accounts!$AM:$AM,Accounts!$B:$B,"Customer",Accounts!$AS:$AS, "Manufacturing (MWD)")+SUMIFS(Accounts!$AN:$AN,Accounts!$B:$B,"Customer",Accounts!$AS:$AS, "Manufacturing (MWD)")</f>
        <v>0</v>
      </c>
      <c r="DM2" s="55">
        <f>SUMIFS(Accounts!$AE:$AE,Accounts!$B:$B,"Customer",Accounts!$AS:$AS, "Manufacturing (MWD)") + SUMIFS(Accounts!$AP:$AP,Accounts!$B:$B,"Customer",Accounts!$AS:$AS, "Manufacturing (MWD)")</f>
        <v>0</v>
      </c>
      <c r="DN2" s="55">
        <f>SUMIFS(Accounts!$Z:$Z,Accounts!$B:$B,"Customer",Accounts!$AS:$AS, "Manufacturing (MWD)")</f>
        <v>0</v>
      </c>
      <c r="DO2" s="55">
        <f>SUMIFS(Accounts!$AG:$AG,Accounts!$B:$B,"Customer",Accounts!$AS:$AS, "Manufacturing (MWD)") + SUMIFS(Accounts!$AL:$AL,Accounts!$B:$B,"Customer",Accounts!$AS:$AS, "Manufacturing (MWD)")</f>
        <v>0</v>
      </c>
      <c r="DP2" s="55">
        <f>SUMIFS(Accounts!$AQ:$AQ,Accounts!$B:$B,"Customer",Accounts!$AS:$AS, "Manufacturing (MWD)")</f>
        <v>0</v>
      </c>
      <c r="DQ2" s="55">
        <f>SUMIFS(Accounts!$AA:$AA,Accounts!$B:$B,"none",Accounts!$AS:$AS, "Manufacturing (MWD)") + SUMIFS(Accounts!$AH:$AH,Accounts!$B:$B,"none",Accounts!$AS:$AS, "Manufacturing (MWD)") + SUMIFS(Accounts!$AJ:$AJ,Accounts!$B:$B,"none",Accounts!$AS:$AS, "Manufacturing (MWD)") + SUMIFS(Accounts!$AI:$AI,Accounts!$B:$B,"none",Accounts!$AS:$AS, "Manufacturing (MWD)") + SUMIFS(Accounts!$AO:$AO,Accounts!$B:$B,"none",Accounts!$AS:$AS, "Manufacturing (MWD)")</f>
        <v>0</v>
      </c>
      <c r="DR2" s="55">
        <f>(SUMIFS(Accounts!$AC:$AC,Accounts!$B:$B,"none",Accounts!$AS:$AS, "Manufacturing (MWD)")+SUMIFS(Accounts!$AF:$AF,Accounts!$B:$B,"none",Accounts!$AS:$AS, "Manufacturing (MWD)")+SUMIFS(Accounts!$AK:$AK,Accounts!$B:$B,"none",Accounts!$AS:$AS, "Manufacturing (MWD)"))</f>
        <v>0</v>
      </c>
      <c r="DS2" s="55">
        <f>SUMIFS(Accounts!$AB:$AB,Accounts!$B:$B,"none",Accounts!$AS:$AS, "Manufacturing (MWD)")</f>
        <v>0</v>
      </c>
      <c r="DT2" s="55">
        <f>SUMIFS(Accounts!$AD:$AD,Accounts!$B:$B,"none",Accounts!$AS:$AS, "Manufacturing (MWD)")+SUMIFS(Accounts!$AM:$AM,Accounts!$B:$B,"none",Accounts!$AS:$AS, "Manufacturing (MWD)")+SUMIFS(Accounts!$AN:$AN,Accounts!$B:$B,"none",Accounts!$AS:$AS, "Manufacturing (MWD)")</f>
        <v>0</v>
      </c>
      <c r="DU2" s="39">
        <f>SUMIFS(Accounts!$AE:$AE,Accounts!$B:$B,"none",Accounts!$AS:$AS, "Manufacturing (MWD)") + SUMIFS(Accounts!$AP:$AP,Accounts!$B:$B,"none",Accounts!$AS:$AS, "Manufacturing (MWD)")</f>
        <v>0</v>
      </c>
      <c r="DV2" s="55">
        <f>SUMIFS(Accounts!$Z:$Z,Accounts!$B:$B,"none",Accounts!$AS:$AS, "Manufacturing (MWD)")</f>
        <v>0</v>
      </c>
      <c r="DW2" s="39">
        <f>SUMIFS(Accounts!$AG:$AG,Accounts!$B:$B,"none",Accounts!$AS:$AS, "Manufacturing (MWD)") + SUMIFS(Accounts!$AL:$AL,Accounts!$B:$B,"none",Accounts!$AS:$AS, "Manufacturing (MWD)")</f>
        <v>0</v>
      </c>
      <c r="DX2" s="55">
        <f>SUMIFS(Accounts!$AQ:$AQ,Accounts!$B:$B,"none",Accounts!$AS:$AS, "Manufacturing (MWD)")</f>
        <v>0</v>
      </c>
      <c r="DY2" s="34" t="e">
        <f>((DY8+DY11)/((DY7*$C$2)+(0.5*DY10*$C$2)))*$C$2</f>
        <v>#VALUE!</v>
      </c>
      <c r="DZ2" s="39">
        <f>COUNTIFS(Accounts!$AS:$AS, "Wholesale and distribution services (MWD)",Accounts!$B:$B,"none")</f>
        <v>0</v>
      </c>
      <c r="EA2" s="33">
        <f>COUNTIFS(Accounts!$AS:$AS, "Wholesale and distribution services (MWD)",Accounts!$B:$B,"Customer")</f>
        <v>0</v>
      </c>
      <c r="EB2" s="37">
        <f>SUMIFS(Accounts!$I:$I,Accounts!$AS:$AS, "Wholesale and distribution services (MWD)")</f>
        <v>0</v>
      </c>
      <c r="EC2" s="37">
        <f>SUMIFS(Accounts!$N:$N,Accounts!$AS:$AS, "Wholesale and distribution services (MWD)")</f>
        <v>0</v>
      </c>
      <c r="ED2" s="37" t="e">
        <f>EB2/(EA2+DY10)</f>
        <v>#DIV/0!</v>
      </c>
      <c r="EE2" s="37" t="e">
        <f>(EB2+EC2)/(EA2+DY10)</f>
        <v>#DIV/0!</v>
      </c>
      <c r="EF2" s="37" t="e">
        <f>DY6*ED2</f>
        <v>#VALUE!</v>
      </c>
      <c r="EG2" s="37" t="e">
        <f>AVERAGEIFS(Accounts!$AY:$AY,Accounts!$AS:$AS, "Wholesale and distribution services (MWD)",Accounts!$B:$B,"Customer",Accounts!$AY:$AY,"&gt;0")</f>
        <v>#DIV/0!</v>
      </c>
      <c r="EH2" s="33" t="e">
        <f>AVERAGEIFS(Accounts!$AX:$AX,Accounts!$AS:$AS, "Wholesale and distribution services (MWD)",Accounts!$B:$B,"Customer",Accounts!$AX:$AX,"&gt;0")</f>
        <v>#DIV/0!</v>
      </c>
      <c r="EI2" s="37" t="e">
        <f>AVERAGEIFS(Accounts!$AY:$AY,Accounts!$AS:$AS, "Wholesale and distribution services (MWD)",Accounts!$B:$B,"none",Accounts!$AY:$AY,"&gt;0")</f>
        <v>#DIV/0!</v>
      </c>
      <c r="EJ2" s="33" t="e">
        <f>AVERAGEIFS(Accounts!$AX:$AX,Accounts!$AS:$AS, "Wholesale and distribution services (MWD)",Accounts!$B:$B,"none",Accounts!$AX:$AX,"&gt;0")</f>
        <v>#DIV/0!</v>
      </c>
      <c r="EK2" s="55">
        <f>SUMIFS(Accounts!$AA:$AA,Accounts!$B:$B,"Customer",Accounts!$AS:$AS, "Wholesale and distribution services (MWD)") + SUMIFS(Accounts!$AH:$AH,Accounts!$B:$B,"Customer",Accounts!$AS:$AS, "Wholesale and distribution services (MWD)") + SUMIFS(Accounts!$AJ:$AJ,Accounts!$B:$B,"Customer",Accounts!$AS:$AS, "Wholesale and distribution services (MWD)") + SUMIFS(Accounts!$AI:$AI,Accounts!$B:$B,"Customer",Accounts!$AS:$AS, "Wholesale and distribution services (MWD)") + SUMIFS(Accounts!$AO:$AO,Accounts!$B:$B,"Customer",Accounts!$AS:$AS, "Wholesale and distribution services (MWD)")</f>
        <v>0</v>
      </c>
      <c r="EL2" s="55">
        <f>(SUMIFS(Accounts!$AC:$AC,Accounts!$B:$B,"Customer",Accounts!$AS:$AS, "Wholesale and distribution services (MWD)")+SUMIFS(Accounts!$AF:$AF,Accounts!$B:$B,"Customer",Accounts!$AS:$AS, "Wholesale and distribution services (MWD)")+SUMIFS(Accounts!$AK:$AK,Accounts!$B:$B,"Customer",Accounts!$AS:$AS, "Wholesale and distribution services (MWD)"))</f>
        <v>0</v>
      </c>
      <c r="EM2" s="55">
        <f>SUMIFS(Accounts!$AB:$AB,Accounts!$B:$B,"Customer",Accounts!$AS:$AS, "Wholesale and distribution services (MWD)")</f>
        <v>0</v>
      </c>
      <c r="EN2" s="55">
        <f>SUMIFS(Accounts!$AD:$AD,Accounts!$B:$B,"Customer",Accounts!$AS:$AS, "Wholesale and distribution services (MWD)")+SUMIFS(Accounts!$AM:$AM,Accounts!$B:$B,"Customer",Accounts!$AS:$AS, "Wholesale and distribution services (MWD)")+SUMIFS(Accounts!$AN:$AN,Accounts!$B:$B,"Customer",Accounts!$AS:$AS, "Wholesale and distribution services (MWD)")</f>
        <v>0</v>
      </c>
      <c r="EO2" s="55">
        <f>SUMIFS(Accounts!$AE:$AE,Accounts!$B:$B,"Customer",Accounts!$AS:$AS, "Wholesale and distribution services (MWD)") + SUMIFS(Accounts!$AP:$AP,Accounts!$B:$B,"Customer",Accounts!$AS:$AS, "Wholesale and distribution services (MWD)")</f>
        <v>0</v>
      </c>
      <c r="EP2" s="55">
        <f>SUMIFS(Accounts!$Z:$Z,Accounts!$B:$B,"Customer",Accounts!$AS:$AS, "Wholesale and distribution services (MWD)")</f>
        <v>0</v>
      </c>
      <c r="EQ2" s="55">
        <f>SUMIFS(Accounts!$AG:$AG,Accounts!$B:$B,"Customer",Accounts!$AS:$AS, "Wholesale and distribution services (MWD)") + SUMIFS(Accounts!$AL:$AL,Accounts!$B:$B,"Customer",Accounts!$AS:$AS, "Wholesale and distribution services (MWD)")</f>
        <v>0</v>
      </c>
      <c r="ER2" s="55">
        <f>SUMIFS(Accounts!$AQ:$AQ,Accounts!$B:$B,"Customer",Accounts!$AS:$AS, "Wholesale and distribution services (MWD)")</f>
        <v>0</v>
      </c>
      <c r="ES2" s="55">
        <f>SUMIFS(Accounts!$AA:$AA,Accounts!$B:$B,"none",Accounts!$AS:$AS, "Wholesale and distribution services (MWD)") + SUMIFS(Accounts!$AH:$AH,Accounts!$B:$B,"none",Accounts!$AS:$AS, "Wholesale and distribution services (MWD)") + SUMIFS(Accounts!$AJ:$AJ,Accounts!$B:$B,"none",Accounts!$AS:$AS, "Wholesale and distribution services (MWD)") + SUMIFS(Accounts!$AI:$AI,Accounts!$B:$B,"none",Accounts!$AS:$AS, "Wholesale and distribution services (MWD)") + SUMIFS(Accounts!$AO:$AO,Accounts!$B:$B,"none",Accounts!$AS:$AS, "Wholesale and distribution services (MWD)")</f>
        <v>0</v>
      </c>
      <c r="ET2" s="55">
        <f>(SUMIFS(Accounts!$AC:$AC,Accounts!$B:$B,"none",Accounts!$AS:$AS, "Wholesale and distribution services (MWD)")+SUMIFS(Accounts!$AF:$AF,Accounts!$B:$B,"none",Accounts!$AS:$AS, "Wholesale and distribution services (MWD)")+SUMIFS(Accounts!$AK:$AK,Accounts!$B:$B,"none",Accounts!$AS:$AS, "Wholesale and distribution services (MWD)"))</f>
        <v>0</v>
      </c>
      <c r="EU2" s="55">
        <f>SUMIFS(Accounts!$AB:$AB,Accounts!$B:$B,"none",Accounts!$AS:$AS, "Wholesale and distribution services (MWD)")</f>
        <v>0</v>
      </c>
      <c r="EV2" s="55">
        <f>SUMIFS(Accounts!$AD:$AD,Accounts!$B:$B,"none",Accounts!$AS:$AS, "Wholesale and distribution services (MWD)")+SUMIFS(Accounts!$AM:$AM,Accounts!$B:$B,"none",Accounts!$AS:$AS, "Wholesale and distribution services (MWD)")+SUMIFS(Accounts!$AN:$AN,Accounts!$B:$B,"none",Accounts!$AS:$AS, "Wholesale and distribution services (MWD)")</f>
        <v>0</v>
      </c>
      <c r="EW2" s="39">
        <f>SUMIFS(Accounts!$AE:$AE,Accounts!$B:$B,"none",Accounts!$AS:$AS, "Wholesale and distribution services (MWD)") + SUMIFS(Accounts!$AP:$AP,Accounts!$B:$B,"none",Accounts!$AS:$AS, "Wholesale and distribution services (MWD)")</f>
        <v>0</v>
      </c>
      <c r="EX2" s="55">
        <f>SUMIFS(Accounts!$Z:$Z,Accounts!$B:$B,"none",Accounts!$AS:$AS, "Wholesale and distribution services (MWD)")</f>
        <v>0</v>
      </c>
      <c r="EY2" s="39">
        <f>SUMIFS(Accounts!$AG:$AG,Accounts!$B:$B,"none",Accounts!$AS:$AS, "Wholesale and distribution services (MWD)") + SUMIFS(Accounts!$AL:$AL,Accounts!$B:$B,"none",Accounts!$AS:$AS, "Wholesale and distribution services (MWD)")</f>
        <v>0</v>
      </c>
      <c r="EZ2" s="55">
        <f>SUMIFS(Accounts!$AQ:$AQ,Accounts!$B:$B,"none",Accounts!$AS:$AS, "Wholesale and distribution services (MWD)")</f>
        <v>0</v>
      </c>
      <c r="FA2" s="34" t="e">
        <f>((FA8+FA11)/((FA7*$C$2)+(0.5*FA10*$C$2)))*$C$2</f>
        <v>#VALUE!</v>
      </c>
      <c r="FB2" s="39">
        <f>COUNTIFS(Accounts!$AS:$AS, "Construction",Accounts!$B:$B,"none")</f>
        <v>0</v>
      </c>
      <c r="FC2" s="33">
        <f>COUNTIFS(Accounts!$AS:$AS, "Construction",Accounts!$B:$B,"Customer")</f>
        <v>0</v>
      </c>
      <c r="FD2" s="37">
        <f>SUMIFS(Accounts!$I:$I,Accounts!$AS:$AS, "Construction")</f>
        <v>0</v>
      </c>
      <c r="FE2" s="37">
        <f>SUMIFS(Accounts!$N:$N,Accounts!$AS:$AS, "Construction")</f>
        <v>0</v>
      </c>
      <c r="FF2" s="37" t="e">
        <f>FD2/(FC2+FA10)</f>
        <v>#DIV/0!</v>
      </c>
      <c r="FG2" s="37" t="e">
        <f>(FD2+FE2)/(FC2+FA10)</f>
        <v>#DIV/0!</v>
      </c>
      <c r="FH2" s="37" t="e">
        <f>FA6*FF2</f>
        <v>#VALUE!</v>
      </c>
      <c r="FI2" s="37" t="e">
        <f>AVERAGEIFS(Accounts!$AY:$AY,Accounts!$AS:$AS, "Construction",Accounts!$B:$B,"Customer",Accounts!$AY:$AY,"&gt;0")</f>
        <v>#DIV/0!</v>
      </c>
      <c r="FJ2" s="33" t="e">
        <f>AVERAGEIFS(Accounts!$AX:$AX,Accounts!$AS:$AS, "Construction",Accounts!$B:$B,"Customer",Accounts!$AX:$AX,"&gt;0")</f>
        <v>#DIV/0!</v>
      </c>
      <c r="FK2" s="37" t="e">
        <f>AVERAGEIFS(Accounts!$AY:$AY,Accounts!$AS:$AS, "Construction",Accounts!$B:$B,"none",Accounts!$AY:$AY,"&gt;0")</f>
        <v>#DIV/0!</v>
      </c>
      <c r="FL2" s="33" t="e">
        <f>AVERAGEIFS(Accounts!$AX:$AX,Accounts!$AS:$AS, "Construction",Accounts!$B:$B,"none",Accounts!$AX:$AX,"&gt;0")</f>
        <v>#DIV/0!</v>
      </c>
      <c r="FM2" s="55">
        <f>SUMIFS(Accounts!$AA:$AA,Accounts!$B:$B,"Customer",Accounts!$AS:$AS, "Construction") + SUMIFS(Accounts!$AH:$AH,Accounts!$B:$B,"Customer",Accounts!$AS:$AS, "Construction") + SUMIFS(Accounts!$AJ:$AJ,Accounts!$B:$B,"Customer",Accounts!$AS:$AS, "Construction") + SUMIFS(Accounts!$AI:$AI,Accounts!$B:$B,"Customer",Accounts!$AS:$AS, "Construction") + SUMIFS(Accounts!$AO:$AO,Accounts!$B:$B,"Customer",Accounts!$AS:$AS, "Construction")</f>
        <v>0</v>
      </c>
      <c r="FN2" s="55">
        <f>(SUMIFS(Accounts!$AC:$AC,Accounts!$B:$B,"Customer",Accounts!$AS:$AS, "Construction")+SUMIFS(Accounts!$AF:$AF,Accounts!$B:$B,"Customer",Accounts!$AS:$AS, "Construction")+SUMIFS(Accounts!$AK:$AK,Accounts!$B:$B,"Customer",Accounts!$AS:$AS, "Construction"))</f>
        <v>0</v>
      </c>
      <c r="FO2" s="55">
        <f>SUMIFS(Accounts!$AB:$AB,Accounts!$B:$B,"Customer",Accounts!$AS:$AS, "Construction")</f>
        <v>0</v>
      </c>
      <c r="FP2" s="55">
        <f>SUMIFS(Accounts!$AD:$AD,Accounts!$B:$B,"Customer",Accounts!$AS:$AS, "Construction")+SUMIFS(Accounts!$AM:$AM,Accounts!$B:$B,"Customer",Accounts!$AS:$AS, "Construction")+SUMIFS(Accounts!$AN:$AN,Accounts!$B:$B,"Customer",Accounts!$AS:$AS, "Construction")</f>
        <v>0</v>
      </c>
      <c r="FQ2" s="55">
        <f>SUMIFS(Accounts!$AE:$AE,Accounts!$B:$B,"Customer",Accounts!$AS:$AS, "Construction") + SUMIFS(Accounts!$AP:$AP,Accounts!$B:$B,"Customer",Accounts!$AS:$AS, "Construction")</f>
        <v>0</v>
      </c>
      <c r="FR2" s="55">
        <f>SUMIFS(Accounts!$Z:$Z,Accounts!$B:$B,"Customer",Accounts!$AS:$AS, "Construction")</f>
        <v>0</v>
      </c>
      <c r="FS2" s="55">
        <f>SUMIFS(Accounts!$AG:$AG,Accounts!$B:$B,"Customer",Accounts!$AS:$AS, "Construction") + SUMIFS(Accounts!$AL:$AL,Accounts!$B:$B,"Customer",Accounts!$AS:$AS, "Construction")</f>
        <v>0</v>
      </c>
      <c r="FT2" s="55">
        <f>SUMIFS(Accounts!$AQ:$AQ,Accounts!$B:$B,"Customer",Accounts!$AS:$AS, "Construction")</f>
        <v>0</v>
      </c>
      <c r="FU2" s="55">
        <f>SUMIFS(Accounts!$AA:$AA,Accounts!$B:$B,"none",Accounts!$AS:$AS, "Construction") + SUMIFS(Accounts!$AH:$AH,Accounts!$B:$B,"none",Accounts!$AS:$AS, "Construction") + SUMIFS(Accounts!$AJ:$AJ,Accounts!$B:$B,"none",Accounts!$AS:$AS, "Construction") + SUMIFS(Accounts!$AI:$AI,Accounts!$B:$B,"none",Accounts!$AS:$AS, "Construction") + SUMIFS(Accounts!$AO:$AO,Accounts!$B:$B,"none",Accounts!$AS:$AS, "Construction")</f>
        <v>0</v>
      </c>
      <c r="FV2" s="55">
        <f>(SUMIFS(Accounts!$AC:$AC,Accounts!$B:$B,"none",Accounts!$AS:$AS, "Construction")+SUMIFS(Accounts!$AF:$AF,Accounts!$B:$B,"none",Accounts!$AS:$AS, "Construction")+SUMIFS(Accounts!$AK:$AK,Accounts!$B:$B,"none",Accounts!$AS:$AS, "Construction"))</f>
        <v>0</v>
      </c>
      <c r="FW2" s="55">
        <f>SUMIFS(Accounts!$AB:$AB,Accounts!$B:$B,"none",Accounts!$AS:$AS, "Construction")</f>
        <v>0</v>
      </c>
      <c r="FX2" s="55">
        <f>SUMIFS(Accounts!$AD:$AD,Accounts!$B:$B,"none",Accounts!$AS:$AS, "Construction")+SUMIFS(Accounts!$AM:$AM,Accounts!$B:$B,"none",Accounts!$AS:$AS, "Construction")+SUMIFS(Accounts!$AN:$AN,Accounts!$B:$B,"none",Accounts!$AS:$AS, "Construction")</f>
        <v>0</v>
      </c>
      <c r="FY2" s="39">
        <f>SUMIFS(Accounts!$AE:$AE,Accounts!$B:$B,"none",Accounts!$AS:$AS, "Construction") + SUMIFS(Accounts!$AP:$AP,Accounts!$B:$B,"none",Accounts!$AS:$AS, "Construction")</f>
        <v>0</v>
      </c>
      <c r="FZ2" s="55">
        <f>SUMIFS(Accounts!$Z:$Z,Accounts!$B:$B,"none",Accounts!$AS:$AS, "Construction")</f>
        <v>0</v>
      </c>
      <c r="GA2" s="39">
        <f>SUMIFS(Accounts!$AG:$AG,Accounts!$B:$B,"none",Accounts!$AS:$AS, "Construction") + SUMIFS(Accounts!$AL:$AL,Accounts!$B:$B,"none",Accounts!$AS:$AS, "Construction")</f>
        <v>0</v>
      </c>
      <c r="GB2" s="55">
        <f>SUMIFS(Accounts!$AQ:$AQ,Accounts!$B:$B,"none",Accounts!$AS:$AS, "Construction")</f>
        <v>0</v>
      </c>
      <c r="GC2" s="34" t="e">
        <f>((GC8+GC11)/((GC7*$C$2)+(0.5*GC10*$C$2)))*$C$2</f>
        <v>#VALUE!</v>
      </c>
      <c r="GD2" s="39">
        <f>COUNTIFS(Accounts!$AS:$AS, "Field Services",Accounts!$B:$B,"none")</f>
        <v>0</v>
      </c>
      <c r="GE2" s="33">
        <f>COUNTIFS(Accounts!$AS:$AS, "Field Services",Accounts!$B:$B,"Customer")</f>
        <v>0</v>
      </c>
      <c r="GF2" s="37">
        <f>SUMIFS(Accounts!$I:$I,Accounts!$AS:$AS, "Field Services")</f>
        <v>0</v>
      </c>
      <c r="GG2" s="37">
        <f>SUMIFS(Accounts!$N:$N,Accounts!$AS:$AS, "Field Services")</f>
        <v>0</v>
      </c>
      <c r="GH2" s="37" t="e">
        <f>GF2/(GE2+GC10)</f>
        <v>#DIV/0!</v>
      </c>
      <c r="GI2" s="37" t="e">
        <f>(GF2+GG2)/(GE2+GC10)</f>
        <v>#DIV/0!</v>
      </c>
      <c r="GJ2" s="37" t="e">
        <f>GC6*GH2</f>
        <v>#VALUE!</v>
      </c>
      <c r="GK2" s="37">
        <f>IFERROR(AVERAGEIFS(Accounts!$AY:$AY,Accounts!$AS:$AS, "Field Services",Accounts!$B:$B,"Customer",Accounts!$AY:$AY,"&gt;0"),0)</f>
        <v>0</v>
      </c>
      <c r="GL2" s="33">
        <f>IFERROR(AVERAGEIFS(Accounts!$AX:$AX,Accounts!$AS:$AS, "Field Services",Accounts!$B:$B,"Customer",Accounts!$AX:$AX,"&gt;0"),0)</f>
        <v>0</v>
      </c>
      <c r="GM2" s="37">
        <f>IFERROR(AVERAGEIFS(Accounts!$AY:$AY,Accounts!$AS:$AS, "Field Services",Accounts!$B:$B,"none",Accounts!$AY:$AY,"&gt;0"),0)</f>
        <v>0</v>
      </c>
      <c r="GN2" s="33">
        <f>IFERROR(AVERAGEIFS(Accounts!$AX:$AX,Accounts!$AS:$AS, "Field Services",Accounts!$B:$B,"none",Accounts!$AX:$AX,"&gt;0"),0)</f>
        <v>0</v>
      </c>
      <c r="GO2" s="55">
        <f>SUMIFS(Accounts!$AA:$AA,Accounts!$B:$B,"Customer",Accounts!$AS:$AS, "Field Services") + SUMIFS(Accounts!$AH:$AH,Accounts!$B:$B,"Customer",Accounts!$AS:$AS, "Field Services") + SUMIFS(Accounts!$AJ:$AJ,Accounts!$B:$B,"Customer",Accounts!$AS:$AS, "Field Services") + SUMIFS(Accounts!$AI:$AI,Accounts!$B:$B,"Customer",Accounts!$AS:$AS, "Field Services") + SUMIFS(Accounts!$AO:$AO,Accounts!$B:$B,"Customer",Accounts!$AS:$AS, "Field Services")</f>
        <v>0</v>
      </c>
      <c r="GP2" s="55">
        <f>(SUMIFS(Accounts!$AC:$AC,Accounts!$B:$B,"Customer",Accounts!$AS:$AS, "Field Services")+SUMIFS(Accounts!$AF:$AF,Accounts!$B:$B,"Customer",Accounts!$AS:$AS, "Field Services")+SUMIFS(Accounts!$AK:$AK,Accounts!$B:$B,"Customer",Accounts!$AS:$AS, "Field Services"))</f>
        <v>0</v>
      </c>
      <c r="GQ2" s="55">
        <f>SUMIFS(Accounts!$AB:$AB,Accounts!$B:$B,"Customer",Accounts!$AS:$AS, "Field Services")</f>
        <v>0</v>
      </c>
      <c r="GR2" s="55">
        <f>SUMIFS(Accounts!$AD:$AD,Accounts!$B:$B,"Customer",Accounts!$AS:$AS, "Field Services")+SUMIFS(Accounts!$AM:$AM,Accounts!$B:$B,"Customer",Accounts!$AS:$AS, "Field Services")+SUMIFS(Accounts!$AN:$AN,Accounts!$B:$B,"Customer",Accounts!$AS:$AS, "Field Services")</f>
        <v>0</v>
      </c>
      <c r="GS2" s="55">
        <f>SUMIFS(Accounts!$AE:$AE,Accounts!$B:$B,"Customer",Accounts!$AS:$AS, "Field Services") + SUMIFS(Accounts!$AP:$AP,Accounts!$B:$B,"Customer",Accounts!$AS:$AS, "Field Services")</f>
        <v>0</v>
      </c>
      <c r="GT2" s="55">
        <f>SUMIFS(Accounts!$Z:$Z,Accounts!$B:$B,"Customer",Accounts!$AS:$AS, "Field Services")</f>
        <v>0</v>
      </c>
      <c r="GU2" s="55">
        <f>SUMIFS(Accounts!$AG:$AG,Accounts!$B:$B,"Customer",Accounts!$AS:$AS, "Field Services") + SUMIFS(Accounts!$AL:$AL,Accounts!$B:$B,"Customer",Accounts!$AS:$AS, "Field Services")</f>
        <v>0</v>
      </c>
      <c r="GV2" s="55">
        <f>SUMIFS(Accounts!$AQ:$AQ,Accounts!$B:$B,"Customer",Accounts!$AS:$AS, "Field Services")</f>
        <v>0</v>
      </c>
      <c r="GW2" s="55">
        <f>SUMIFS(Accounts!$AA:$AA,Accounts!$B:$B,"none",Accounts!$AS:$AS, "Field Services") + SUMIFS(Accounts!$AH:$AH,Accounts!$B:$B,"none",Accounts!$AS:$AS, "Field Services") + SUMIFS(Accounts!$AJ:$AJ,Accounts!$B:$B,"none",Accounts!$AS:$AS, "Field Services") + SUMIFS(Accounts!$AI:$AI,Accounts!$B:$B,"none",Accounts!$AS:$AS, "Field Services") + SUMIFS(Accounts!$AO:$AO,Accounts!$B:$B,"none",Accounts!$AS:$AS, "Field Services")</f>
        <v>0</v>
      </c>
      <c r="GX2" s="55">
        <f>(SUMIFS(Accounts!$AC:$AC,Accounts!$B:$B,"none",Accounts!$AS:$AS, "Field Services")+SUMIFS(Accounts!$AF:$AF,Accounts!$B:$B,"none",Accounts!$AS:$AS, "Field Services")+SUMIFS(Accounts!$AK:$AK,Accounts!$B:$B,"none",Accounts!$AS:$AS, "Field Services"))</f>
        <v>0</v>
      </c>
      <c r="GY2" s="55">
        <f>SUMIFS(Accounts!$AB:$AB,Accounts!$B:$B,"none",Accounts!$AS:$AS, "Field Services")</f>
        <v>0</v>
      </c>
      <c r="GZ2" s="55">
        <f>SUMIFS(Accounts!$AD:$AD,Accounts!$B:$B,"none",Accounts!$AS:$AS, "Field Services")+SUMIFS(Accounts!$AM:$AM,Accounts!$B:$B,"none",Accounts!$AS:$AS, "Field Services")+SUMIFS(Accounts!$AN:$AN,Accounts!$B:$B,"none",Accounts!$AS:$AS, "Field Services")</f>
        <v>0</v>
      </c>
      <c r="HA2" s="39">
        <f>SUMIFS(Accounts!$AE:$AE,Accounts!$B:$B,"none",Accounts!$AS:$AS, "Field Services") + SUMIFS(Accounts!$AP:$AP,Accounts!$B:$B,"none",Accounts!$AS:$AS, "Field Services")</f>
        <v>0</v>
      </c>
      <c r="HB2" s="55">
        <f>SUMIFS(Accounts!$Z:$Z,Accounts!$B:$B,"none",Accounts!$AS:$AS, "Field Services")</f>
        <v>0</v>
      </c>
      <c r="HC2" s="39">
        <f>SUMIFS(Accounts!$AG:$AG,Accounts!$B:$B,"none",Accounts!$AS:$AS, "Field Services") + SUMIFS(Accounts!$AL:$AL,Accounts!$B:$B,"none",Accounts!$AS:$AS, "Field Services")</f>
        <v>0</v>
      </c>
      <c r="HD2" s="55">
        <f>SUMIFS(Accounts!$AQ:$AQ,Accounts!$B:$B,"none",Accounts!$AS:$AS, "Field Services")</f>
        <v>0</v>
      </c>
      <c r="HE2" s="34" t="e">
        <f>((HE8+HE11)/((HE7*$C$2)+(0.5*HE10*$C$2)))*$C$2</f>
        <v>#VALUE!</v>
      </c>
      <c r="HF2" s="39">
        <f>COUNTIFS(Accounts!$AS:$AS, "Consulting and Professional Services",Accounts!$B:$B,"none")</f>
        <v>0</v>
      </c>
      <c r="HG2" s="33">
        <f>COUNTIFS(Accounts!$AS:$AS, "Consulting and Professional Services",Accounts!$B:$B,"Customer")</f>
        <v>0</v>
      </c>
      <c r="HH2" s="37">
        <f>SUMIFS(Accounts!$I:$I,Accounts!$AS:$AS, "Consulting and Professional Services")</f>
        <v>0</v>
      </c>
      <c r="HI2" s="37">
        <f>SUMIFS(Accounts!$N:$N,Accounts!$AS:$AS, "Consulting and Professional Services")</f>
        <v>0</v>
      </c>
      <c r="HJ2" s="37" t="e">
        <f>HH2/(HG2+HE10)</f>
        <v>#DIV/0!</v>
      </c>
      <c r="HK2" s="37" t="e">
        <f>(HH2+HI2)/(HG2+HE10)</f>
        <v>#DIV/0!</v>
      </c>
      <c r="HL2" s="37" t="e">
        <f>HE6*HJ2</f>
        <v>#VALUE!</v>
      </c>
      <c r="HM2" s="37">
        <f>IFERROR(AVERAGEIFS(Accounts!$AY:$AY,Accounts!$AS:$AS, "Consulting and Professional Services",Accounts!$B:$B,"Customer",Accounts!$AY:$AY,"&gt;0"),0)</f>
        <v>0</v>
      </c>
      <c r="HN2" s="33">
        <f>IFERROR(AVERAGEIFS(Accounts!$AX:$AX,Accounts!$AS:$AS, "Consulting and Professional Services",Accounts!$B:$B,"Customer",Accounts!$AX:$AX,"&gt;0"),0)</f>
        <v>0</v>
      </c>
      <c r="HO2" s="37">
        <f>IFERROR(AVERAGEIFS(Accounts!$AY:$AY,Accounts!$AS:$AS, "Consulting and Professional Services",Accounts!$B:$B,"none",Accounts!$AY:$AY,"&gt;0"),0)</f>
        <v>0</v>
      </c>
      <c r="HP2" s="33">
        <f>IFERROR(AVERAGEIFS(Accounts!$AX:$AX,Accounts!$AS:$AS, "Consulting and Professional Services",Accounts!$B:$B,"none",Accounts!$AX:$AX,"&gt;0"),0)</f>
        <v>0</v>
      </c>
      <c r="HQ2" s="55">
        <f>SUMIFS(Accounts!$AA:$AA,Accounts!$B:$B,"Customer",Accounts!$AS:$AS, "Consulting and Professional Services") + SUMIFS(Accounts!$AH:$AH,Accounts!$B:$B,"Customer",Accounts!$AS:$AS, "Consulting and Professional Services") + SUMIFS(Accounts!$AJ:$AJ,Accounts!$B:$B,"Customer",Accounts!$AS:$AS, "Consulting and Professional Services") + SUMIFS(Accounts!$AI:$AI,Accounts!$B:$B,"Customer",Accounts!$AS:$AS, "Consulting and Professional Services") + SUMIFS(Accounts!$AO:$AO,Accounts!$B:$B,"Customer",Accounts!$AS:$AS, "Consulting and Professional Services")</f>
        <v>0</v>
      </c>
      <c r="HR2" s="55">
        <f>(SUMIFS(Accounts!$AC:$AC,Accounts!$B:$B,"Customer",Accounts!$AS:$AS, "Consulting and Professional Services")+SUMIFS(Accounts!$AF:$AF,Accounts!$B:$B,"Customer",Accounts!$AS:$AS, "Consulting and Professional Services")+SUMIFS(Accounts!$AK:$AK,Accounts!$B:$B,"Customer",Accounts!$AS:$AS, "Consulting and Professional Services"))</f>
        <v>0</v>
      </c>
      <c r="HS2" s="55">
        <f>SUMIFS(Accounts!$AB:$AB,Accounts!$B:$B,"Customer",Accounts!$AS:$AS, "Consulting and Professional Services")</f>
        <v>0</v>
      </c>
      <c r="HT2" s="55">
        <f>SUMIFS(Accounts!$AD:$AD,Accounts!$B:$B,"Customer",Accounts!$AS:$AS, "Consulting and Professional Services")+SUMIFS(Accounts!$AM:$AM,Accounts!$B:$B,"Customer",Accounts!$AS:$AS, "Consulting and Professional Services")+SUMIFS(Accounts!$AN:$AN,Accounts!$B:$B,"Customer",Accounts!$AS:$AS, "Consulting and Professional Services")</f>
        <v>0</v>
      </c>
      <c r="HU2" s="55">
        <f>SUMIFS(Accounts!$AE:$AE,Accounts!$B:$B,"Customer",Accounts!$AS:$AS, "Consulting and Professional Services") + SUMIFS(Accounts!$AP:$AP,Accounts!$B:$B,"Customer",Accounts!$AS:$AS, "Consulting and Professional Services")</f>
        <v>0</v>
      </c>
      <c r="HV2" s="55">
        <f>SUMIFS(Accounts!$Z:$Z,Accounts!$B:$B,"Customer",Accounts!$AS:$AS, "Consulting and Professional Services")</f>
        <v>0</v>
      </c>
      <c r="HW2" s="55">
        <f>SUMIFS(Accounts!$AG:$AG,Accounts!$B:$B,"Customer",Accounts!$AS:$AS, "Consulting and Professional Services") + SUMIFS(Accounts!$AL:$AL,Accounts!$B:$B,"Customer",Accounts!$AS:$AS, "Consulting and Professional Services")</f>
        <v>0</v>
      </c>
      <c r="HX2" s="55">
        <f>SUMIFS(Accounts!$AQ:$AQ,Accounts!$B:$B,"Customer",Accounts!$AS:$AS, "Consulting and Professional Services")</f>
        <v>0</v>
      </c>
      <c r="HY2" s="55">
        <f>SUMIFS(Accounts!$AA:$AA,Accounts!$B:$B,"none",Accounts!$AS:$AS, "Consulting and Professional Services") + SUMIFS(Accounts!$AH:$AH,Accounts!$B:$B,"none",Accounts!$AS:$AS, "Consulting and Professional Services") + SUMIFS(Accounts!$AJ:$AJ,Accounts!$B:$B,"none",Accounts!$AS:$AS, "Consulting and Professional Services") + SUMIFS(Accounts!$AI:$AI,Accounts!$B:$B,"none",Accounts!$AS:$AS, "Consulting and Professional Services") + SUMIFS(Accounts!$AO:$AO,Accounts!$B:$B,"none",Accounts!$AS:$AS, "Consulting and Professional Services")</f>
        <v>0</v>
      </c>
      <c r="HZ2" s="55">
        <f>(SUMIFS(Accounts!$AC:$AC,Accounts!$B:$B,"none",Accounts!$AS:$AS, "Consulting and Professional Services")+SUMIFS(Accounts!$AF:$AF,Accounts!$B:$B,"none",Accounts!$AS:$AS, "Consulting and Professional Services")+SUMIFS(Accounts!$AK:$AK,Accounts!$B:$B,"none",Accounts!$AS:$AS, "Consulting and Professional Services"))</f>
        <v>0</v>
      </c>
      <c r="IA2" s="55">
        <f>SUMIFS(Accounts!$AB:$AB,Accounts!$B:$B,"none",Accounts!$AS:$AS, "Consulting and Professional Services")</f>
        <v>0</v>
      </c>
      <c r="IB2" s="55">
        <f>SUMIFS(Accounts!$AD:$AD,Accounts!$B:$B,"none",Accounts!$AS:$AS, "Consulting and Professional Services")+SUMIFS(Accounts!$AM:$AM,Accounts!$B:$B,"none",Accounts!$AS:$AS, "Consulting and Professional Services")+SUMIFS(Accounts!$AN:$AN,Accounts!$B:$B,"none",Accounts!$AS:$AS, "Consulting and Professional Services")</f>
        <v>0</v>
      </c>
      <c r="IC2" s="39">
        <f>SUMIFS(Accounts!$AE:$AE,Accounts!$B:$B,"none",Accounts!$AS:$AS, "Consulting and Professional Services") + SUMIFS(Accounts!$AP:$AP,Accounts!$B:$B,"none",Accounts!$AS:$AS, "Consulting and Professional Services")</f>
        <v>0</v>
      </c>
      <c r="ID2" s="55">
        <f>SUMIFS(Accounts!$Z:$Z,Accounts!$B:$B,"none",Accounts!$AS:$AS, "Consulting and Professional Services")</f>
        <v>0</v>
      </c>
      <c r="IE2" s="39">
        <f>SUMIFS(Accounts!$AG:$AG,Accounts!$B:$B,"none",Accounts!$AS:$AS, "Consulting and Professional Services") + SUMIFS(Accounts!$AL:$AL,Accounts!$B:$B,"none",Accounts!$AS:$AS, "Consulting and Professional Services")</f>
        <v>0</v>
      </c>
      <c r="IF2" s="55">
        <f>SUMIFS(Accounts!$AQ:$AQ,Accounts!$B:$B,"none",Accounts!$AS:$AS, "Consulting and Professional Services")</f>
        <v>0</v>
      </c>
      <c r="IG2" s="34" t="e">
        <f>((IG8+IG11)/((IG7*$C$2)+(0.5*IG10*$C$2)))*$C$2</f>
        <v>#VALUE!</v>
      </c>
      <c r="IH2" s="39">
        <f>COUNTIFS(Accounts!$AS:$AS, "Retail",Accounts!$B:$B,"none")</f>
        <v>0</v>
      </c>
      <c r="II2" s="33">
        <f>COUNTIFS(Accounts!$AS:$AS, "Retail",Accounts!$B:$B,"Customer")</f>
        <v>0</v>
      </c>
      <c r="IJ2" s="37">
        <f>SUMIFS(Accounts!$I:$I,Accounts!$AS:$AS, "Retail")</f>
        <v>0</v>
      </c>
      <c r="IK2" s="37">
        <f>SUMIFS(Accounts!$N:$N,Accounts!$AS:$AS, "Retail")</f>
        <v>0</v>
      </c>
      <c r="IL2" s="37" t="e">
        <f>IJ2/(II2+IG10)</f>
        <v>#DIV/0!</v>
      </c>
      <c r="IM2" s="37" t="e">
        <f>(IJ2+IK2)/(II2+IG10)</f>
        <v>#DIV/0!</v>
      </c>
      <c r="IN2" s="37" t="e">
        <f>IG6*IL2</f>
        <v>#VALUE!</v>
      </c>
      <c r="IO2" s="37">
        <f>IFERROR(AVERAGEIFS(Accounts!$AY:$AY,Accounts!$AS:$AS, "Retail",Accounts!$B:$B,"Customer",Accounts!$AY:$AY,"&gt;0"),0)</f>
        <v>0</v>
      </c>
      <c r="IP2" s="33">
        <f>IFERROR(AVERAGEIFS(Accounts!$AX:$AX,Accounts!$AS:$AS, "Retail",Accounts!$B:$B,"Customer",Accounts!$AX:$AX,"&gt;0"),0)</f>
        <v>0</v>
      </c>
      <c r="IQ2" s="37">
        <f>IFERROR(AVERAGEIFS(Accounts!$AY:$AY,Accounts!$AS:$AS, "Retail",Accounts!$B:$B,"none",Accounts!$AY:$AY,"&gt;0"),0)</f>
        <v>0</v>
      </c>
      <c r="IR2" s="33">
        <f>IFERROR(AVERAGEIFS(Accounts!$AX:$AX,Accounts!$AS:$AS, "Retail",Accounts!$B:$B,"none",Accounts!$AX:$AX,"&gt;0"),0)</f>
        <v>0</v>
      </c>
      <c r="IS2" s="55">
        <f>SUMIFS(Accounts!$AA:$AA,Accounts!$B:$B,"Customer",Accounts!$AS:$AS, "Retail") + SUMIFS(Accounts!$AH:$AH,Accounts!$B:$B,"Customer",Accounts!$AS:$AS, "Retail") + SUMIFS(Accounts!$AJ:$AJ,Accounts!$B:$B,"Customer",Accounts!$AS:$AS, "Retail") + SUMIFS(Accounts!$AI:$AI,Accounts!$B:$B,"Customer",Accounts!$AS:$AS, "Retail") + SUMIFS(Accounts!$AO:$AO,Accounts!$B:$B,"Customer",Accounts!$AS:$AS, "Retail")</f>
        <v>0</v>
      </c>
      <c r="IT2" s="55">
        <f>(SUMIFS(Accounts!$AC:$AC,Accounts!$B:$B,"Customer",Accounts!$AS:$AS, "Retail")+SUMIFS(Accounts!$AF:$AF,Accounts!$B:$B,"Customer",Accounts!$AS:$AS, "Retail")+SUMIFS(Accounts!$AK:$AK,Accounts!$B:$B,"Customer",Accounts!$AS:$AS, "Retail"))</f>
        <v>0</v>
      </c>
      <c r="IU2" s="55">
        <f>SUMIFS(Accounts!$AB:$AB,Accounts!$B:$B,"Customer",Accounts!$AS:$AS, "Retail")</f>
        <v>0</v>
      </c>
      <c r="IV2" s="55">
        <f>SUMIFS(Accounts!$AD:$AD,Accounts!$B:$B,"Customer",Accounts!$AS:$AS, "Retail")+SUMIFS(Accounts!$AM:$AM,Accounts!$B:$B,"Customer",Accounts!$AS:$AS, "Retail")+SUMIFS(Accounts!$AN:$AN,Accounts!$B:$B,"Customer",Accounts!$AS:$AS, "Retail")</f>
        <v>0</v>
      </c>
      <c r="IW2" s="55">
        <f>SUMIFS(Accounts!$AE:$AE,Accounts!$B:$B,"Customer",Accounts!$AS:$AS, "Retail") + SUMIFS(Accounts!$AP:$AP,Accounts!$B:$B,"Customer",Accounts!$AS:$AS, "Retail")</f>
        <v>0</v>
      </c>
      <c r="IX2" s="55">
        <f>SUMIFS(Accounts!$Z:$Z,Accounts!$B:$B,"Customer",Accounts!$AS:$AS, "Retail")</f>
        <v>0</v>
      </c>
      <c r="IY2" s="55">
        <f>SUMIFS(Accounts!$AG:$AG,Accounts!$B:$B,"Customer",Accounts!$AS:$AS, "Retail") + SUMIFS(Accounts!$AL:$AL,Accounts!$B:$B,"Customer",Accounts!$AS:$AS, "Retail")</f>
        <v>0</v>
      </c>
      <c r="IZ2" s="55">
        <f>SUMIFS(Accounts!$AQ:$AQ,Accounts!$B:$B,"Customer",Accounts!$AS:$AS, "Retail")</f>
        <v>0</v>
      </c>
      <c r="JA2" s="55">
        <f>SUMIFS(Accounts!$AA:$AA,Accounts!$B:$B,"none",Accounts!$AS:$AS, "Retail") + SUMIFS(Accounts!$AH:$AH,Accounts!$B:$B,"none",Accounts!$AS:$AS, "Retail") + SUMIFS(Accounts!$AJ:$AJ,Accounts!$B:$B,"none",Accounts!$AS:$AS, "Retail") + SUMIFS(Accounts!$AI:$AI,Accounts!$B:$B,"none",Accounts!$AS:$AS, "Retail") + SUMIFS(Accounts!$AO:$AO,Accounts!$B:$B,"none",Accounts!$AS:$AS, "Retail")</f>
        <v>0</v>
      </c>
      <c r="JB2" s="55">
        <f>(SUMIFS(Accounts!$AC:$AC,Accounts!$B:$B,"none",Accounts!$AS:$AS, "Retail")+SUMIFS(Accounts!$AF:$AF,Accounts!$B:$B,"none",Accounts!$AS:$AS, "Retail")+SUMIFS(Accounts!$AK:$AK,Accounts!$B:$B,"none",Accounts!$AS:$AS, "Retail"))</f>
        <v>0</v>
      </c>
      <c r="JC2" s="55">
        <f>SUMIFS(Accounts!$AB:$AB,Accounts!$B:$B,"none",Accounts!$AS:$AS, "Retail")</f>
        <v>0</v>
      </c>
      <c r="JD2" s="55">
        <f>SUMIFS(Accounts!$AD:$AD,Accounts!$B:$B,"none",Accounts!$AS:$AS, "Retail")+SUMIFS(Accounts!$AM:$AM,Accounts!$B:$B,"none",Accounts!$AS:$AS, "Retail")+SUMIFS(Accounts!$AN:$AN,Accounts!$B:$B,"none",Accounts!$AS:$AS, "Retail")</f>
        <v>0</v>
      </c>
      <c r="JE2" s="39">
        <f>SUMIFS(Accounts!$AE:$AE,Accounts!$B:$B,"none",Accounts!$AS:$AS, "Retail") + SUMIFS(Accounts!$AP:$AP,Accounts!$B:$B,"none",Accounts!$AS:$AS, "Retail")</f>
        <v>0</v>
      </c>
      <c r="JF2" s="55">
        <f>SUMIFS(Accounts!$Z:$Z,Accounts!$B:$B,"none",Accounts!$AS:$AS, "Retail")</f>
        <v>0</v>
      </c>
      <c r="JG2" s="39">
        <f>SUMIFS(Accounts!$AG:$AG,Accounts!$B:$B,"none",Accounts!$AS:$AS, "Retail") + SUMIFS(Accounts!$AL:$AL,Accounts!$B:$B,"none",Accounts!$AS:$AS, "Retail")</f>
        <v>0</v>
      </c>
      <c r="JH2" s="55">
        <f>SUMIFS(Accounts!$AQ:$AQ,Accounts!$B:$B,"none",Accounts!$AS:$AS, "Retail")</f>
        <v>0</v>
      </c>
      <c r="JI2" s="34" t="e">
        <f>((JI8+JI11)/((JI7*$C$2)+(0.5*JI10*$C$2)))*$C$2</f>
        <v>#VALUE!</v>
      </c>
      <c r="JJ2" s="39">
        <f>COUNTIFS(Accounts!$AS:$AS, "Non-profit, govt or religious organization",Accounts!$B:$B,"none")</f>
        <v>0</v>
      </c>
      <c r="JK2" s="33">
        <f>COUNTIFS(Accounts!$AS:$AS, "Non-profit, govt or religious organization",Accounts!$B:$B,"Customer")</f>
        <v>0</v>
      </c>
      <c r="JL2" s="37">
        <f>SUMIFS(Accounts!$I:$I,Accounts!$AS:$AS, "Non-profit, govt or religious organization")</f>
        <v>0</v>
      </c>
      <c r="JM2" s="37">
        <f>SUMIFS(Accounts!$N:$N,Accounts!$AS:$AS, "Non-profit, govt or religious organization")</f>
        <v>0</v>
      </c>
      <c r="JN2" s="37" t="e">
        <f>JL2/(JK2+JI10)</f>
        <v>#DIV/0!</v>
      </c>
      <c r="JO2" s="37" t="e">
        <f>(JL2+JM2)/(JK2+JI10)</f>
        <v>#DIV/0!</v>
      </c>
      <c r="JP2" s="37" t="e">
        <f>JI6*JN2</f>
        <v>#VALUE!</v>
      </c>
      <c r="JQ2" s="37">
        <f>IFERROR(AVERAGEIFS(Accounts!$AY:$AY,Accounts!$AS:$AS, "Non-profit, govt or religious organization",Accounts!$B:$B,"Customer",Accounts!$AY:$AY,"&gt;0"),0)</f>
        <v>0</v>
      </c>
      <c r="JR2" s="33">
        <f>IFERROR(AVERAGEIFS(Accounts!$AX:$AX,Accounts!$AS:$AS, "Non-profit, govt or religious organization",Accounts!$B:$B,"Customer",Accounts!$AX:$AX,"&gt;0"),0)</f>
        <v>0</v>
      </c>
      <c r="JS2" s="37">
        <f>IFERROR(AVERAGEIFS(Accounts!$AY:$AY,Accounts!$AS:$AS, "Non-profit, govt or religious organization",Accounts!$B:$B,"none",Accounts!$AY:$AY,"&gt;0"),0)</f>
        <v>0</v>
      </c>
      <c r="JT2" s="33">
        <f>IFERROR(AVERAGEIFS(Accounts!$AX:$AX,Accounts!$AS:$AS, "Non-profit, govt or religious organization",Accounts!$B:$B,"none",Accounts!$AX:$AX,"&gt;0"),0)</f>
        <v>0</v>
      </c>
      <c r="JU2" s="55">
        <f>SUMIFS(Accounts!$AA:$AA,Accounts!$B:$B,"Customer",Accounts!$AS:$AS, "Non-profit, govt or religious organization") + SUMIFS(Accounts!$AH:$AH,Accounts!$B:$B,"Customer",Accounts!$AS:$AS, "Non-profit, govt or religious organization") + SUMIFS(Accounts!$AJ:$AJ,Accounts!$B:$B,"Customer",Accounts!$AS:$AS, "Non-profit, govt or religious organization") + SUMIFS(Accounts!$AI:$AI,Accounts!$B:$B,"Customer",Accounts!$AS:$AS, "Non-profit, govt or religious organization") + SUMIFS(Accounts!$AO:$AO,Accounts!$B:$B,"Customer",Accounts!$AS:$AS, "Non-profit, govt or religious organization")</f>
        <v>0</v>
      </c>
      <c r="JV2" s="55">
        <f>(SUMIFS(Accounts!$AC:$AC,Accounts!$B:$B,"Customer",Accounts!$AS:$AS, "Non-profit, govt or religious organization")+SUMIFS(Accounts!$AF:$AF,Accounts!$B:$B,"Customer",Accounts!$AS:$AS, "Non-profit, govt or religious organization")+SUMIFS(Accounts!$AK:$AK,Accounts!$B:$B,"Customer",Accounts!$AS:$AS, "Non-profit, govt or religious organization"))</f>
        <v>0</v>
      </c>
      <c r="JW2" s="55">
        <f>SUMIFS(Accounts!$AB:$AB,Accounts!$B:$B,"Customer",Accounts!$AS:$AS, "Non-profit, govt or religious organization")</f>
        <v>0</v>
      </c>
      <c r="JX2" s="55">
        <f>SUMIFS(Accounts!$AD:$AD,Accounts!$B:$B,"Customer",Accounts!$AS:$AS, "Non-profit, govt or religious organization")+SUMIFS(Accounts!$AM:$AM,Accounts!$B:$B,"Customer",Accounts!$AS:$AS, "Non-profit, govt or religious organization")+SUMIFS(Accounts!$AN:$AN,Accounts!$B:$B,"Customer",Accounts!$AS:$AS, "Non-profit, govt or religious organization")</f>
        <v>0</v>
      </c>
      <c r="JY2" s="55">
        <f>SUMIFS(Accounts!$AE:$AE,Accounts!$B:$B,"Customer",Accounts!$AS:$AS, "Non-profit, govt or religious organization") + SUMIFS(Accounts!$AP:$AP,Accounts!$B:$B,"Customer",Accounts!$AS:$AS, "Non-profit, govt or religious organization")</f>
        <v>0</v>
      </c>
      <c r="JZ2" s="55">
        <f>SUMIFS(Accounts!$Z:$Z,Accounts!$B:$B,"Customer",Accounts!$AS:$AS, "Non-profit, govt or religious organization")</f>
        <v>0</v>
      </c>
      <c r="KA2" s="55">
        <f>SUMIFS(Accounts!$AG:$AG,Accounts!$B:$B,"Customer",Accounts!$AS:$AS, "Non-profit, govt or religious organization") + SUMIFS(Accounts!$AL:$AL,Accounts!$B:$B,"Customer",Accounts!$AS:$AS, "Non-profit, govt or religious organization")</f>
        <v>0</v>
      </c>
      <c r="KB2" s="55">
        <f>SUMIFS(Accounts!$AQ:$AQ,Accounts!$B:$B,"Customer",Accounts!$AS:$AS, "Non-profit, govt or religious organization")</f>
        <v>0</v>
      </c>
      <c r="KC2" s="55">
        <f>SUMIFS(Accounts!$AA:$AA,Accounts!$B:$B,"none",Accounts!$AS:$AS, "Non-profit, govt or religious organization") + SUMIFS(Accounts!$AH:$AH,Accounts!$B:$B,"none",Accounts!$AS:$AS, "Non-profit, govt or religious organization") + SUMIFS(Accounts!$AJ:$AJ,Accounts!$B:$B,"none",Accounts!$AS:$AS, "Non-profit, govt or religious organization") + SUMIFS(Accounts!$AI:$AI,Accounts!$B:$B,"none",Accounts!$AS:$AS, "Non-profit, govt or religious organization") + SUMIFS(Accounts!$AO:$AO,Accounts!$B:$B,"none",Accounts!$AS:$AS, "Non-profit, govt or religious organization")</f>
        <v>0</v>
      </c>
      <c r="KD2" s="55">
        <f>(SUMIFS(Accounts!$AC:$AC,Accounts!$B:$B,"none",Accounts!$AS:$AS, "Non-profit, govt or religious organization")+SUMIFS(Accounts!$AF:$AF,Accounts!$B:$B,"none",Accounts!$AS:$AS, "Non-profit, govt or religious organization")+SUMIFS(Accounts!$AK:$AK,Accounts!$B:$B,"none",Accounts!$AS:$AS, "Non-profit, govt or religious organization"))</f>
        <v>0</v>
      </c>
      <c r="KE2" s="55">
        <f>SUMIFS(Accounts!$AB:$AB,Accounts!$B:$B,"none",Accounts!$AS:$AS, "Non-profit, govt or religious organization")</f>
        <v>0</v>
      </c>
      <c r="KF2" s="55">
        <f>SUMIFS(Accounts!$AD:$AD,Accounts!$B:$B,"none",Accounts!$AS:$AS, "Non-profit, govt or religious organization")+SUMIFS(Accounts!$AM:$AM,Accounts!$B:$B,"none",Accounts!$AS:$AS, "Non-profit, govt or religious organization")+SUMIFS(Accounts!$AN:$AN,Accounts!$B:$B,"none",Accounts!$AS:$AS, "Non-profit, govt or religious organization")</f>
        <v>0</v>
      </c>
      <c r="KG2" s="39">
        <f>SUMIFS(Accounts!$AE:$AE,Accounts!$B:$B,"none",Accounts!$AS:$AS, "Non-profit, govt or religious organization") + SUMIFS(Accounts!$AP:$AP,Accounts!$B:$B,"none",Accounts!$AS:$AS, "Non-profit, govt or religious organization")</f>
        <v>0</v>
      </c>
      <c r="KH2" s="55">
        <f>SUMIFS(Accounts!$Z:$Z,Accounts!$B:$B,"none",Accounts!$AS:$AS, "Non-profit, govt or religious organization")</f>
        <v>0</v>
      </c>
      <c r="KI2" s="39">
        <f>SUMIFS(Accounts!$AG:$AG,Accounts!$B:$B,"none",Accounts!$AS:$AS, "Non-profit, govt or religious organization") + SUMIFS(Accounts!$AL:$AL,Accounts!$B:$B,"none",Accounts!$AS:$AS, "Non-profit, govt or religious organization")</f>
        <v>0</v>
      </c>
      <c r="KJ2" s="55">
        <f>SUMIFS(Accounts!$AQ:$AQ,Accounts!$B:$B,"none",Accounts!$AS:$AS, "Non-profit, govt or religious organization")</f>
        <v>0</v>
      </c>
      <c r="KK2" s="34" t="e">
        <f>((KK8+KK11)/((KK7*$C$2)+(0.5*KK10*$C$2)))*$C$2</f>
        <v>#VALUE!</v>
      </c>
      <c r="KL2" s="39">
        <f>COUNTIFS(Accounts!$AS:$AS, "Communications, Entertainment and Media",Accounts!$B:$B,"none")</f>
        <v>0</v>
      </c>
      <c r="KM2" s="33">
        <f>COUNTIFS(Accounts!$AS:$AS, "Communications, Entertainment and Media",Accounts!$B:$B,"Customer")</f>
        <v>0</v>
      </c>
      <c r="KN2" s="37">
        <f>SUMIFS(Accounts!$I:$I,Accounts!$AS:$AS, "Communications, Entertainment and Media")</f>
        <v>0</v>
      </c>
      <c r="KO2" s="37">
        <f>SUMIFS(Accounts!$N:$N,Accounts!$AS:$AS, "Communications, Entertainment and Media")</f>
        <v>0</v>
      </c>
      <c r="KP2" s="37" t="e">
        <f>KN2/(KM2+KK10)</f>
        <v>#DIV/0!</v>
      </c>
      <c r="KQ2" s="37" t="e">
        <f>(KN2+KO2)/(KM2+KK10)</f>
        <v>#DIV/0!</v>
      </c>
      <c r="KR2" s="37" t="e">
        <f>KK6*KP2</f>
        <v>#VALUE!</v>
      </c>
      <c r="KS2" s="37">
        <f>IFERROR(AVERAGEIFS(Accounts!$AY:$AY,Accounts!$AS:$AS, "Communications, Entertainment and Media",Accounts!$B:$B,"Customer",Accounts!$AY:$AY,"&gt;0"),0)</f>
        <v>0</v>
      </c>
      <c r="KT2" s="33">
        <f>IFERROR(AVERAGEIFS(Accounts!$AX:$AX,Accounts!$AS:$AS, "Communications, Entertainment and Media",Accounts!$B:$B,"Customer",Accounts!$AX:$AX,"&gt;0"),0)</f>
        <v>0</v>
      </c>
      <c r="KU2" s="37">
        <f>IFERROR(AVERAGEIFS(Accounts!$AY:$AY,Accounts!$AS:$AS, "Communications, Entertainment and Media",Accounts!$B:$B,"none",Accounts!$AY:$AY,"&gt;0"),0)</f>
        <v>0</v>
      </c>
      <c r="KV2" s="33">
        <f>IFERROR(AVERAGEIFS(Accounts!$AX:$AX,Accounts!$AS:$AS, "Communications, Entertainment and Media",Accounts!$B:$B,"none",Accounts!$AX:$AX,"&gt;0"),0)</f>
        <v>0</v>
      </c>
      <c r="KW2" s="55">
        <f>SUMIFS(Accounts!$AA:$AA,Accounts!$B:$B,"Customer",Accounts!$AS:$AS, "Communications, Entertainment and Media") + SUMIFS(Accounts!$AH:$AH,Accounts!$B:$B,"Customer",Accounts!$AS:$AS, "Communications, Entertainment and Media") + SUMIFS(Accounts!$AJ:$AJ,Accounts!$B:$B,"Customer",Accounts!$AS:$AS, "Communications, Entertainment and Media") + SUMIFS(Accounts!$AI:$AI,Accounts!$B:$B,"Customer",Accounts!$AS:$AS, "Communications, Entertainment and Media") + SUMIFS(Accounts!$AO:$AO,Accounts!$B:$B,"Customer",Accounts!$AS:$AS, "Communications, Entertainment and Media")</f>
        <v>0</v>
      </c>
      <c r="KX2" s="55">
        <f>(SUMIFS(Accounts!$AC:$AC,Accounts!$B:$B,"Customer",Accounts!$AS:$AS, "Communications, Entertainment and Media")+SUMIFS(Accounts!$AF:$AF,Accounts!$B:$B,"Customer",Accounts!$AS:$AS, "Communications, Entertainment and Media")+SUMIFS(Accounts!$AK:$AK,Accounts!$B:$B,"Customer",Accounts!$AS:$AS, "Communications, Entertainment and Media"))</f>
        <v>0</v>
      </c>
      <c r="KY2" s="55">
        <f>SUMIFS(Accounts!$AB:$AB,Accounts!$B:$B,"Customer",Accounts!$AS:$AS, "Communications, Entertainment and Media")</f>
        <v>0</v>
      </c>
      <c r="KZ2" s="55">
        <f>SUMIFS(Accounts!$AD:$AD,Accounts!$B:$B,"Customer",Accounts!$AS:$AS, "Communications, Entertainment and Media")+SUMIFS(Accounts!$AM:$AM,Accounts!$B:$B,"Customer",Accounts!$AS:$AS, "Communications, Entertainment and Media")+SUMIFS(Accounts!$AN:$AN,Accounts!$B:$B,"Customer",Accounts!$AS:$AS, "Communications, Entertainment and Media")</f>
        <v>0</v>
      </c>
      <c r="LA2" s="55">
        <f>SUMIFS(Accounts!$AE:$AE,Accounts!$B:$B,"Customer",Accounts!$AS:$AS, "Communications, Entertainment and Media") + SUMIFS(Accounts!$AP:$AP,Accounts!$B:$B,"Customer",Accounts!$AS:$AS, "Communications, Entertainment and Media")</f>
        <v>0</v>
      </c>
      <c r="LB2" s="55">
        <f>SUMIFS(Accounts!$Z:$Z,Accounts!$B:$B,"Customer",Accounts!$AS:$AS, "Communications, Entertainment and Media")</f>
        <v>0</v>
      </c>
      <c r="LC2" s="55">
        <f>SUMIFS(Accounts!$AG:$AG,Accounts!$B:$B,"Customer",Accounts!$AS:$AS, "Communications, Entertainment and Media") + SUMIFS(Accounts!$AL:$AL,Accounts!$B:$B,"Customer",Accounts!$AS:$AS, "Communications, Entertainment and Media")</f>
        <v>0</v>
      </c>
      <c r="LD2" s="55">
        <f>SUMIFS(Accounts!$AQ:$AQ,Accounts!$B:$B,"Customer",Accounts!$AS:$AS, "Communications, Entertainment and Media")</f>
        <v>0</v>
      </c>
      <c r="LE2" s="55">
        <f>SUMIFS(Accounts!$AA:$AA,Accounts!$B:$B,"none",Accounts!$AS:$AS, "Communications, Entertainment and Media") + SUMIFS(Accounts!$AH:$AH,Accounts!$B:$B,"none",Accounts!$AS:$AS, "Communications, Entertainment and Media") + SUMIFS(Accounts!$AJ:$AJ,Accounts!$B:$B,"none",Accounts!$AS:$AS, "Communications, Entertainment and Media") + SUMIFS(Accounts!$AI:$AI,Accounts!$B:$B,"none",Accounts!$AS:$AS, "Communications, Entertainment and Media") + SUMIFS(Accounts!$AO:$AO,Accounts!$B:$B,"none",Accounts!$AS:$AS, "Communications, Entertainment and Media")</f>
        <v>0</v>
      </c>
      <c r="LF2" s="55">
        <f>(SUMIFS(Accounts!$AC:$AC,Accounts!$B:$B,"none",Accounts!$AS:$AS, "Communications, Entertainment and Media")+SUMIFS(Accounts!$AF:$AF,Accounts!$B:$B,"none",Accounts!$AS:$AS, "Communications, Entertainment and Media")+SUMIFS(Accounts!$AK:$AK,Accounts!$B:$B,"none",Accounts!$AS:$AS, "Communications, Entertainment and Media"))</f>
        <v>0</v>
      </c>
      <c r="LG2" s="55">
        <f>SUMIFS(Accounts!$AB:$AB,Accounts!$B:$B,"none",Accounts!$AS:$AS, "Communications, Entertainment and Media")</f>
        <v>0</v>
      </c>
      <c r="LH2" s="55">
        <f>SUMIFS(Accounts!$AD:$AD,Accounts!$B:$B,"none",Accounts!$AS:$AS, "Communications, Entertainment and Media")+SUMIFS(Accounts!$AM:$AM,Accounts!$B:$B,"none",Accounts!$AS:$AS, "Communications, Entertainment and Media")+SUMIFS(Accounts!$AN:$AN,Accounts!$B:$B,"none",Accounts!$AS:$AS, "Communications, Entertainment and Media")</f>
        <v>0</v>
      </c>
      <c r="LI2" s="39">
        <f>SUMIFS(Accounts!$AE:$AE,Accounts!$B:$B,"none",Accounts!$AS:$AS, "Communications, Entertainment and Media") + SUMIFS(Accounts!$AP:$AP,Accounts!$B:$B,"none",Accounts!$AS:$AS, "Communications, Entertainment and Media")</f>
        <v>0</v>
      </c>
      <c r="LJ2" s="55">
        <f>SUMIFS(Accounts!$Z:$Z,Accounts!$B:$B,"none",Accounts!$AS:$AS, "Communications, Entertainment and Media")</f>
        <v>0</v>
      </c>
      <c r="LK2" s="39">
        <f>SUMIFS(Accounts!$AG:$AG,Accounts!$B:$B,"none",Accounts!$AS:$AS, "Communications, Entertainment and Media") + SUMIFS(Accounts!$AL:$AL,Accounts!$B:$B,"none",Accounts!$AS:$AS, "Communications, Entertainment and Media")</f>
        <v>0</v>
      </c>
      <c r="LL2" s="55">
        <f>SUMIFS(Accounts!$AQ:$AQ,Accounts!$B:$B,"none",Accounts!$AS:$AS, "Communications, Entertainment and Media")</f>
        <v>0</v>
      </c>
      <c r="LM2" s="34" t="e">
        <f>((LM8+LM11)/((LM7*$C$2)+(0.5*LM10*$C$2)))*$C$2</f>
        <v>#VALUE!</v>
      </c>
      <c r="LN2" s="39">
        <f>COUNTIFS(Accounts!$AS:$AS, "IT and computer related",Accounts!$B:$B,"none")</f>
        <v>0</v>
      </c>
      <c r="LO2" s="33">
        <f>COUNTIFS(Accounts!$AS:$AS, "IT and computer related",Accounts!$B:$B,"Customer")</f>
        <v>0</v>
      </c>
      <c r="LP2" s="37">
        <f>SUMIFS(Accounts!$I:$I,Accounts!$AS:$AS, "IT and computer related")</f>
        <v>0</v>
      </c>
      <c r="LQ2" s="37">
        <f>SUMIFS(Accounts!$N:$N,Accounts!$AS:$AS, "IT and computer related")</f>
        <v>0</v>
      </c>
      <c r="LR2" s="37" t="e">
        <f>LP2/(LO2+LM10)</f>
        <v>#DIV/0!</v>
      </c>
      <c r="LS2" s="37" t="e">
        <f>(LP2+LQ2)/(LO2+LM10)</f>
        <v>#DIV/0!</v>
      </c>
      <c r="LT2" s="37" t="e">
        <f>LM6*LR2</f>
        <v>#VALUE!</v>
      </c>
      <c r="LU2" s="37">
        <f>IFERROR(AVERAGEIFS(Accounts!$AY:$AY,Accounts!$AS:$AS, "IT and computer related",Accounts!$B:$B,"Customer",Accounts!$AY:$AY,"&gt;0"),0)</f>
        <v>0</v>
      </c>
      <c r="LV2" s="33">
        <f>IFERROR(AVERAGEIFS(Accounts!$AX:$AX,Accounts!$AS:$AS, "IT and computer related",Accounts!$B:$B,"Customer",Accounts!$AX:$AX,"&gt;0"),0)</f>
        <v>0</v>
      </c>
      <c r="LW2" s="37">
        <f>IFERROR(AVERAGEIFS(Accounts!$AY:$AY,Accounts!$AS:$AS, "IT and computer related",Accounts!$B:$B,"none",Accounts!$AY:$AY,"&gt;0"),0)</f>
        <v>0</v>
      </c>
      <c r="LX2" s="33">
        <f>IFERROR(AVERAGEIFS(Accounts!$AX:$AX,Accounts!$AS:$AS, "IT and computer related",Accounts!$B:$B,"none",Accounts!$AX:$AX,"&gt;0"),0)</f>
        <v>0</v>
      </c>
      <c r="LY2" s="55">
        <f>SUMIFS(Accounts!$AA:$AA,Accounts!$B:$B,"Customer",Accounts!$AS:$AS, "IT and computer related") + SUMIFS(Accounts!$AH:$AH,Accounts!$B:$B,"Customer",Accounts!$AS:$AS, "IT and computer related") + SUMIFS(Accounts!$AJ:$AJ,Accounts!$B:$B,"Customer",Accounts!$AS:$AS, "IT and computer related") + SUMIFS(Accounts!$AI:$AI,Accounts!$B:$B,"Customer",Accounts!$AS:$AS, "IT and computer related") + SUMIFS(Accounts!$AO:$AO,Accounts!$B:$B,"Customer",Accounts!$AS:$AS, "IT and computer related")</f>
        <v>0</v>
      </c>
      <c r="LZ2" s="55">
        <f>(SUMIFS(Accounts!$AC:$AC,Accounts!$B:$B,"Customer",Accounts!$AS:$AS, "IT and computer related")+SUMIFS(Accounts!$AF:$AF,Accounts!$B:$B,"Customer",Accounts!$AS:$AS, "IT and computer related")+SUMIFS(Accounts!$AK:$AK,Accounts!$B:$B,"Customer",Accounts!$AS:$AS, "IT and computer related"))</f>
        <v>0</v>
      </c>
      <c r="MA2" s="55">
        <f>SUMIFS(Accounts!$AB:$AB,Accounts!$B:$B,"Customer",Accounts!$AS:$AS, "IT and computer related")</f>
        <v>0</v>
      </c>
      <c r="MB2" s="55">
        <f>SUMIFS(Accounts!$AD:$AD,Accounts!$B:$B,"Customer",Accounts!$AS:$AS, "IT and computer related")+SUMIFS(Accounts!$AM:$AM,Accounts!$B:$B,"Customer",Accounts!$AS:$AS, "IT and computer related")+SUMIFS(Accounts!$AN:$AN,Accounts!$B:$B,"Customer",Accounts!$AS:$AS, "IT and computer related")</f>
        <v>0</v>
      </c>
      <c r="MC2" s="55">
        <f>SUMIFS(Accounts!$AE:$AE,Accounts!$B:$B,"Customer",Accounts!$AS:$AS, "IT and computer related") + SUMIFS(Accounts!$AP:$AP,Accounts!$B:$B,"Customer",Accounts!$AS:$AS, "IT and computer related")</f>
        <v>0</v>
      </c>
      <c r="MD2" s="55">
        <f>SUMIFS(Accounts!$Z:$Z,Accounts!$B:$B,"Customer",Accounts!$AS:$AS, "IT and computer related")</f>
        <v>0</v>
      </c>
      <c r="ME2" s="55">
        <f>SUMIFS(Accounts!$AG:$AG,Accounts!$B:$B,"Customer",Accounts!$AS:$AS, "IT and computer related") + SUMIFS(Accounts!$AL:$AL,Accounts!$B:$B,"Customer",Accounts!$AS:$AS, "IT and computer related")</f>
        <v>0</v>
      </c>
      <c r="MF2" s="55">
        <f>SUMIFS(Accounts!$AQ:$AQ,Accounts!$B:$B,"Customer",Accounts!$AS:$AS, "IT and computer related")</f>
        <v>0</v>
      </c>
      <c r="MG2" s="55">
        <f>SUMIFS(Accounts!$AA:$AA,Accounts!$B:$B,"none",Accounts!$AS:$AS, "IT and computer related") + SUMIFS(Accounts!$AH:$AH,Accounts!$B:$B,"none",Accounts!$AS:$AS, "IT and computer related") + SUMIFS(Accounts!$AJ:$AJ,Accounts!$B:$B,"none",Accounts!$AS:$AS, "IT and computer related") + SUMIFS(Accounts!$AI:$AI,Accounts!$B:$B,"none",Accounts!$AS:$AS, "IT and computer related") + SUMIFS(Accounts!$AO:$AO,Accounts!$B:$B,"none",Accounts!$AS:$AS, "IT and computer related")</f>
        <v>0</v>
      </c>
      <c r="MH2" s="55">
        <f>(SUMIFS(Accounts!$AC:$AC,Accounts!$B:$B,"none",Accounts!$AS:$AS, "IT and computer related")+SUMIFS(Accounts!$AF:$AF,Accounts!$B:$B,"none",Accounts!$AS:$AS, "IT and computer related")+SUMIFS(Accounts!$AK:$AK,Accounts!$B:$B,"none",Accounts!$AS:$AS, "IT and computer related"))</f>
        <v>0</v>
      </c>
      <c r="MI2" s="55">
        <f>SUMIFS(Accounts!$AB:$AB,Accounts!$B:$B,"none",Accounts!$AS:$AS, "IT and computer related")</f>
        <v>0</v>
      </c>
      <c r="MJ2" s="55">
        <f>SUMIFS(Accounts!$AD:$AD,Accounts!$B:$B,"none",Accounts!$AS:$AS, "IT and computer related")+SUMIFS(Accounts!$AM:$AM,Accounts!$B:$B,"none",Accounts!$AS:$AS, "IT and computer related")+SUMIFS(Accounts!$AN:$AN,Accounts!$B:$B,"none",Accounts!$AS:$AS, "IT and computer related")</f>
        <v>0</v>
      </c>
      <c r="MK2" s="39">
        <f>SUMIFS(Accounts!$AE:$AE,Accounts!$B:$B,"none",Accounts!$AS:$AS, "IT and computer related") + SUMIFS(Accounts!$AP:$AP,Accounts!$B:$B,"none",Accounts!$AS:$AS, "IT and computer related")</f>
        <v>0</v>
      </c>
      <c r="ML2" s="55">
        <f>SUMIFS(Accounts!$Z:$Z,Accounts!$B:$B,"none",Accounts!$AS:$AS, "IT and computer related")</f>
        <v>0</v>
      </c>
      <c r="MM2" s="39">
        <f>SUMIFS(Accounts!$AG:$AG,Accounts!$B:$B,"none",Accounts!$AS:$AS, "IT and computer related") + SUMIFS(Accounts!$AL:$AL,Accounts!$B:$B,"none",Accounts!$AS:$AS, "IT and computer related")</f>
        <v>0</v>
      </c>
      <c r="MN2" s="55">
        <f>SUMIFS(Accounts!$AQ:$AQ,Accounts!$B:$B,"none",Accounts!$AS:$AS, "IT and computer related")</f>
        <v>0</v>
      </c>
      <c r="MO2" s="34" t="e">
        <f>((MO8+MO11)/((MO7*$C$2)+(0.5*MO10*$C$2)))*$C$2</f>
        <v>#VALUE!</v>
      </c>
      <c r="MP2" s="39">
        <f>COUNTIFS(Accounts!$AS:$AS, {"General service based","General"},Accounts!$B:$B,"none")</f>
        <v>0</v>
      </c>
      <c r="MQ2" s="33">
        <f>COUNTIFS(Accounts!$AS:$AS, {"General service based","General"},Accounts!$B:$B,"Customer")</f>
        <v>0</v>
      </c>
      <c r="MR2" s="37">
        <f>SUMIFS(Accounts!$I:$I,Accounts!$AS:$AS, {"General service based","General"})</f>
        <v>0</v>
      </c>
      <c r="MS2" s="37">
        <f>SUMIFS(Accounts!$N:$N,Accounts!$AS:$AS, {"General service based","General"})</f>
        <v>0</v>
      </c>
      <c r="MT2" s="37" t="e">
        <f>MR2/(MQ2+MO10)</f>
        <v>#DIV/0!</v>
      </c>
      <c r="MU2" s="37" t="e">
        <f>(MR2+MS2)/(MQ2+MO10)</f>
        <v>#DIV/0!</v>
      </c>
      <c r="MV2" s="37" t="e">
        <f>MO6*MT2</f>
        <v>#VALUE!</v>
      </c>
      <c r="MW2" s="37">
        <f>IFERROR(AVERAGEIFS(Accounts!$AY:$AY,Accounts!$AS:$AS, {"General service based","General"},Accounts!$B:$B,"Customer",Accounts!$AY:$AY,"&gt;0"),0)</f>
        <v>0</v>
      </c>
      <c r="MX2" s="33">
        <f>IFERROR(AVERAGEIFS(Accounts!$AX:$AX,Accounts!$AS:$AS, {"General service based","General"},Accounts!$B:$B,"Customer",Accounts!$AX:$AX,"&gt;0"),0)</f>
        <v>0</v>
      </c>
      <c r="MY2" s="37">
        <f>IFERROR(AVERAGEIFS(Accounts!$AY:$AY,Accounts!$AS:$AS, {"General service based","General"},Accounts!$B:$B,"none",Accounts!$AY:$AY,"&gt;0"),0)</f>
        <v>0</v>
      </c>
      <c r="MZ2" s="33">
        <f>IFERROR(AVERAGEIFS(Accounts!$AX:$AX,Accounts!$AS:$AS, {"General service based","General"},Accounts!$B:$B,"none",Accounts!$AX:$AX,"&gt;0"),0)</f>
        <v>0</v>
      </c>
      <c r="NA2" s="55">
        <f>SUMIFS(Accounts!$AA:$AA,Accounts!$B:$B,"Customer",Accounts!$AS:$AS, {"General service based","General"}) + SUMIFS(Accounts!$AH:$AH,Accounts!$B:$B,"Customer",Accounts!$AS:$AS, {"General service based","General"}) + SUMIFS(Accounts!$AJ:$AJ,Accounts!$B:$B,"Customer",Accounts!$AS:$AS, {"General service based","General"}) + SUMIFS(Accounts!$AI:$AI,Accounts!$B:$B,"Customer",Accounts!$AS:$AS, {"General service based","General"}) + SUMIFS(Accounts!$AO:$AO,Accounts!$B:$B,"Customer",Accounts!$AS:$AS, {"General service based","General"})</f>
        <v>0</v>
      </c>
      <c r="NB2" s="55">
        <f>(SUMIFS(Accounts!$AC:$AC,Accounts!$B:$B,"Customer",Accounts!$AS:$AS, {"General service based","General"})+SUMIFS(Accounts!$AF:$AF,Accounts!$B:$B,"Customer",Accounts!$AS:$AS, {"General service based","General"})+SUMIFS(Accounts!$AK:$AK,Accounts!$B:$B,"Customer",Accounts!$AS:$AS, {"General service based","General"}))</f>
        <v>0</v>
      </c>
      <c r="NC2" s="55">
        <f>SUMIFS(Accounts!$AB:$AB,Accounts!$B:$B,"Customer",Accounts!$AS:$AS, {"General service based","General"})</f>
        <v>0</v>
      </c>
      <c r="ND2" s="55">
        <f>SUMIFS(Accounts!$AD:$AD,Accounts!$B:$B,"Customer",Accounts!$AS:$AS, {"General service based","General"})+SUMIFS(Accounts!$AM:$AM,Accounts!$B:$B,"Customer",Accounts!$AS:$AS, {"General service based","General"})+SUMIFS(Accounts!$AN:$AN,Accounts!$B:$B,"Customer",Accounts!$AS:$AS, {"General service based","General"})</f>
        <v>0</v>
      </c>
      <c r="NE2" s="55">
        <f>SUMIFS(Accounts!$AE:$AE,Accounts!$B:$B,"Customer",Accounts!$AS:$AS, {"General service based","General"}) + SUMIFS(Accounts!$AP:$AP,Accounts!$B:$B,"Customer",Accounts!$AS:$AS, {"General service based","General"})</f>
        <v>0</v>
      </c>
      <c r="NF2" s="55">
        <f>SUMIFS(Accounts!$Z:$Z,Accounts!$B:$B,"Customer",Accounts!$AS:$AS, {"General service based","General"})</f>
        <v>0</v>
      </c>
      <c r="NG2" s="55">
        <f>SUMIFS(Accounts!$AG:$AG,Accounts!$B:$B,"Customer",Accounts!$AS:$AS, {"General service based","General"}) + SUMIFS(Accounts!$AL:$AL,Accounts!$B:$B,"Customer",Accounts!$AS:$AS, {"General service based","General"})</f>
        <v>0</v>
      </c>
      <c r="NH2" s="55">
        <f>SUMIFS(Accounts!$AQ:$AQ,Accounts!$B:$B,"Customer",Accounts!$AS:$AS, {"General service based","General"})</f>
        <v>0</v>
      </c>
      <c r="NI2" s="55">
        <f>SUMIFS(Accounts!$AA:$AA,Accounts!$B:$B,"none",Accounts!$AS:$AS, {"General service based","General"}) + SUMIFS(Accounts!$AH:$AH,Accounts!$B:$B,"none",Accounts!$AS:$AS, {"General service based","General"}) + SUMIFS(Accounts!$AJ:$AJ,Accounts!$B:$B,"none",Accounts!$AS:$AS, {"General service based","General"}) + SUMIFS(Accounts!$AI:$AI,Accounts!$B:$B,"none",Accounts!$AS:$AS, {"General service based","General"}) + SUMIFS(Accounts!$AO:$AO,Accounts!$B:$B,"none",Accounts!$AS:$AS, {"General service based","General"})</f>
        <v>0</v>
      </c>
      <c r="NJ2" s="55">
        <f>(SUMIFS(Accounts!$AC:$AC,Accounts!$B:$B,"none",Accounts!$AS:$AS, {"General service based","General"})+SUMIFS(Accounts!$AF:$AF,Accounts!$B:$B,"none",Accounts!$AS:$AS, {"General service based","General"})+SUMIFS(Accounts!$AK:$AK,Accounts!$B:$B,"none",Accounts!$AS:$AS, {"General service based","General"}))</f>
        <v>0</v>
      </c>
      <c r="NK2" s="55">
        <f>SUMIFS(Accounts!$AB:$AB,Accounts!$B:$B,"none",Accounts!$AS:$AS, {"General service based","General"})</f>
        <v>0</v>
      </c>
      <c r="NL2" s="55">
        <f>SUMIFS(Accounts!$AD:$AD,Accounts!$B:$B,"none",Accounts!$AS:$AS, {"General service based","General"})+SUMIFS(Accounts!$AM:$AM,Accounts!$B:$B,"none",Accounts!$AS:$AS, {"General service based","General"})+SUMIFS(Accounts!$AN:$AN,Accounts!$B:$B,"none",Accounts!$AS:$AS, {"General service based","General"})</f>
        <v>0</v>
      </c>
      <c r="NM2" s="39">
        <f>SUMIFS(Accounts!$AE:$AE,Accounts!$B:$B,"none",Accounts!$AS:$AS, {"General service based","General"}) + SUMIFS(Accounts!$AP:$AP,Accounts!$B:$B,"none",Accounts!$AS:$AS, {"General service based","General"})</f>
        <v>0</v>
      </c>
      <c r="NN2" s="55">
        <f>SUMIFS(Accounts!$Z:$Z,Accounts!$B:$B,"none",Accounts!$AS:$AS, {"General service based","General"})</f>
        <v>0</v>
      </c>
      <c r="NO2" s="39">
        <f>SUMIFS(Accounts!$AG:$AG,Accounts!$B:$B,"none",Accounts!$AS:$AS, {"General service based","General"}) + SUMIFS(Accounts!$AL:$AL,Accounts!$B:$B,"none",Accounts!$AS:$AS, {"General service based","General"})</f>
        <v>0</v>
      </c>
      <c r="NP2" s="55">
        <f>SUMIFS(Accounts!$AQ:$AQ,Accounts!$B:$B,"none",Accounts!$AS:$AS, {"General service based","General"})</f>
        <v>0</v>
      </c>
      <c r="NQ2" s="34" t="e">
        <f>((NQ8+NQ11)/((NQ7*$C$2)+(0.5*NQ10*$C$2)))*$C$2</f>
        <v>#VALUE!</v>
      </c>
      <c r="NR2" s="39">
        <f>COUNTIFS(Accounts!$AS:$AS, "Other",Accounts!$B:$B,"none")</f>
        <v>0</v>
      </c>
      <c r="NS2" s="33">
        <f>COUNTIFS(Accounts!$AS:$AS, "Other",Accounts!$B:$B,"Customer")</f>
        <v>0</v>
      </c>
      <c r="NT2" s="37">
        <f>SUMIFS(Accounts!$I:$I,Accounts!$AS:$AS, "Other")</f>
        <v>0</v>
      </c>
      <c r="NU2" s="37">
        <f>SUMIFS(Accounts!$N:$N,Accounts!$AS:$AS, "Other")</f>
        <v>0</v>
      </c>
      <c r="NV2" s="37" t="e">
        <f>NT2/(NS2+NQ10)</f>
        <v>#DIV/0!</v>
      </c>
      <c r="NW2" s="37" t="e">
        <f>(NT2+NU2)/(NS2+NQ10)</f>
        <v>#DIV/0!</v>
      </c>
      <c r="NX2" s="37" t="e">
        <f>NQ6*NV2</f>
        <v>#VALUE!</v>
      </c>
      <c r="NY2" s="37">
        <f>IFERROR(AVERAGEIFS(Accounts!$AY:$AY,Accounts!$AS:$AS, "Other",Accounts!$B:$B,"Customer",Accounts!$AY:$AY,"&gt;0"),0)</f>
        <v>0</v>
      </c>
      <c r="NZ2" s="33">
        <f>IFERROR(AVERAGEIFS(Accounts!$AX:$AX,Accounts!$AS:$AS, "Other",Accounts!$B:$B,"Customer",Accounts!$AX:$AX,"&gt;0"),0)</f>
        <v>0</v>
      </c>
      <c r="OA2" s="37">
        <f>IFERROR(AVERAGEIFS(Accounts!$AY:$AY,Accounts!$AS:$AS, "Other",Accounts!$B:$B,"none",Accounts!$AY:$AY,"&gt;0"),0)</f>
        <v>0</v>
      </c>
      <c r="OB2" s="33">
        <f>IFERROR(AVERAGEIFS(Accounts!$AX:$AX,Accounts!$AS:$AS, "Other",Accounts!$B:$B,"none",Accounts!$AX:$AX,"&gt;0"),0)</f>
        <v>0</v>
      </c>
      <c r="OC2" s="55">
        <f>SUMIFS(Accounts!$AA:$AA,Accounts!$B:$B,"Customer",Accounts!$AS:$AS, "Other") + SUMIFS(Accounts!$AH:$AH,Accounts!$B:$B,"Customer",Accounts!$AS:$AS, "Other") + SUMIFS(Accounts!$AJ:$AJ,Accounts!$B:$B,"Customer",Accounts!$AS:$AS, "Other") + SUMIFS(Accounts!$AI:$AI,Accounts!$B:$B,"Customer",Accounts!$AS:$AS, "Other") + SUMIFS(Accounts!$AO:$AO,Accounts!$B:$B,"Customer",Accounts!$AS:$AS, "Other")</f>
        <v>0</v>
      </c>
      <c r="OD2" s="55">
        <f>(SUMIFS(Accounts!$AC:$AC,Accounts!$B:$B,"Customer",Accounts!$AS:$AS, "Other")+SUMIFS(Accounts!$AF:$AF,Accounts!$B:$B,"Customer",Accounts!$AS:$AS, "Other")+SUMIFS(Accounts!$AK:$AK,Accounts!$B:$B,"Customer",Accounts!$AS:$AS, "Other"))</f>
        <v>0</v>
      </c>
      <c r="OE2" s="55">
        <f>SUMIFS(Accounts!$AB:$AB,Accounts!$B:$B,"Customer",Accounts!$AS:$AS, "Other")</f>
        <v>0</v>
      </c>
      <c r="OF2" s="55">
        <f>SUMIFS(Accounts!$AD:$AD,Accounts!$B:$B,"Customer",Accounts!$AS:$AS, "Other")+SUMIFS(Accounts!$AM:$AM,Accounts!$B:$B,"Customer",Accounts!$AS:$AS, "Other")+SUMIFS(Accounts!$AN:$AN,Accounts!$B:$B,"Customer",Accounts!$AS:$AS, "Other")</f>
        <v>0</v>
      </c>
      <c r="OG2" s="55">
        <f>SUMIFS(Accounts!$AE:$AE,Accounts!$B:$B,"Customer",Accounts!$AS:$AS, "Other") + SUMIFS(Accounts!$AP:$AP,Accounts!$B:$B,"Customer",Accounts!$AS:$AS, "Other")</f>
        <v>0</v>
      </c>
      <c r="OH2" s="55">
        <f>SUMIFS(Accounts!$Z:$Z,Accounts!$B:$B,"Customer",Accounts!$AS:$AS, "Other")</f>
        <v>0</v>
      </c>
      <c r="OI2" s="55">
        <f>SUMIFS(Accounts!$AG:$AG,Accounts!$B:$B,"Customer",Accounts!$AS:$AS, "Other") + SUMIFS(Accounts!$AL:$AL,Accounts!$B:$B,"Customer",Accounts!$AS:$AS, "Other")</f>
        <v>0</v>
      </c>
      <c r="OJ2" s="55">
        <f>SUMIFS(Accounts!$AQ:$AQ,Accounts!$B:$B,"Customer",Accounts!$AS:$AS, "Other")</f>
        <v>0</v>
      </c>
      <c r="OK2" s="55">
        <f>SUMIFS(Accounts!$AA:$AA,Accounts!$B:$B,"none",Accounts!$AS:$AS, "Other") + SUMIFS(Accounts!$AH:$AH,Accounts!$B:$B,"none",Accounts!$AS:$AS, "Other") + SUMIFS(Accounts!$AJ:$AJ,Accounts!$B:$B,"none",Accounts!$AS:$AS, "Other") + SUMIFS(Accounts!$AI:$AI,Accounts!$B:$B,"none",Accounts!$AS:$AS, "Other") + SUMIFS(Accounts!$AO:$AO,Accounts!$B:$B,"none",Accounts!$AS:$AS, "Other")</f>
        <v>0</v>
      </c>
      <c r="OL2" s="55">
        <f>(SUMIFS(Accounts!$AC:$AC,Accounts!$B:$B,"none",Accounts!$AS:$AS, "Other")+SUMIFS(Accounts!$AF:$AF,Accounts!$B:$B,"none",Accounts!$AS:$AS, "Other")+SUMIFS(Accounts!$AK:$AK,Accounts!$B:$B,"none",Accounts!$AS:$AS, "Other"))</f>
        <v>0</v>
      </c>
      <c r="OM2" s="55">
        <f>SUMIFS(Accounts!$AB:$AB,Accounts!$B:$B,"none",Accounts!$AS:$AS, "Other")</f>
        <v>0</v>
      </c>
      <c r="ON2" s="55">
        <f>SUMIFS(Accounts!$AD:$AD,Accounts!$B:$B,"none",Accounts!$AS:$AS, "Other")+SUMIFS(Accounts!$AM:$AM,Accounts!$B:$B,"none",Accounts!$AS:$AS, "Other")+SUMIFS(Accounts!$AN:$AN,Accounts!$B:$B,"none",Accounts!$AS:$AS, "Other")</f>
        <v>0</v>
      </c>
      <c r="OO2" s="39">
        <f>SUMIFS(Accounts!$AE:$AE,Accounts!$B:$B,"none",Accounts!$AS:$AS, "Other") + SUMIFS(Accounts!$AP:$AP,Accounts!$B:$B,"none",Accounts!$AS:$AS, "Other")</f>
        <v>0</v>
      </c>
      <c r="OP2" s="55">
        <f>SUMIFS(Accounts!$Z:$Z,Accounts!$B:$B,"none",Accounts!$AS:$AS, "Other")</f>
        <v>0</v>
      </c>
      <c r="OQ2" s="39">
        <f>SUMIFS(Accounts!$AG:$AG,Accounts!$B:$B,"none",Accounts!$AS:$AS, "Other") + SUMIFS(Accounts!$AL:$AL,Accounts!$B:$B,"none",Accounts!$AS:$AS, "Other")</f>
        <v>0</v>
      </c>
      <c r="OR2" s="55">
        <f>SUMIFS(Accounts!$AQ:$AQ,Accounts!$B:$B,"none",Accounts!$AS:$AS, "Other")</f>
        <v>0</v>
      </c>
      <c r="OS2" s="34" t="e">
        <f>((OS8+OS11)/((OS7*$C$2)+(0.5*OS10*$C$2)))*$C$2</f>
        <v>#VALUE!</v>
      </c>
      <c r="OT2" s="39">
        <f>COUNTIFS(Accounts!$AS:$AS, "Accounting and Bookkeeping",Accounts!$B:$B,"none")</f>
        <v>0</v>
      </c>
      <c r="OU2" s="33">
        <f>COUNTIFS(Accounts!$AS:$AS, "Accounting and Bookkeeping",Accounts!$B:$B,"Customer")</f>
        <v>1</v>
      </c>
      <c r="OV2" s="37">
        <f>SUMIFS(Accounts!$I:$I,Accounts!$AS:$AS, "Accounting and Bookkeeping")</f>
        <v>0</v>
      </c>
      <c r="OW2" s="37">
        <f>SUMIFS(Accounts!$N:$N,Accounts!$AS:$AS, "Accounting and Bookkeeping")</f>
        <v>0</v>
      </c>
      <c r="OX2" s="37">
        <f>OV2/(OU2+OS10)</f>
        <v>0</v>
      </c>
      <c r="OY2" s="37">
        <f>(OV2+OW2)/(OU2+OS10)</f>
        <v>0</v>
      </c>
      <c r="OZ2" s="37" t="e">
        <f>OS6*OX2</f>
        <v>#VALUE!</v>
      </c>
      <c r="PA2" s="37">
        <f>IFERROR(AVERAGEIFS(Accounts!$AY:$AY,Accounts!$AS:$AS, "Accounting and Bookkeeping",Accounts!$B:$B,"Customer",Accounts!$AY:$AY,"&gt;0"),0)</f>
        <v>0</v>
      </c>
      <c r="PB2" s="33">
        <f>IFERROR(AVERAGEIFS(Accounts!$AX:$AX,Accounts!$AS:$AS, "Accounting and Bookkeeping",Accounts!$B:$B,"Customer",Accounts!$AX:$AX,"&gt;0"),0)</f>
        <v>0</v>
      </c>
      <c r="PC2" s="37">
        <f>IFERROR(AVERAGEIFS(Accounts!$AY:$AY,Accounts!$AS:$AS, "Accounting and Bookkeeping",Accounts!$B:$B,"none",Accounts!$AY:$AY,"&gt;0"),0)</f>
        <v>0</v>
      </c>
      <c r="PD2" s="33">
        <f>IFERROR(AVERAGEIFS(Accounts!$AX:$AX,Accounts!$AS:$AS, "Accounting and Bookkeeping",Accounts!$B:$B,"none",Accounts!$AX:$AX,"&gt;0"),0)</f>
        <v>0</v>
      </c>
      <c r="PE2" s="55">
        <f>SUMIFS(Accounts!$AA:$AA,Accounts!$B:$B,"Customer",Accounts!$AS:$AS, "Accounting and Bookkeeping") + SUMIFS(Accounts!$AH:$AH,Accounts!$B:$B,"Customer",Accounts!$AS:$AS, "Accounting and Bookkeeping") + SUMIFS(Accounts!$AJ:$AJ,Accounts!$B:$B,"Customer",Accounts!$AS:$AS, "Accounting and Bookkeeping") + SUMIFS(Accounts!$AI:$AI,Accounts!$B:$B,"Customer",Accounts!$AS:$AS, "Accounting and Bookkeeping") + SUMIFS(Accounts!$AO:$AO,Accounts!$B:$B,"Customer",Accounts!$AS:$AS, "Accounting and Bookkeeping")</f>
        <v>0</v>
      </c>
      <c r="PF2" s="55">
        <f>(SUMIFS(Accounts!$AC:$AC,Accounts!$B:$B,"Customer",Accounts!$AS:$AS, "Accounting and Bookkeeping")+SUMIFS(Accounts!$AF:$AF,Accounts!$B:$B,"Customer",Accounts!$AS:$AS, "Accounting and Bookkeeping")+SUMIFS(Accounts!$AK:$AK,Accounts!$B:$B,"Customer",Accounts!$AS:$AS, "Accounting and Bookkeeping"))</f>
        <v>0</v>
      </c>
      <c r="PG2" s="55">
        <f>SUMIFS(Accounts!$AB:$AB,Accounts!$B:$B,"Customer",Accounts!$AS:$AS, "Accounting and Bookkeeping")</f>
        <v>0</v>
      </c>
      <c r="PH2" s="55">
        <f>SUMIFS(Accounts!$AD:$AD,Accounts!$B:$B,"Customer",Accounts!$AS:$AS, "Accounting and Bookkeeping")+SUMIFS(Accounts!$AM:$AM,Accounts!$B:$B,"Customer",Accounts!$AS:$AS, "Accounting and Bookkeeping")+SUMIFS(Accounts!$AN:$AN,Accounts!$B:$B,"Customer",Accounts!$AS:$AS, "Accounting and Bookkeeping")</f>
        <v>0</v>
      </c>
      <c r="PI2" s="55">
        <f>SUMIFS(Accounts!$AE:$AE,Accounts!$B:$B,"Customer",Accounts!$AS:$AS, "Accounting and Bookkeeping") + SUMIFS(Accounts!$AP:$AP,Accounts!$B:$B,"Customer",Accounts!$AS:$AS, "Accounting and Bookkeeping")</f>
        <v>0</v>
      </c>
      <c r="PJ2" s="55">
        <f>SUMIFS(Accounts!$Z:$Z,Accounts!$B:$B,"Customer",Accounts!$AS:$AS, "Accounting and Bookkeeping")</f>
        <v>0</v>
      </c>
      <c r="PK2" s="55">
        <f>SUMIFS(Accounts!$AG:$AG,Accounts!$B:$B,"Customer",Accounts!$AS:$AS, "Accounting and Bookkeeping") + SUMIFS(Accounts!$AL:$AL,Accounts!$B:$B,"Customer",Accounts!$AS:$AS, "Accounting and Bookkeeping")</f>
        <v>0</v>
      </c>
      <c r="PL2" s="55">
        <f>SUMIFS(Accounts!$AQ:$AQ,Accounts!$B:$B,"Customer",Accounts!$AS:$AS, "Accounting and Bookkeeping")</f>
        <v>1</v>
      </c>
      <c r="PM2" s="55">
        <f>SUMIFS(Accounts!$AA:$AA,Accounts!$B:$B,"none",Accounts!$AS:$AS, "Accounting and Bookkeeping") + SUMIFS(Accounts!$AH:$AH,Accounts!$B:$B,"none",Accounts!$AS:$AS, "Accounting and Bookkeeping") + SUMIFS(Accounts!$AJ:$AJ,Accounts!$B:$B,"none",Accounts!$AS:$AS, "Accounting and Bookkeeping") + SUMIFS(Accounts!$AI:$AI,Accounts!$B:$B,"none",Accounts!$AS:$AS, "Accounting and Bookkeeping") + SUMIFS(Accounts!$AO:$AO,Accounts!$B:$B,"none",Accounts!$AS:$AS, "Accounting and Bookkeeping")</f>
        <v>0</v>
      </c>
      <c r="PN2" s="55">
        <f>(SUMIFS(Accounts!$AC:$AC,Accounts!$B:$B,"none",Accounts!$AS:$AS, "Accounting and Bookkeeping")+SUMIFS(Accounts!$AF:$AF,Accounts!$B:$B,"none",Accounts!$AS:$AS, "Accounting and Bookkeeping")+SUMIFS(Accounts!$AK:$AK,Accounts!$B:$B,"none",Accounts!$AS:$AS, "Accounting and Bookkeeping"))</f>
        <v>0</v>
      </c>
      <c r="PO2" s="55">
        <f>SUMIFS(Accounts!$AB:$AB,Accounts!$B:$B,"none",Accounts!$AS:$AS, "Accounting and Bookkeeping")</f>
        <v>0</v>
      </c>
      <c r="PP2" s="55">
        <f>SUMIFS(Accounts!$AD:$AD,Accounts!$B:$B,"none",Accounts!$AS:$AS, "Accounting and Bookkeeping")+SUMIFS(Accounts!$AM:$AM,Accounts!$B:$B,"none",Accounts!$AS:$AS, "Accounting and Bookkeeping")+SUMIFS(Accounts!$AN:$AN,Accounts!$B:$B,"none",Accounts!$AS:$AS, "Accounting and Bookkeeping")</f>
        <v>0</v>
      </c>
      <c r="PQ2" s="39">
        <f>SUMIFS(Accounts!$AE:$AE,Accounts!$B:$B,"none",Accounts!$AS:$AS, "Accounting and Bookkeeping") + SUMIFS(Accounts!$AP:$AP,Accounts!$B:$B,"none",Accounts!$AS:$AS, "Accounting and Bookkeeping")</f>
        <v>0</v>
      </c>
      <c r="PR2" s="55">
        <f>SUMIFS(Accounts!$Z:$Z,Accounts!$B:$B,"none",Accounts!$AS:$AS, "Accounting and Bookkeeping")</f>
        <v>0</v>
      </c>
      <c r="PS2" s="39">
        <f>SUMIFS(Accounts!$AG:$AG,Accounts!$B:$B,"none",Accounts!$AS:$AS, "Accounting and Bookkeeping") + SUMIFS(Accounts!$AL:$AL,Accounts!$B:$B,"none",Accounts!$AS:$AS, "Accounting and Bookkeeping")</f>
        <v>0</v>
      </c>
      <c r="PT2" s="55">
        <f>SUMIFS(Accounts!$AQ:$AQ,Accounts!$B:$B,"none",Accounts!$AS:$AS, "Accounting and Bookkeeping")</f>
        <v>0</v>
      </c>
    </row>
    <row r="3" spans="1:436" s="31" customFormat="1" ht="16" x14ac:dyDescent="0.2">
      <c r="A3" s="31" t="s">
        <v>70</v>
      </c>
      <c r="B3" s="32" t="str">
        <f>Accounts!$BD$2</f>
        <v>2020-Apr-01 04:00</v>
      </c>
      <c r="C3" s="33" t="e">
        <f>DAY(EOMONTH(B3,0))</f>
        <v>#VALUE!</v>
      </c>
      <c r="D3" s="33">
        <f>COUNTIFS(Accounts!$B:$B,"none",Accounts!$E:$E,"QBO",Accounts!$BF:$BF,"FALSE")</f>
        <v>0</v>
      </c>
      <c r="E3" s="33">
        <f>COUNTIFS(Accounts!$B:$B,"Customer",Accounts!$E:$E,"QBO")</f>
        <v>0</v>
      </c>
      <c r="F3" s="33">
        <f>COUNTIFS(Accounts!$C:$C,"Customer",Accounts!$E:$E,"QBO")</f>
        <v>0</v>
      </c>
      <c r="G3" s="33">
        <f>COUNTIFS(Accounts!$B:$B,"Customer",Accounts!$C:$C,"Lost",Accounts!$E:$E,"QBO")</f>
        <v>0</v>
      </c>
      <c r="H3" s="33">
        <f>COUNTIFS(Accounts!$B:$B,"none",Accounts!$C:$C,"Customer",Accounts!$E:$E,"QBO")</f>
        <v>0</v>
      </c>
      <c r="I3" s="34" t="e">
        <f>H3/D3</f>
        <v>#DIV/0!</v>
      </c>
      <c r="J3" s="59">
        <f>COUNTIFS(Accounts!$T:$T,"&gt;="&amp;DATE($C$10,$C$11,1),Accounts!$T:$T,"&lt;"&amp;DATE($C$7,$C$8,1),Accounts!$B:$B,"Trialer",Accounts!$C:$C,"Customer",Accounts!$E:$E,"QBO")</f>
        <v>0</v>
      </c>
      <c r="K3" s="59">
        <f>COUNTIFS(Accounts!$T:$T,"&gt;="&amp;DATE($C$13,$C$14,1),Accounts!$T:$T,"&lt;"&amp;DATE($C$10,$C$11,1),Accounts!$B:$B,"Trialer",Accounts!$C:$C,"Customer",Accounts!$E:$E,"QBO")</f>
        <v>0</v>
      </c>
      <c r="L3" s="59">
        <f>COUNTIFS(Accounts!$T:$T,"&gt;="&amp;DATE($C$16,$C$17,1),Accounts!$T:$T,"&lt;"&amp;DATE($C$13,$C$14,1),Accounts!$B:$B,"Trialer",Accounts!$C:$C,"Customer",Accounts!$E:$E,"QBO")</f>
        <v>0</v>
      </c>
      <c r="M3" s="33">
        <f>SUM(COUNTIFS(Accounts!$B:$B,{"Trialer","none"},Accounts!$C:$C,"Customer",Accounts!$E:$E,"QBO"))</f>
        <v>0</v>
      </c>
      <c r="N3" s="34" t="e">
        <f>$M$3/$D$3</f>
        <v>#DIV/0!</v>
      </c>
      <c r="O3" s="37" t="e">
        <f>P3/(COUNTIFS(Accounts!$W:$W,1,Accounts!$E:$E,"QBO"))</f>
        <v>#DIV/0!</v>
      </c>
      <c r="P3" s="37">
        <f>SUMIFS(Accounts!$I:$I,Accounts!$W:$W,1,Accounts!$E:$E,"QBO")</f>
        <v>0</v>
      </c>
      <c r="Q3" s="37">
        <f>SUMIFS(Accounts!$I:$I,Accounts!$E:$E,"QBO")</f>
        <v>0</v>
      </c>
      <c r="R3" s="37">
        <f>SUMIFS(Accounts!$N:$N,Accounts!$E:$E,"QBO")</f>
        <v>0</v>
      </c>
      <c r="S3" s="37" t="e">
        <f>($Q$3+R3)/($BC$16+$BC19)</f>
        <v>#DIV/0!</v>
      </c>
      <c r="T3" s="37" t="e">
        <f>$Q$3/($BC$16+$BC19)</f>
        <v>#DIV/0!</v>
      </c>
      <c r="U3" s="61">
        <f>SUMIFS(Accounts!$AA:$AA,Accounts!$B:$B,"none",Accounts!$C:$C,"Customer",Accounts!$E:$E,"QBO") + SUMIFS(Accounts!$AH:$AH,Accounts!$B:$B,"none",Accounts!$C:$C,"Customer",Accounts!$E:$E,"QBO") + SUMIFS(Accounts!$AJ:$AJ,Accounts!$B:$B,"none",Accounts!$C:$C,"Customer",Accounts!$E:$E,"QBO") + SUMIFS(Accounts!$AI:$AI,Accounts!$B:$B,"none",Accounts!$C:$C,"Customer",Accounts!$E:$E,"QBO") + SUMIFS(Accounts!$AO:$AO,Accounts!$B:$B,"none",Accounts!$C:$C,"Customer",Accounts!$E:$E,"QBO")</f>
        <v>0</v>
      </c>
      <c r="V3" s="61">
        <f>SUMIFS(Accounts!$AC:$AC,Accounts!$B:$B,"none",Accounts!$C:$C,"Customer",Accounts!$E:$E,"QBO")+SUMIFS(Accounts!$AF:$AF,Accounts!$B:$B,"none",Accounts!$C:$C,"Customer",Accounts!$E:$E,"QBO")+SUMIFS(Accounts!$AK:$AK,Accounts!$B:$B,"none",Accounts!$C:$C,"Customer",Accounts!$E:$E,"QBO")</f>
        <v>0</v>
      </c>
      <c r="W3" s="61">
        <f>SUMIFS(Accounts!$AB:$AB,Accounts!$B:$B,"none",Accounts!$C:$C,"Customer",Accounts!$E:$E,"QBO")</f>
        <v>0</v>
      </c>
      <c r="X3" s="61">
        <f>SUMIFS(Accounts!$AD:$AD,Accounts!$B:$B,"none",Accounts!$C:$C,"Customer",Accounts!$E:$E,"QBO")+SUMIFS(Accounts!$AM:$AM,Accounts!$B:$B,"none",Accounts!$C:$C,"Customer",Accounts!$E:$E,"QBO")+SUMIFS(Accounts!$AN:$AN,Accounts!$B:$B,"none",Accounts!$C:$C,"Customer",Accounts!$E:$E,"QBO")</f>
        <v>0</v>
      </c>
      <c r="Y3" s="33">
        <f>SUM(Z3:AB3)</f>
        <v>0</v>
      </c>
      <c r="Z3" s="61">
        <f>SUMIFS(Accounts!$AE:$AE,Accounts!$B:$B,"none",Accounts!$C:$C,"Customer",Accounts!$E:$E,"QBO") + SUMIFS(Accounts!$AP:$AP,Accounts!$B:$B,"none",Accounts!$C:$C,"Customer",Accounts!$E:$E,"QBO")</f>
        <v>0</v>
      </c>
      <c r="AA3" s="61">
        <f>SUMIFS(Accounts!$Z:$Z,Accounts!$B:$B,"none",Accounts!$C:$C,"Customer",Accounts!$E:$E,"QBO")</f>
        <v>0</v>
      </c>
      <c r="AB3" s="61">
        <f>SUMIFS(Accounts!$AG:$AG,Accounts!$B:$B,"none",Accounts!$C:$C,"Customer",Accounts!$E:$E,"QBO") + SUMIFS(Accounts!$AL:$AL,Accounts!$B:$B,"none",Accounts!$C:$C,"Customer",Accounts!$E:$E,"QBO")</f>
        <v>0</v>
      </c>
      <c r="AC3" s="61">
        <f>SUMIFS(Accounts!$AQ:$AQ,Accounts!$B:$B,"none",Accounts!$C:$C,"Customer",Accounts!$E:$E,"QBO")</f>
        <v>0</v>
      </c>
      <c r="AD3" s="61">
        <f>SUMIFS(Accounts!$AA:$AA,Accounts!$T:$T,"&gt;="&amp;DATE($C$10,$C$11,1),Accounts!$T:$T,"&lt;"&amp;DATE($C$7,$C$8,1),Accounts!$B:$B,"Trialer",Accounts!$C:$C,"Customer",Accounts!$E:$E,"QBO") + SUMIFS(Accounts!$AH:$AH,Accounts!$T:$T,"&gt;="&amp;DATE($C$10,$C$11,1),Accounts!$T:$T,"&lt;"&amp;DATE($C$7,$C$8,1),Accounts!$B:$B,"Trialer",Accounts!$C:$C,"Customer",Accounts!$E:$E,"QBO") + SUMIFS(Accounts!$AJ:$AJ,Accounts!$T:$T,"&gt;="&amp;DATE($C$10,$C$11,1),Accounts!$T:$T,"&lt;"&amp;DATE($C$7,$C$8,1),Accounts!$B:$B,"Trialer",Accounts!$C:$C,"Customer",Accounts!$E:$E,"QBO") + SUMIFS(Accounts!$AI:$AI,Accounts!$T:$T,"&gt;="&amp;DATE($C$10,$C$11,1),Accounts!$T:$T,"&lt;"&amp;DATE($C$7,$C$8,1),Accounts!$B:$B,"Trialer",Accounts!$C:$C,"Customer",Accounts!$E:$E,"QBO") + SUMIFS(Accounts!$AO:$AO,Accounts!$T:$T,"&gt;="&amp;DATE($C$10,$C$11,1),Accounts!$T:$T,"&lt;"&amp;DATE($C$7,$C$8,1),Accounts!$B:$B,"Trialer",Accounts!$C:$C,"Customer",Accounts!$E:$E,"QBO")</f>
        <v>0</v>
      </c>
      <c r="AE3" s="61">
        <f>SUMIFS(Accounts!$AC:$AC,Accounts!$T:$T,"&gt;="&amp;DATE($C$10,$C$11,1),Accounts!$T:$T,"&lt;"&amp;DATE($C$7,$C$8,1),Accounts!$B:$B,"Trialer",Accounts!$C:$C,"Customer",Accounts!$E:$E,"QBO")+SUMIFS(Accounts!$AF:$AF,Accounts!$T:$T,"&gt;="&amp;DATE($C$10,$C$11,1),Accounts!$T:$T,"&lt;"&amp;DATE($C$7,$C$8,1),Accounts!$B:$B,"Trialer",Accounts!$C:$C,"Customer",Accounts!$E:$E,"QBO")+SUMIFS(Accounts!$AK:$AK,Accounts!$T:$T,"&gt;="&amp;DATE($C$10,$C$11,1),Accounts!$T:$T,"&lt;"&amp;DATE($C$7,$C$8,1),Accounts!$B:$B,"Trialer",Accounts!$C:$C,"Customer",Accounts!$E:$E,"QBO")</f>
        <v>0</v>
      </c>
      <c r="AF3" s="61">
        <f>SUMIFS(Accounts!$AB:$AB,Accounts!$T:$T,"&gt;="&amp;DATE($C$10,$C$11,1),Accounts!$T:$T,"&lt;"&amp;DATE($C$7,$C$8,1),Accounts!$B:$B,"Trialer",Accounts!$C:$C,"Customer",Accounts!$E:$E,"QBO")</f>
        <v>0</v>
      </c>
      <c r="AG3" s="61">
        <f>SUMIFS(Accounts!$AD:$AD,Accounts!$T:$T,"&gt;="&amp;DATE($C$10,$C$11,1),Accounts!$T:$T,"&lt;"&amp;DATE($C$7,$C$8,1),Accounts!$B:$B,"Trialer",Accounts!$C:$C,"Customer",Accounts!$E:$E,"QBO")+SUMIFS(Accounts!$AM:$AM,Accounts!$T:$T,"&gt;="&amp;DATE($C$10,$C$11,1),Accounts!$T:$T,"&lt;"&amp;DATE($C$7,$C$8,1),Accounts!$B:$B,"Trialer",Accounts!$C:$C,"Customer",Accounts!$E:$E,"QBO")+SUMIFS(Accounts!$AN:$AN,Accounts!$T:$T,"&gt;="&amp;DATE($C$10,$C$11,1),Accounts!$T:$T,"&lt;"&amp;DATE($C$7,$C$8,1),Accounts!$B:$B,"Trialer",Accounts!$C:$C,"Customer",Accounts!$E:$E,"QBO")</f>
        <v>0</v>
      </c>
      <c r="AH3" s="61">
        <f>SUMIFS(Accounts!$AE:$AE,Accounts!$T:$T,"&gt;="&amp;DATE($C$10,$C$11,1),Accounts!$T:$T,"&lt;"&amp;DATE($C$7,$C$8,1),Accounts!$B:$B,"Trialer",Accounts!$C:$C,"Customer",Accounts!$E:$E,"QBO") + SUMIFS(Accounts!$AP:$AP,Accounts!$T:$T,"&gt;="&amp;DATE($C$10,$C$11,1),Accounts!$T:$T,"&lt;"&amp;DATE($C$7,$C$8,1),Accounts!$B:$B,"Trialer",Accounts!$C:$C,"Customer",Accounts!$E:$E,"QBO")</f>
        <v>0</v>
      </c>
      <c r="AI3" s="61">
        <f>SUMIFS(Accounts!$Z:$Z,Accounts!$T:$T,"&gt;="&amp;DATE($C$10,$C$11,1),Accounts!$T:$T,"&lt;"&amp;DATE($C$7,$C$8,1),Accounts!$B:$B,"Trialer",Accounts!$C:$C,"Customer",Accounts!$E:$E,"QBO")</f>
        <v>0</v>
      </c>
      <c r="AJ3" s="61">
        <f>SUMIFS(Accounts!$AG:$AG,Accounts!$T:$T,"&gt;="&amp;DATE($C$10,$C$11,1),Accounts!$T:$T,"&lt;"&amp;DATE($C$7,$C$8,1),Accounts!$B:$B,"Trialer",Accounts!$C:$C,"Customer",Accounts!$E:$E,"QBO") + SUMIFS(Accounts!$AL:$AL,Accounts!$T:$T,"&gt;="&amp;DATE($C$10,$C$11,1),Accounts!$T:$T,"&lt;"&amp;DATE($C$7,$C$8,1),Accounts!$B:$B,"Trialer",Accounts!$C:$C,"Customer",Accounts!$E:$E,"QBO")</f>
        <v>0</v>
      </c>
      <c r="AK3" s="61">
        <f>SUMIFS(Accounts!$AQ:$AQ,Accounts!$T:$T,"&gt;="&amp;DATE($C$10,$C$11,1),Accounts!$T:$T,"&lt;"&amp;DATE($C$7,$C$8,1),Accounts!$B:$B,"Trialer",Accounts!$C:$C,"Customer",Accounts!$E:$E,"QBO")</f>
        <v>0</v>
      </c>
      <c r="AL3" s="61">
        <f>SUMIFS(Accounts!$AA:$AA,Accounts!$T:$T,"&gt;="&amp;DATE($C$13,$C$14,1),Accounts!$T:$T,"&lt;"&amp;DATE($C$10,$C$11,1),Accounts!$B:$B,"Trialer",Accounts!$C:$C,"Customer",Accounts!$E:$E,"QBO") + SUMIFS(Accounts!$AH:$AH,Accounts!$T:$T,"&gt;="&amp;DATE($C$13,$C$14,1),Accounts!$T:$T,"&lt;"&amp;DATE($C$10,$C$11,1),Accounts!$B:$B,"Trialer",Accounts!$C:$C,"Customer",Accounts!$E:$E,"QBO") + SUMIFS(Accounts!$AJ:$AJ,Accounts!$T:$T,"&gt;="&amp;DATE($C$13,$C$14,1),Accounts!$T:$T,"&lt;"&amp;DATE($C$10,$C$11,1),Accounts!$B:$B,"Trialer",Accounts!$C:$C,"Customer",Accounts!$E:$E,"QBO") + SUMIFS(Accounts!$AI:$AI,Accounts!$T:$T,"&gt;="&amp;DATE($C$13,$C$14,1),Accounts!$T:$T,"&lt;"&amp;DATE($C$10,$C$11,1),Accounts!$B:$B,"Trialer",Accounts!$C:$C,"Customer",Accounts!$E:$E,"QBO") + SUMIFS(Accounts!$AO:$AO,Accounts!$T:$T,"&gt;="&amp;DATE($C$13,$C$14,1),Accounts!$T:$T,"&lt;"&amp;DATE($C$10,$C$11,1),Accounts!$B:$B,"Trialer",Accounts!$C:$C,"Customer",Accounts!$E:$E,"QBO")</f>
        <v>0</v>
      </c>
      <c r="AM3" s="61">
        <f>SUMIFS(Accounts!$AC:$AC,Accounts!$T:$T,"&gt;="&amp;DATE($C$13,$C$14,1),Accounts!$T:$T,"&lt;"&amp;DATE($C$10,$C$11,1),Accounts!$B:$B,"Trialer",Accounts!$C:$C,"Customer",Accounts!$E:$E,"QBO")+SUMIFS(Accounts!$AF:$AF,Accounts!$T:$T,"&gt;="&amp;DATE($C$13,$C$14,1),Accounts!$T:$T,"&lt;"&amp;DATE($C$10,$C$11,1),Accounts!$B:$B,"Trialer",Accounts!$C:$C,"Customer",Accounts!$E:$E,"QBO")+SUMIFS(Accounts!$AK:$AK,Accounts!$T:$T,"&gt;="&amp;DATE($C$13,$C$14,1),Accounts!$T:$T,"&lt;"&amp;DATE($C$10,$C$11,1),Accounts!$B:$B,"Trialer",Accounts!$C:$C,"Customer",Accounts!$E:$E,"QBO")</f>
        <v>0</v>
      </c>
      <c r="AN3" s="61">
        <f>SUMIFS(Accounts!$AB:$AB,Accounts!$T:$T,"&gt;="&amp;DATE($C$13,$C$14,1),Accounts!$T:$T,"&lt;"&amp;DATE($C$10,$C$11,1),Accounts!$B:$B,"Trialer",Accounts!$C:$C,"Customer",Accounts!$E:$E,"QBO")</f>
        <v>0</v>
      </c>
      <c r="AO3" s="61">
        <f>SUMIFS(Accounts!$AD:$AD,Accounts!$T:$T,"&gt;="&amp;DATE($C$13,$C$14,1),Accounts!$T:$T,"&lt;"&amp;DATE($C$10,$C$11,1),Accounts!$B:$B,"Trialer",Accounts!$C:$C,"Customer",Accounts!$E:$E,"QBO")+SUMIFS(Accounts!$AM:$AM,Accounts!$T:$T,"&gt;="&amp;DATE($C$13,$C$14,1),Accounts!$T:$T,"&lt;"&amp;DATE($C$10,$C$11,1),Accounts!$B:$B,"Trialer",Accounts!$C:$C,"Customer",Accounts!$E:$E,"QBO")+SUMIFS(Accounts!$AN:$AN,Accounts!$T:$T,"&gt;="&amp;DATE($C$13,$C$14,1),Accounts!$T:$T,"&lt;"&amp;DATE($C$10,$C$11,1),Accounts!$B:$B,"Trialer",Accounts!$C:$C,"Customer",Accounts!$E:$E,"QBO")</f>
        <v>0</v>
      </c>
      <c r="AP3" s="61">
        <f>SUMIFS(Accounts!$AE:$AE,Accounts!$T:$T,"&gt;="&amp;DATE($C$13,$C$14,1),Accounts!$T:$T,"&lt;"&amp;DATE($C$10,$C$11,1),Accounts!$B:$B,"Trialer",Accounts!$C:$C,"Customer",Accounts!$E:$E,"QBO") + SUMIFS(Accounts!$AP:$AP,Accounts!$T:$T,"&gt;="&amp;DATE($C$13,$C$14,1),Accounts!$T:$T,"&lt;"&amp;DATE($C$10,$C$11,1),Accounts!$B:$B,"Trialer",Accounts!$C:$C,"Customer",Accounts!$E:$E,"QBO")</f>
        <v>0</v>
      </c>
      <c r="AQ3" s="61">
        <f>SUMIFS(Accounts!$Z:$Z,Accounts!$T:$T,"&gt;="&amp;DATE($C$13,$C$14,1),Accounts!$T:$T,"&lt;"&amp;DATE($C$10,$C$11,1),Accounts!$B:$B,"Trialer",Accounts!$C:$C,"Customer",Accounts!$E:$E,"QBO")</f>
        <v>0</v>
      </c>
      <c r="AR3" s="61">
        <f>SUMIFS(Accounts!$AG:$AG,Accounts!$T:$T,"&gt;="&amp;DATE($C$13,$C$14,1),Accounts!$T:$T,"&lt;"&amp;DATE($C$10,$C$11,1),Accounts!$B:$B,"Trialer",Accounts!$C:$C,"Customer",Accounts!$E:$E,"QBO") + SUMIFS(Accounts!$AL:$AL,Accounts!$T:$T,"&gt;="&amp;DATE($C$13,$C$14,1),Accounts!$T:$T,"&lt;"&amp;DATE($C$10,$C$11,1),Accounts!$B:$B,"Trialer",Accounts!$C:$C,"Customer",Accounts!$E:$E,"QBO")</f>
        <v>0</v>
      </c>
      <c r="AS3" s="61">
        <f>SUMIFS(Accounts!$AQ:$AQ,Accounts!$T:$T,"&gt;="&amp;DATE($C$13,$C$14,1),Accounts!$T:$T,"&lt;"&amp;DATE($C$10,$C$11,1),Accounts!$B:$B,"Trialer",Accounts!$C:$C,"Customer",Accounts!$E:$E,"QBO")</f>
        <v>0</v>
      </c>
      <c r="AT3" s="19">
        <f>IFERROR((
SUMPRODUCT(SUMIFS(Accounts!$AA:$AA,Accounts!$B:$B,{"Trialer","none"},Accounts!$C:$C,"Customer",Accounts!$E:$E,"QBO")) +
SUMPRODUCT(SUMIFS(Accounts!$AH:$AH,Accounts!$B:$B,{"Trialer","none"},Accounts!$C:$C,"Customer",Accounts!$E:$E,"QBO")) +
SUMPRODUCT(SUMIFS(Accounts!$AJ:$AJ,Accounts!$B:$B,{"Trialer","none"},Accounts!$C:$C,"Customer",Accounts!$E:$E,"QBO")) +
SUMPRODUCT(SUMIFS(Accounts!$AI:$AI,Accounts!$B:$B,{"Trialer","none"},Accounts!$C:$C,"Customer",Accounts!$E:$E,"QBO")) +
SUMPRODUCT(SUMIFS(Accounts!$AO:$AO,Accounts!$B:$B,{"Trialer","none"},Accounts!$C:$C,"Customer",Accounts!$E:$E,"QBO"))
)
/BM3,0
)</f>
        <v>0</v>
      </c>
      <c r="AU3" s="19">
        <f>IFERROR((SUMPRODUCT(SUMIFS(Accounts!$AC:$AC,Accounts!$B:$B,{"Trialer","none"},Accounts!$C:$C,"Customer",Accounts!$E:$E,"QBO"))+SUMPRODUCT(SUMIFS(Accounts!$AF:$AF,Accounts!$B:$B,{"Trialer","none"},Accounts!$C:$C,"Customer",Accounts!$E:$E,"QBO"))+SUMPRODUCT(SUMIFS(Accounts!$AK:$AK,Accounts!$B:$B,{"Trialer","none"},Accounts!$C:$C,"Customer",Accounts!$E:$E,"QBO")))/BN3,0)</f>
        <v>0</v>
      </c>
      <c r="AV3" s="19">
        <f>IFERROR((SUMPRODUCT(SUMIFS(Accounts!$AB:$AB,Accounts!$B:$B,{"Trialer","none"},Accounts!$C:$C,"Customer",Accounts!$E:$E,"QBO")))/BO3,0)</f>
        <v>0</v>
      </c>
      <c r="AW3" s="19">
        <f>IFERROR((SUMPRODUCT(SUMIFS(Accounts!$AD:$AD,Accounts!$B:$B,{"Trialer","none"},Accounts!$C:$C,"Customer",Accounts!$E:$E,"QBO"))+SUMPRODUCT(SUMIFS(Accounts!$AM:$AM,Accounts!$B:$B,{"Trialer","none"},Accounts!$C:$C,"Customer",Accounts!$E:$E,"QBO"))+SUMPRODUCT(SUMIFS(Accounts!$AN:$AN,Accounts!$B:$B,{"Trialer","none"},Accounts!$C:$C,"Customer",Accounts!$E:$E,"QBO")))/BP3,0)</f>
        <v>0</v>
      </c>
      <c r="AX3" s="19">
        <f>IFERROR((
SUMPRODUCT(SUMIFS(Accounts!$AP:$AP,Accounts!$B:$B,{"Trialer","none"},Accounts!$C:$C,"Customer",Accounts!$E:$E,"QBO"))+
SUMPRODUCT(SUMIFS(Accounts!$AE:$AE,Accounts!$B:$B,{"Trialer","none"},Accounts!$C:$C,"Customer",Accounts!$E:$E,"QBO"))+
SUMPRODUCT(SUMIFS(Accounts!$Z:$Z,Accounts!$B:$B,{"Trialer","none"},Accounts!$C:$C,"Customer",Accounts!$E:$E,"QBO"))+
SUMPRODUCT(SUMIFS(Accounts!$AG:$AG,Accounts!$B:$B,{"Trialer","none"},Accounts!$C:$C,"Customer",Accounts!$E:$E,"QBO"))+
SUMPRODUCT(SUMIFS(Accounts!$AL:$AL,Accounts!$B:$B,{"Trialer","none"},Accounts!$C:$C,"Customer",Accounts!$E:$E,"QBO"))
)
/(BQ3+BS3+BT3),0
)</f>
        <v>0</v>
      </c>
      <c r="AY3" s="19">
        <f>IFERROR((
SUMPRODUCT(SUMIFS(Accounts!$AE:$AE,Accounts!$B:$B,{"Trialer","none"},Accounts!$C:$C,"Customer",Accounts!$E:$E,"QBO")) +
SUMPRODUCT(SUMIFS(Accounts!$AP:$AP,Accounts!$B:$B,{"Trialer","none"},Accounts!$C:$C,"Customer",Accounts!$E:$E,"QBO"))
)
/BQ3,0
)</f>
        <v>0</v>
      </c>
      <c r="AZ3" s="19">
        <f>IFERROR(SUMPRODUCT(SUMIFS(Accounts!$Z:$Z,Accounts!$B:$B,{"Trialer","none"},Accounts!$C:$C,"Customer",Accounts!$E:$E,"QBO"))/BS3,0)</f>
        <v>0</v>
      </c>
      <c r="BA3" s="19">
        <f>IFERROR((SUMPRODUCT(SUMIFS(Accounts!$AG:$AG,Accounts!$B:$B,{"Trialer","none"},Accounts!$C:$C,"Customer",Accounts!$E:$E,"QBO")) + SUMPRODUCT(SUMIFS(Accounts!$AL:$AL,Accounts!$B:$B,{"Trialer","none"},Accounts!$C:$C,"Customer",Accounts!$E:$E,"QBO")))/BT3,0)</f>
        <v>0</v>
      </c>
      <c r="BB3" s="19">
        <f>IFERROR((SUMPRODUCT(SUMIFS(Accounts!$AQ:$AQ,Accounts!$B:$B,{"none","Trialer"},Accounts!$C:$C,"Customer",Accounts!$E:$E,"QBO")))/BU3,0)</f>
        <v>0</v>
      </c>
      <c r="BC3" s="34" t="e">
        <f>(($BC$17+$BC$20)/(($BC$16*$C$3)+(0.5*$BC$19*$C$3)))*$C$3</f>
        <v>#VALUE!</v>
      </c>
      <c r="BD3" s="34" t="e">
        <f>(($BD$17+$BD$20)/((($BD$16*$C$2)+(0.5*$BD$19*$C$2)))*$C$2)</f>
        <v>#VALUE!</v>
      </c>
      <c r="BE3" s="34" t="e">
        <f>((BE17+BE20)/((BE16*$C$2)+(0.5*BE19*$C$2)))*$C$2</f>
        <v>#VALUE!</v>
      </c>
      <c r="BF3" s="34" t="e">
        <f t="shared" ref="BF3:BL3" si="1">((BF17+BF20)/((BF16*$C$2)+(0.5*BF19*$C$2)))*$C$2</f>
        <v>#VALUE!</v>
      </c>
      <c r="BG3" s="34" t="e">
        <f t="shared" si="1"/>
        <v>#VALUE!</v>
      </c>
      <c r="BH3" s="34" t="e">
        <f>((BH17+BH20)/((BH16*$C$2)+(0.5*BH19*$C$2)))*$C$2</f>
        <v>#VALUE!</v>
      </c>
      <c r="BI3" s="34" t="e">
        <f t="shared" si="1"/>
        <v>#VALUE!</v>
      </c>
      <c r="BJ3" s="34" t="e">
        <f t="shared" si="1"/>
        <v>#VALUE!</v>
      </c>
      <c r="BK3" s="34" t="e">
        <f t="shared" si="1"/>
        <v>#VALUE!</v>
      </c>
      <c r="BL3" s="34" t="e">
        <f t="shared" si="1"/>
        <v>#VALUE!</v>
      </c>
      <c r="BM3" s="39">
        <f>SUMIFS(Accounts!$AA:$AA,Accounts!$B:$B,"none",Accounts!$E:$E,"QBO") + SUMIFS(Accounts!$AH:$AH,Accounts!$B:$B,"none",Accounts!$E:$E,"QBO") + SUMIFS(Accounts!$AJ:$AJ,Accounts!$B:$B,"none",Accounts!$E:$E,"QBO") + SUMIFS(Accounts!$AI:$AI,Accounts!$B:$B,"none",Accounts!$E:$E,"QBO") + SUMIFS(Accounts!$AO:$AO,Accounts!$B:$B,"none",Accounts!$E:$E,"QBO")</f>
        <v>0</v>
      </c>
      <c r="BN3" s="39">
        <f>SUMIFS(Accounts!$AC:$AC,Accounts!$B:$B,"none",Accounts!$E:$E,"QBO") + SUMIFS(Accounts!$AF:$AF,Accounts!$B:$B,"none") + SUMIFS(Accounts!$AK:$AK,Accounts!$B:$B,"none",Accounts!$E:$E,"QBO")</f>
        <v>0</v>
      </c>
      <c r="BO3" s="39">
        <f>SUMIFS(Accounts!$AB:$AB,Accounts!$B:$B,"none",Accounts!$E:$E,"QBO")</f>
        <v>0</v>
      </c>
      <c r="BP3" s="39">
        <f>SUMIFS(Accounts!$AD:$AD,Accounts!$B:$B,"none",Accounts!$E:$E,"QBO") + SUMIFS(Accounts!$AM:$AM,Accounts!$B:$B,"none",Accounts!$E:$E,"QBO") + SUMIFS(Accounts!$AN:$AN,Accounts!$B:$B,"none",Accounts!$E:$E,"QBO")</f>
        <v>0</v>
      </c>
      <c r="BQ3" s="39">
        <f>SUMIFS(Accounts!$AE:$AE,Accounts!$B:$B,"none",Accounts!$E:$E,"QBO") + SUMIFS(Accounts!$AP:$AP,Accounts!$B:$B,"none",Accounts!$E:$E,"QBO")</f>
        <v>0</v>
      </c>
      <c r="BR3" s="39">
        <f>SUM(BS3:BT3,BQ3)</f>
        <v>0</v>
      </c>
      <c r="BS3" s="39">
        <f>SUMIFS(Accounts!$Z:$Z,Accounts!$B:$B,"none",Accounts!$E:$E,"QBO")</f>
        <v>0</v>
      </c>
      <c r="BT3" s="39">
        <f>SUMIFS(Accounts!$AG:$AG,Accounts!$B:$B,"none",Accounts!$E:$E,"QBO") + SUMIFS(Accounts!$AL:$AL,Accounts!$B:$B,"none",Accounts!$E:$E,"QBO")</f>
        <v>0</v>
      </c>
      <c r="BU3" s="39">
        <f>SUMIFS(Accounts!$AQ:$AQ,Accounts!$B:$B,"none",Accounts!$E:$E,"QBO")</f>
        <v>0</v>
      </c>
      <c r="BV3" s="37" t="e">
        <f>S$31/(BD$16+BD$19)</f>
        <v>#DIV/0!</v>
      </c>
      <c r="BW3" s="37" t="e">
        <f>U$31/(BE$16+BE$19)</f>
        <v>#DIV/0!</v>
      </c>
      <c r="BX3" s="37" t="e">
        <f>W$31/(BF$16+BF$19)</f>
        <v>#DIV/0!</v>
      </c>
      <c r="BY3" s="37" t="e">
        <f>Y$31/(BG$16+BG$19)</f>
        <v>#DIV/0!</v>
      </c>
      <c r="BZ3" s="37" t="e">
        <f>($AA$31+$AC$31+$AE$31)/($BI$16+$BJ$16+$BK$16+$BI$19+$BJ$19+$BK$19)</f>
        <v>#DIV/0!</v>
      </c>
      <c r="CA3" s="37" t="e">
        <f>$AA$31/($BI$16+$BI$19)</f>
        <v>#DIV/0!</v>
      </c>
      <c r="CB3" s="37" t="e">
        <f>AC$31/(BJ$16+BJ$19)</f>
        <v>#DIV/0!</v>
      </c>
      <c r="CC3" s="37" t="e">
        <f>AE$31/(BK$16+BK$19)</f>
        <v>#DIV/0!</v>
      </c>
      <c r="CD3" s="37" t="e">
        <f>AG$31/(BL$16+BL$19)</f>
        <v>#DIV/0!</v>
      </c>
      <c r="CE3" s="37" t="e">
        <f>(S$31+AI$31)/(BD$16+BD$19)</f>
        <v>#DIV/0!</v>
      </c>
      <c r="CF3" s="37" t="e">
        <f>(U$31+AK$31)/(BE$16+BE$19)</f>
        <v>#DIV/0!</v>
      </c>
      <c r="CG3" s="37" t="e">
        <f>(W$31+AM$31)/(BF$16+BF$19)</f>
        <v>#DIV/0!</v>
      </c>
      <c r="CH3" s="37" t="e">
        <f>(Y$31+AO$31)/(BG$16+BG$19)</f>
        <v>#DIV/0!</v>
      </c>
      <c r="CI3" s="37" t="e">
        <f>($AA$31+$AQ$31+AC31+AE31+AS31+AU31)/($BI$16+$BI$19+BJ16+BK16+BJ19+BK19)</f>
        <v>#DIV/0!</v>
      </c>
      <c r="CJ3" s="37" t="e">
        <f>($AA$31+$AQ$31)/($BI$16+$BI$19)</f>
        <v>#DIV/0!</v>
      </c>
      <c r="CK3" s="37" t="e">
        <f>(AC$31+AS$31)/(BJ$16+BJ$19)</f>
        <v>#DIV/0!</v>
      </c>
      <c r="CL3" s="37" t="e">
        <f>(AE$31+AU$31)/(BK$16+BK$19)</f>
        <v>#DIV/0!</v>
      </c>
      <c r="CM3" s="37" t="e">
        <f>(AG$31+AW$31)/(BL$16+BL$19)</f>
        <v>#DIV/0!</v>
      </c>
      <c r="CN3" s="37" t="e">
        <f>BV$3*BD$15</f>
        <v>#DIV/0!</v>
      </c>
      <c r="CO3" s="37" t="e">
        <f>BW$3*BE$15</f>
        <v>#DIV/0!</v>
      </c>
      <c r="CP3" s="37" t="e">
        <f>BX$3*BF$15</f>
        <v>#DIV/0!</v>
      </c>
      <c r="CQ3" s="37" t="e">
        <f>BY$3*BG$15</f>
        <v>#DIV/0!</v>
      </c>
      <c r="CR3" s="37" t="e">
        <f>$BZ$3*BH$15</f>
        <v>#DIV/0!</v>
      </c>
      <c r="CS3" s="37" t="e">
        <f>$CA$3*BI$15</f>
        <v>#DIV/0!</v>
      </c>
      <c r="CT3" s="37" t="e">
        <f>CB$3*BJ$15</f>
        <v>#DIV/0!</v>
      </c>
      <c r="CU3" s="37" t="e">
        <f>CC$3*BK$15</f>
        <v>#DIV/0!</v>
      </c>
      <c r="CV3" s="37" t="e">
        <f>CD$3*BL$15</f>
        <v>#DIV/0!</v>
      </c>
      <c r="CW3" s="34" t="e">
        <f>((CW15+CW18)/((CW14*$C$2)+(0.5*CW17*$C$2)))*$C$2</f>
        <v>#VALUE!</v>
      </c>
      <c r="CX3" s="39">
        <f>COUNTIFS(Accounts!$AS:$AS, "Manufacturing (MWD)",Accounts!$B:$B,"none",Accounts!$E:$E,"QBO")</f>
        <v>0</v>
      </c>
      <c r="CY3" s="33">
        <f>COUNTIFS(Accounts!$AS:$AS, "Manufacturing (MWD)",Accounts!$B:$B,"Customer",Accounts!$E:$E,"QBO")</f>
        <v>0</v>
      </c>
      <c r="CZ3" s="37">
        <f>SUMIFS(Accounts!$I:$I,Accounts!$AS:$AS, "Manufacturing (MWD)",Accounts!$E:$E,"QBO")</f>
        <v>0</v>
      </c>
      <c r="DA3" s="37">
        <f>SUMIFS(Accounts!$N:$N,Accounts!$AS:$AS, "Manufacturing (MWD)",Accounts!$E:$E,"QBO")</f>
        <v>0</v>
      </c>
      <c r="DB3" s="37" t="e">
        <f>CZ3/(CY3+CW17)</f>
        <v>#DIV/0!</v>
      </c>
      <c r="DC3" s="37" t="e">
        <f>(CZ3+DA3)/(CY3+CW17)</f>
        <v>#DIV/0!</v>
      </c>
      <c r="DD3" s="37" t="e">
        <f>CW13*DB3</f>
        <v>#VALUE!</v>
      </c>
      <c r="DE3" s="37" t="e">
        <f>AVERAGEIFS(Accounts!$AY:$AY,Accounts!$AS:$AS, "Manufacturing (MWD)",Accounts!$B:$B,"Customer",Accounts!$AY:$AY,"&gt;0",Accounts!$E:$E,"QBO")</f>
        <v>#DIV/0!</v>
      </c>
      <c r="DF3" s="33" t="e">
        <f>AVERAGEIFS(Accounts!$AX:$AX,Accounts!$AS:$AS, "Manufacturing (MWD)",Accounts!$B:$B,"Customer",Accounts!$AX:$AX,"&gt;0",Accounts!$E:$E,"QBO")</f>
        <v>#DIV/0!</v>
      </c>
      <c r="DG3" s="37" t="e">
        <f>AVERAGEIFS(Accounts!$AY:$AY,Accounts!$AS:$AS, "Manufacturing (MWD)",Accounts!$B:$B,"none",Accounts!$AY:$AY,"&gt;0",Accounts!$E:$E,"QBO")</f>
        <v>#DIV/0!</v>
      </c>
      <c r="DH3" s="33" t="e">
        <f>AVERAGEIFS(Accounts!$AX:$AX,Accounts!$AS:$AS, "Manufacturing (MWD)",Accounts!$B:$B,"none",Accounts!$AX:$AX,"&gt;0",Accounts!$E:$E,"QBO")</f>
        <v>#DIV/0!</v>
      </c>
      <c r="DI3" s="55">
        <f>SUMIFS(Accounts!$AA:$AA,Accounts!$B:$B,"Customer",Accounts!$AS:$AS, "Manufacturing (MWD)",Accounts!$E:$E,"QBO") + SUMIFS(Accounts!$AH:$AH,Accounts!$B:$B,"Customer",Accounts!$AS:$AS, "Manufacturing (MWD)",Accounts!$E:$E,"QBO") + SUMIFS(Accounts!$AJ:$AJ,Accounts!$B:$B,"Customer",Accounts!$AS:$AS, "Manufacturing (MWD)",Accounts!$E:$E,"QBO") + SUMIFS(Accounts!$AI:$AI,Accounts!$B:$B,"Customer",Accounts!$AS:$AS, "Manufacturing (MWD)",Accounts!$E:$E,"QBO") + SUMIFS(Accounts!$AO:$AO,Accounts!$B:$B,"Customer",Accounts!$AS:$AS, "Manufacturing (MWD)",Accounts!$E:$E,"QBO")</f>
        <v>0</v>
      </c>
      <c r="DJ3" s="55">
        <f>(SUMIFS(Accounts!$AC:$AC,Accounts!$B:$B,"Customer",Accounts!$AS:$AS, "Manufacturing (MWD)",Accounts!$E:$E,"QBO")+SUMIFS(Accounts!$AF:$AF,Accounts!$B:$B,"Customer",Accounts!$AS:$AS, "Manufacturing (MWD)",Accounts!$E:$E,"QBO")+SUMIFS(Accounts!$AK:$AK,Accounts!$B:$B,"Customer",Accounts!$AS:$AS, "Manufacturing (MWD)",Accounts!$E:$E,"QBO"))</f>
        <v>0</v>
      </c>
      <c r="DK3" s="55">
        <f>SUMIFS(Accounts!$AB:$AB,Accounts!$B:$B,"Customer",Accounts!$AS:$AS, "Manufacturing (MWD)",Accounts!$E:$E,"QBO")</f>
        <v>0</v>
      </c>
      <c r="DL3" s="55">
        <f>SUMIFS(Accounts!$AD:$AD,Accounts!$B:$B,"Customer",Accounts!$AS:$AS, "Manufacturing (MWD)",Accounts!$E:$E,"QBO")+SUMIFS(Accounts!$AM:$AM,Accounts!$B:$B,"Customer",Accounts!$AS:$AS, "Manufacturing (MWD)",Accounts!$E:$E,"QBO")+SUMIFS(Accounts!$AN:$AN,Accounts!$B:$B,"Customer",Accounts!$AS:$AS, "Manufacturing (MWD)",Accounts!$E:$E,"QBO")</f>
        <v>0</v>
      </c>
      <c r="DM3" s="55">
        <f>SUMIFS(Accounts!$AE:$AE,Accounts!$B:$B,"Customer",Accounts!$AS:$AS, "Manufacturing (MWD)",Accounts!$E:$E,"QBO") + SUMIFS(Accounts!$AP:$AP,Accounts!$B:$B,"Customer",Accounts!$AS:$AS, "Manufacturing (MWD)",Accounts!$E:$E,"QBO")</f>
        <v>0</v>
      </c>
      <c r="DN3" s="55">
        <f>SUMIFS(Accounts!$Z:$Z,Accounts!$B:$B,"Customer",Accounts!$AS:$AS, "Manufacturing (MWD)",Accounts!$E:$E,"QBO")</f>
        <v>0</v>
      </c>
      <c r="DO3" s="55">
        <f>SUMIFS(Accounts!$AG:$AG,Accounts!$B:$B,"Customer",Accounts!$AS:$AS, "Manufacturing (MWD)",Accounts!$E:$E,"QBO") + SUMIFS(Accounts!$AL:$AL,Accounts!$B:$B,"Customer",Accounts!$AS:$AS, "Manufacturing (MWD)",Accounts!$E:$E,"QBO")</f>
        <v>0</v>
      </c>
      <c r="DP3" s="55">
        <f>SUMIFS(Accounts!$AQ:$AQ,Accounts!$B:$B,"Customer",Accounts!$AS:$AS, "Manufacturing (MWD)",Accounts!$E:$E,"QBO")</f>
        <v>0</v>
      </c>
      <c r="DQ3" s="55">
        <f>SUMIFS(Accounts!$AA:$AA,Accounts!$B:$B,"none",Accounts!$AS:$AS, "Manufacturing (MWD)",Accounts!$E:$E,"QBO") + SUMIFS(Accounts!$AH:$AH,Accounts!$B:$B,"none",Accounts!$AS:$AS, "Manufacturing (MWD)",Accounts!$E:$E,"QBO") + SUMIFS(Accounts!$AJ:$AJ,Accounts!$B:$B,"none",Accounts!$AS:$AS, "Manufacturing (MWD)",Accounts!$E:$E,"QBO") + SUMIFS(Accounts!$AI:$AI,Accounts!$B:$B,"none",Accounts!$AS:$AS, "Manufacturing (MWD)",Accounts!$E:$E,"QBO") + SUMIFS(Accounts!$AO:$AO,Accounts!$B:$B,"none",Accounts!$AS:$AS, "Manufacturing (MWD)",Accounts!$E:$E,"QBO")</f>
        <v>0</v>
      </c>
      <c r="DR3" s="55">
        <f>(SUMIFS(Accounts!$AC:$AC,Accounts!$B:$B,"none",Accounts!$AS:$AS, "Manufacturing (MWD)",Accounts!$E:$E,"QBO")+SUMIFS(Accounts!$AF:$AF,Accounts!$B:$B,"none",Accounts!$AS:$AS, "Manufacturing (MWD)",Accounts!$E:$E,"QBO")+SUMIFS(Accounts!$AK:$AK,Accounts!$B:$B,"none",Accounts!$AS:$AS, "Manufacturing (MWD)",Accounts!$E:$E,"QBO"))</f>
        <v>0</v>
      </c>
      <c r="DS3" s="55">
        <f>SUMIFS(Accounts!$AB:$AB,Accounts!$B:$B,"none",Accounts!$AS:$AS, "Manufacturing (MWD)",Accounts!$E:$E,"QBO")</f>
        <v>0</v>
      </c>
      <c r="DT3" s="55">
        <f>SUMIFS(Accounts!$AD:$AD,Accounts!$B:$B,"none",Accounts!$AS:$AS, "Manufacturing (MWD)",Accounts!$E:$E,"QBO")+SUMIFS(Accounts!$AM:$AM,Accounts!$B:$B,"none",Accounts!$AS:$AS, "Manufacturing (MWD)",Accounts!$E:$E,"QBO")+SUMIFS(Accounts!$AN:$AN,Accounts!$B:$B,"none",Accounts!$AS:$AS, "Manufacturing (MWD)",Accounts!$E:$E,"QBO")</f>
        <v>0</v>
      </c>
      <c r="DU3" s="39">
        <f>SUMIFS(Accounts!$AE:$AE,Accounts!$B:$B,"none",Accounts!$AS:$AS, "Manufacturing (MWD)",Accounts!$E:$E,"QBO") + SUMIFS(Accounts!$AP:$AP,Accounts!$B:$B,"none",Accounts!$AS:$AS, "Manufacturing (MWD)",Accounts!$E:$E,"QBO")</f>
        <v>0</v>
      </c>
      <c r="DV3" s="55">
        <f>SUMIFS(Accounts!$Z:$Z,Accounts!$B:$B,"none",Accounts!$AS:$AS, "Manufacturing (MWD)",Accounts!$E:$E,"QBO")</f>
        <v>0</v>
      </c>
      <c r="DW3" s="39">
        <f>SUMIFS(Accounts!$AG:$AG,Accounts!$B:$B,"none",Accounts!$AS:$AS, "Manufacturing (MWD)",Accounts!$E:$E,"QBO") + SUMIFS(Accounts!$AL:$AL,Accounts!$B:$B,"none",Accounts!$AS:$AS, "Manufacturing (MWD)",Accounts!$E:$E,"QBO")</f>
        <v>0</v>
      </c>
      <c r="DX3" s="55">
        <f>SUMIFS(Accounts!$AQ:$AQ,Accounts!$B:$B,"none",Accounts!$AS:$AS, "Manufacturing (MWD)",Accounts!$E:$E,"QBO")</f>
        <v>0</v>
      </c>
      <c r="DY3" s="34" t="e">
        <f>((DY15+DY18)/((DY14*$C$2)+(0.5*DY17*$C$2)))*$C$2</f>
        <v>#VALUE!</v>
      </c>
      <c r="DZ3" s="39">
        <f>COUNTIFS(Accounts!$AS:$AS, "Wholesale and distribution services (MWD)",Accounts!$B:$B,"none",Accounts!$E:$E,"QBO")</f>
        <v>0</v>
      </c>
      <c r="EA3" s="33">
        <f>COUNTIFS(Accounts!$AS:$AS, "Wholesale and distribution services (MWD)",Accounts!$B:$B,"Customer",Accounts!$E:$E,"QBO")</f>
        <v>0</v>
      </c>
      <c r="EB3" s="37">
        <f>SUMIFS(Accounts!$I:$I,Accounts!$AS:$AS, "Wholesale and distribution services (MWD)",Accounts!$E:$E,"QBO")</f>
        <v>0</v>
      </c>
      <c r="EC3" s="37">
        <f>SUMIFS(Accounts!$N:$N,Accounts!$AS:$AS, "Wholesale and distribution services (MWD)",Accounts!$E:$E,"QBO")</f>
        <v>0</v>
      </c>
      <c r="ED3" s="37" t="e">
        <f>EB3/(EA3+DY17)</f>
        <v>#DIV/0!</v>
      </c>
      <c r="EE3" s="37" t="e">
        <f>(EB3+EC3)/(EA3+DY17)</f>
        <v>#DIV/0!</v>
      </c>
      <c r="EF3" s="37" t="e">
        <f>DY13*ED3</f>
        <v>#VALUE!</v>
      </c>
      <c r="EG3" s="37" t="e">
        <f>AVERAGEIFS(Accounts!$AY:$AY,Accounts!$AS:$AS, "Wholesale and distribution services (MWD)",Accounts!$B:$B,"Customer",Accounts!$AY:$AY,"&gt;0",Accounts!$E:$E,"QBO")</f>
        <v>#DIV/0!</v>
      </c>
      <c r="EH3" s="33" t="e">
        <f>AVERAGEIFS(Accounts!$AX:$AX,Accounts!$AS:$AS, "Wholesale and distribution services (MWD)",Accounts!$B:$B,"Customer",Accounts!$AX:$AX,"&gt;0",Accounts!$E:$E,"QBO")</f>
        <v>#DIV/0!</v>
      </c>
      <c r="EI3" s="37" t="e">
        <f>AVERAGEIFS(Accounts!$AY:$AY,Accounts!$AS:$AS, "Wholesale and distribution services (MWD)",Accounts!$B:$B,"none",Accounts!$AY:$AY,"&gt;0",Accounts!$E:$E,"QBO")</f>
        <v>#DIV/0!</v>
      </c>
      <c r="EJ3" s="33" t="e">
        <f>AVERAGEIFS(Accounts!$AX:$AX,Accounts!$AS:$AS, "Wholesale and distribution services (MWD)",Accounts!$B:$B,"none",Accounts!$AX:$AX,"&gt;0",Accounts!$E:$E,"QBO")</f>
        <v>#DIV/0!</v>
      </c>
      <c r="EK3" s="55">
        <f>SUMIFS(Accounts!$AA:$AA,Accounts!$B:$B,"Customer",Accounts!$AS:$AS, "Wholesale and distribution services (MWD)",Accounts!$E:$E,"QBO") + SUMIFS(Accounts!$AH:$AH,Accounts!$B:$B,"Customer",Accounts!$AS:$AS, "Wholesale and distribution services (MWD)",Accounts!$E:$E,"QBO") + SUMIFS(Accounts!$AJ:$AJ,Accounts!$B:$B,"Customer",Accounts!$AS:$AS, "Wholesale and distribution services (MWD)",Accounts!$E:$E,"QBO") + SUMIFS(Accounts!$AI:$AI,Accounts!$B:$B,"Customer",Accounts!$AS:$AS, "Wholesale and distribution services (MWD)",Accounts!$E:$E,"QBO") + SUMIFS(Accounts!$AO:$AO,Accounts!$B:$B,"Customer",Accounts!$AS:$AS, "Wholesale and distribution services (MWD)",Accounts!$E:$E,"QBO")</f>
        <v>0</v>
      </c>
      <c r="EL3" s="55">
        <f>(SUMIFS(Accounts!$AC:$AC,Accounts!$B:$B,"Customer",Accounts!$AS:$AS, "Wholesale and distribution services (MWD)",Accounts!$E:$E,"QBO")+SUMIFS(Accounts!$AF:$AF,Accounts!$B:$B,"Customer",Accounts!$AS:$AS, "Wholesale and distribution services (MWD)",Accounts!$E:$E,"QBO")+SUMIFS(Accounts!$AK:$AK,Accounts!$B:$B,"Customer",Accounts!$AS:$AS, "Wholesale and distribution services (MWD)",Accounts!$E:$E,"QBO"))</f>
        <v>0</v>
      </c>
      <c r="EM3" s="55">
        <f>SUMIFS(Accounts!$AB:$AB,Accounts!$B:$B,"Customer",Accounts!$AS:$AS, "Wholesale and distribution services (MWD)",Accounts!$E:$E,"QBO")</f>
        <v>0</v>
      </c>
      <c r="EN3" s="55">
        <f>SUMIFS(Accounts!$AD:$AD,Accounts!$B:$B,"Customer",Accounts!$AS:$AS, "Wholesale and distribution services (MWD)",Accounts!$E:$E,"QBO")+SUMIFS(Accounts!$AM:$AM,Accounts!$B:$B,"Customer",Accounts!$AS:$AS, "Wholesale and distribution services (MWD)",Accounts!$E:$E,"QBO")+SUMIFS(Accounts!$AN:$AN,Accounts!$B:$B,"Customer",Accounts!$AS:$AS, "Wholesale and distribution services (MWD)",Accounts!$E:$E,"QBO")</f>
        <v>0</v>
      </c>
      <c r="EO3" s="55">
        <f>SUMIFS(Accounts!$AE:$AE,Accounts!$B:$B,"Customer",Accounts!$AS:$AS, "Wholesale and distribution services (MWD)",Accounts!$E:$E,"QBO") + SUMIFS(Accounts!$AP:$AP,Accounts!$B:$B,"Customer",Accounts!$AS:$AS, "Wholesale and distribution services (MWD)",Accounts!$E:$E,"QBO")</f>
        <v>0</v>
      </c>
      <c r="EP3" s="55">
        <f>SUMIFS(Accounts!$Z:$Z,Accounts!$B:$B,"Customer",Accounts!$AS:$AS, "Wholesale and distribution services (MWD)",Accounts!$E:$E,"QBO")</f>
        <v>0</v>
      </c>
      <c r="EQ3" s="55">
        <f>SUMIFS(Accounts!$AG:$AG,Accounts!$B:$B,"Customer",Accounts!$AS:$AS, "Wholesale and distribution services (MWD)",Accounts!$E:$E,"QBO") + SUMIFS(Accounts!$AL:$AL,Accounts!$B:$B,"Customer",Accounts!$AS:$AS, "Wholesale and distribution services (MWD)",Accounts!$E:$E,"QBO")</f>
        <v>0</v>
      </c>
      <c r="ER3" s="55">
        <f>SUMIFS(Accounts!$AQ:$AQ,Accounts!$B:$B,"Customer",Accounts!$AS:$AS, "Wholesale and distribution services (MWD)",Accounts!$E:$E,"QBO")</f>
        <v>0</v>
      </c>
      <c r="ES3" s="55">
        <f>SUMIFS(Accounts!$AA:$AA,Accounts!$B:$B,"none",Accounts!$AS:$AS, "Wholesale and distribution services (MWD)",Accounts!$E:$E,"QBO") + SUMIFS(Accounts!$AH:$AH,Accounts!$B:$B,"none",Accounts!$AS:$AS, "Wholesale and distribution services (MWD)",Accounts!$E:$E,"QBO") + SUMIFS(Accounts!$AJ:$AJ,Accounts!$B:$B,"none",Accounts!$AS:$AS, "Wholesale and distribution services (MWD)",Accounts!$E:$E,"QBO") + SUMIFS(Accounts!$AI:$AI,Accounts!$B:$B,"none",Accounts!$AS:$AS, "Wholesale and distribution services (MWD)",Accounts!$E:$E,"QBO") + SUMIFS(Accounts!$AO:$AO,Accounts!$B:$B,"none",Accounts!$AS:$AS, "Wholesale and distribution services (MWD)",Accounts!$E:$E,"QBO")</f>
        <v>0</v>
      </c>
      <c r="ET3" s="55">
        <f>(SUMIFS(Accounts!$AC:$AC,Accounts!$B:$B,"none",Accounts!$AS:$AS, "Wholesale and distribution services (MWD)",Accounts!$E:$E,"QBO")+SUMIFS(Accounts!$AF:$AF,Accounts!$B:$B,"none",Accounts!$AS:$AS, "Wholesale and distribution services (MWD)",Accounts!$E:$E,"QBO")+SUMIFS(Accounts!$AK:$AK,Accounts!$B:$B,"none",Accounts!$AS:$AS, "Wholesale and distribution services (MWD)",Accounts!$E:$E,"QBO"))</f>
        <v>0</v>
      </c>
      <c r="EU3" s="55">
        <f>SUMIFS(Accounts!$AB:$AB,Accounts!$B:$B,"none",Accounts!$AS:$AS, "Wholesale and distribution services (MWD)",Accounts!$E:$E,"QBO")</f>
        <v>0</v>
      </c>
      <c r="EV3" s="55">
        <f>SUMIFS(Accounts!$AD:$AD,Accounts!$B:$B,"none",Accounts!$AS:$AS, "Wholesale and distribution services (MWD)",Accounts!$E:$E,"QBO")+SUMIFS(Accounts!$AM:$AM,Accounts!$B:$B,"none",Accounts!$AS:$AS, "Wholesale and distribution services (MWD)",Accounts!$E:$E,"QBO")+SUMIFS(Accounts!$AN:$AN,Accounts!$B:$B,"none",Accounts!$AS:$AS, "Wholesale and distribution services (MWD)",Accounts!$E:$E,"QBO")</f>
        <v>0</v>
      </c>
      <c r="EW3" s="39">
        <f>SUMIFS(Accounts!$AE:$AE,Accounts!$B:$B,"none",Accounts!$AS:$AS, "Wholesale and distribution services (MWD)",Accounts!$E:$E,"QBO") + SUMIFS(Accounts!$AP:$AP,Accounts!$B:$B,"none",Accounts!$AS:$AS, "Wholesale and distribution services (MWD)",Accounts!$E:$E,"QBO")</f>
        <v>0</v>
      </c>
      <c r="EX3" s="55">
        <f>SUMIFS(Accounts!$Z:$Z,Accounts!$B:$B,"none",Accounts!$AS:$AS, "Wholesale and distribution services (MWD)",Accounts!$E:$E,"QBO")</f>
        <v>0</v>
      </c>
      <c r="EY3" s="39">
        <f>SUMIFS(Accounts!$AG:$AG,Accounts!$B:$B,"none",Accounts!$AS:$AS, "Wholesale and distribution services (MWD)",Accounts!$E:$E,"QBO") + SUMIFS(Accounts!$AL:$AL,Accounts!$B:$B,"none",Accounts!$AS:$AS, "Wholesale and distribution services (MWD)",Accounts!$E:$E,"QBO")</f>
        <v>0</v>
      </c>
      <c r="EZ3" s="55">
        <f>SUMIFS(Accounts!$AQ:$AQ,Accounts!$B:$B,"none",Accounts!$AS:$AS, "Wholesale and distribution services (MWD)",Accounts!$E:$E,"QBO")</f>
        <v>0</v>
      </c>
      <c r="FA3" s="34" t="e">
        <f>((FA15+FA18)/((FA14*$C$2)+(0.5*FA17*$C$2)))*$C$2</f>
        <v>#VALUE!</v>
      </c>
      <c r="FB3" s="39">
        <f>COUNTIFS(Accounts!$AS:$AS, "Construction",Accounts!$B:$B,"none",Accounts!$E:$E,"QBO")</f>
        <v>0</v>
      </c>
      <c r="FC3" s="33">
        <f>COUNTIFS(Accounts!$AS:$AS, "Construction",Accounts!$B:$B,"Customer",Accounts!$E:$E,"QBO")</f>
        <v>0</v>
      </c>
      <c r="FD3" s="37">
        <f>SUMIFS(Accounts!$I:$I,Accounts!$AS:$AS, "Construction",Accounts!$E:$E,"QBO")</f>
        <v>0</v>
      </c>
      <c r="FE3" s="37">
        <f>SUMIFS(Accounts!$N:$N,Accounts!$AS:$AS, "Construction",Accounts!$E:$E,"QBO")</f>
        <v>0</v>
      </c>
      <c r="FF3" s="37" t="e">
        <f>FD3/(FC3+FA17)</f>
        <v>#DIV/0!</v>
      </c>
      <c r="FG3" s="37" t="e">
        <f>(FD3+FE3)/(FC3+FA17)</f>
        <v>#DIV/0!</v>
      </c>
      <c r="FH3" s="37" t="e">
        <f>FA13*FF3</f>
        <v>#VALUE!</v>
      </c>
      <c r="FI3" s="37" t="e">
        <f>AVERAGEIFS(Accounts!$AY:$AY,Accounts!$AS:$AS, "Construction",Accounts!$B:$B,"Customer",Accounts!$AY:$AY,"&gt;0",Accounts!$E:$E,"QBO")</f>
        <v>#DIV/0!</v>
      </c>
      <c r="FJ3" s="33" t="e">
        <f>AVERAGEIFS(Accounts!$AX:$AX,Accounts!$AS:$AS, "Construction",Accounts!$B:$B,"Customer",Accounts!$AX:$AX,"&gt;0",Accounts!$E:$E,"QBO")</f>
        <v>#DIV/0!</v>
      </c>
      <c r="FK3" s="37" t="e">
        <f>AVERAGEIFS(Accounts!$AY:$AY,Accounts!$AS:$AS, "Construction",Accounts!$B:$B,"none",Accounts!$AY:$AY,"&gt;0",Accounts!$E:$E,"QBO")</f>
        <v>#DIV/0!</v>
      </c>
      <c r="FL3" s="33" t="e">
        <f>AVERAGEIFS(Accounts!$AX:$AX,Accounts!$AS:$AS, "Construction",Accounts!$B:$B,"none",Accounts!$AX:$AX,"&gt;0",Accounts!$E:$E,"QBO")</f>
        <v>#DIV/0!</v>
      </c>
      <c r="FM3" s="55">
        <f>SUMIFS(Accounts!$AA:$AA,Accounts!$B:$B,"Customer",Accounts!$AS:$AS, "Construction",Accounts!$E:$E,"QBO") + SUMIFS(Accounts!$AH:$AH,Accounts!$B:$B,"Customer",Accounts!$AS:$AS, "Construction",Accounts!$E:$E,"QBO") + SUMIFS(Accounts!$AJ:$AJ,Accounts!$B:$B,"Customer",Accounts!$AS:$AS, "Construction",Accounts!$E:$E,"QBO") + SUMIFS(Accounts!$AI:$AI,Accounts!$B:$B,"Customer",Accounts!$AS:$AS, "Construction",Accounts!$E:$E,"QBO") + SUMIFS(Accounts!$AO:$AO,Accounts!$B:$B,"Customer",Accounts!$AS:$AS, "Construction",Accounts!$E:$E,"QBO")</f>
        <v>0</v>
      </c>
      <c r="FN3" s="55">
        <f>(SUMIFS(Accounts!$AC:$AC,Accounts!$B:$B,"Customer",Accounts!$AS:$AS, "Construction",Accounts!$E:$E,"QBO")+SUMIFS(Accounts!$AF:$AF,Accounts!$B:$B,"Customer",Accounts!$AS:$AS, "Construction",Accounts!$E:$E,"QBO")+SUMIFS(Accounts!$AK:$AK,Accounts!$B:$B,"Customer",Accounts!$AS:$AS, "Construction",Accounts!$E:$E,"QBO"))</f>
        <v>0</v>
      </c>
      <c r="FO3" s="55">
        <f>SUMIFS(Accounts!$AB:$AB,Accounts!$B:$B,"Customer",Accounts!$AS:$AS, "Construction",Accounts!$E:$E,"QBO")</f>
        <v>0</v>
      </c>
      <c r="FP3" s="55">
        <f>SUMIFS(Accounts!$AD:$AD,Accounts!$B:$B,"Customer",Accounts!$AS:$AS, "Construction",Accounts!$E:$E,"QBO")+SUMIFS(Accounts!$AM:$AM,Accounts!$B:$B,"Customer",Accounts!$AS:$AS, "Construction",Accounts!$E:$E,"QBO")+SUMIFS(Accounts!$AN:$AN,Accounts!$B:$B,"Customer",Accounts!$AS:$AS, "Construction",Accounts!$E:$E,"QBO")</f>
        <v>0</v>
      </c>
      <c r="FQ3" s="55">
        <f>SUMIFS(Accounts!$AE:$AE,Accounts!$B:$B,"Customer",Accounts!$AS:$AS, "Construction",Accounts!$E:$E,"QBO") + SUMIFS(Accounts!$AP:$AP,Accounts!$B:$B,"Customer",Accounts!$AS:$AS, "Construction",Accounts!$E:$E,"QBO")</f>
        <v>0</v>
      </c>
      <c r="FR3" s="55">
        <f>SUMIFS(Accounts!$Z:$Z,Accounts!$B:$B,"Customer",Accounts!$AS:$AS, "Construction",Accounts!$E:$E,"QBO")</f>
        <v>0</v>
      </c>
      <c r="FS3" s="55">
        <f>SUMIFS(Accounts!$AG:$AG,Accounts!$B:$B,"Customer",Accounts!$AS:$AS, "Construction",Accounts!$E:$E,"QBO") + SUMIFS(Accounts!$AL:$AL,Accounts!$B:$B,"Customer",Accounts!$AS:$AS, "Construction",Accounts!$E:$E,"QBO")</f>
        <v>0</v>
      </c>
      <c r="FT3" s="55">
        <f>SUMIFS(Accounts!$AQ:$AQ,Accounts!$B:$B,"Customer",Accounts!$AS:$AS, "Construction",Accounts!$E:$E,"QBO")</f>
        <v>0</v>
      </c>
      <c r="FU3" s="55">
        <f>SUMIFS(Accounts!$AA:$AA,Accounts!$B:$B,"none",Accounts!$AS:$AS, "Construction",Accounts!$E:$E,"QBO") + SUMIFS(Accounts!$AH:$AH,Accounts!$B:$B,"none",Accounts!$AS:$AS, "Construction",Accounts!$E:$E,"QBO") + SUMIFS(Accounts!$AJ:$AJ,Accounts!$B:$B,"none",Accounts!$AS:$AS, "Construction",Accounts!$E:$E,"QBO") + SUMIFS(Accounts!$AI:$AI,Accounts!$B:$B,"none",Accounts!$AS:$AS, "Construction",Accounts!$E:$E,"QBO") + SUMIFS(Accounts!$AO:$AO,Accounts!$B:$B,"none",Accounts!$AS:$AS, "Construction",Accounts!$E:$E,"QBO")</f>
        <v>0</v>
      </c>
      <c r="FV3" s="55">
        <f>(SUMIFS(Accounts!$AC:$AC,Accounts!$B:$B,"none",Accounts!$AS:$AS, "Construction",Accounts!$E:$E,"QBO")+SUMIFS(Accounts!$AF:$AF,Accounts!$B:$B,"none",Accounts!$AS:$AS, "Construction",Accounts!$E:$E,"QBO")+SUMIFS(Accounts!$AK:$AK,Accounts!$B:$B,"none",Accounts!$AS:$AS, "Construction",Accounts!$E:$E,"QBO"))</f>
        <v>0</v>
      </c>
      <c r="FW3" s="55">
        <f>SUMIFS(Accounts!$AB:$AB,Accounts!$B:$B,"none",Accounts!$AS:$AS, "Construction",Accounts!$E:$E,"QBO")</f>
        <v>0</v>
      </c>
      <c r="FX3" s="55">
        <f>SUMIFS(Accounts!$AD:$AD,Accounts!$B:$B,"none",Accounts!$AS:$AS, "Construction",Accounts!$E:$E,"QBO")+SUMIFS(Accounts!$AM:$AM,Accounts!$B:$B,"none",Accounts!$AS:$AS, "Construction",Accounts!$E:$E,"QBO")+SUMIFS(Accounts!$AN:$AN,Accounts!$B:$B,"none",Accounts!$AS:$AS, "Construction",Accounts!$E:$E,"QBO")</f>
        <v>0</v>
      </c>
      <c r="FY3" s="39">
        <f>SUMIFS(Accounts!$AE:$AE,Accounts!$B:$B,"none",Accounts!$AS:$AS, "Construction",Accounts!$E:$E,"QBO") + SUMIFS(Accounts!$AP:$AP,Accounts!$B:$B,"none",Accounts!$AS:$AS, "Construction",Accounts!$E:$E,"QBO")</f>
        <v>0</v>
      </c>
      <c r="FZ3" s="55">
        <f>SUMIFS(Accounts!$Z:$Z,Accounts!$B:$B,"none",Accounts!$AS:$AS, "Construction",Accounts!$E:$E,"QBO")</f>
        <v>0</v>
      </c>
      <c r="GA3" s="39">
        <f>SUMIFS(Accounts!$AG:$AG,Accounts!$B:$B,"none",Accounts!$AS:$AS, "Construction",Accounts!$E:$E,"QBO") + SUMIFS(Accounts!$AL:$AL,Accounts!$B:$B,"none",Accounts!$AS:$AS, "Construction",Accounts!$E:$E,"QBO")</f>
        <v>0</v>
      </c>
      <c r="GB3" s="55">
        <f>SUMIFS(Accounts!$AQ:$AQ,Accounts!$B:$B,"none",Accounts!$AS:$AS, "Construction",Accounts!$E:$E,"QBO")</f>
        <v>0</v>
      </c>
      <c r="GC3" s="34" t="e">
        <f>((GC15+GC18)/((GC14*$C$2)+(0.5*GC17*$C$2)))*$C$2</f>
        <v>#VALUE!</v>
      </c>
      <c r="GD3" s="39">
        <f>COUNTIFS(Accounts!$AS:$AS, "Field Services",Accounts!$B:$B,"none",Accounts!$E:$E,"QBO")</f>
        <v>0</v>
      </c>
      <c r="GE3" s="33">
        <f>COUNTIFS(Accounts!$AS:$AS, "Field Services",Accounts!$B:$B,"Customer",Accounts!$E:$E,"QBO")</f>
        <v>0</v>
      </c>
      <c r="GF3" s="37">
        <f>SUMIFS(Accounts!$I:$I,Accounts!$AS:$AS, "Field Services",Accounts!$E:$E,"QBO")</f>
        <v>0</v>
      </c>
      <c r="GG3" s="37">
        <f>SUMIFS(Accounts!$N:$N,Accounts!$AS:$AS, "Field Services",Accounts!$E:$E,"QBO")</f>
        <v>0</v>
      </c>
      <c r="GH3" s="37" t="e">
        <f>GF3/(GE3+GC17)</f>
        <v>#DIV/0!</v>
      </c>
      <c r="GI3" s="37" t="e">
        <f>(GF3+GG3)/(GE3+GC17)</f>
        <v>#DIV/0!</v>
      </c>
      <c r="GJ3" s="37" t="e">
        <f>GC13*GH3</f>
        <v>#VALUE!</v>
      </c>
      <c r="GK3" s="37">
        <f>IFERROR(AVERAGEIFS(Accounts!$AY:$AY,Accounts!$AS:$AS,"Field Services",Accounts!$B:$B,"Customer",Accounts!$AY:$AY,"&gt;0",Accounts!$E:$E,"QBO"),0)</f>
        <v>0</v>
      </c>
      <c r="GL3" s="33">
        <f>IFERROR(AVERAGEIFS(Accounts!$AX:$AX,Accounts!$AS:$AS, "Field Services",Accounts!$B:$B,"Customer",Accounts!$AX:$AX,"&gt;0",Accounts!$E:$E,"QBO"),0)</f>
        <v>0</v>
      </c>
      <c r="GM3" s="37">
        <f>IFERROR(AVERAGEIFS(Accounts!$AY:$AY,Accounts!$AS:$AS, "Field Services",Accounts!$B:$B,"none",Accounts!$AY:$AY,"&gt;0",Accounts!$E:$E,"QBO"),0)</f>
        <v>0</v>
      </c>
      <c r="GN3" s="33">
        <f>IFERROR(AVERAGEIFS(Accounts!$AX:$AX,Accounts!$AS:$AS, "Field Services",Accounts!$B:$B,"none",Accounts!$AX:$AX,"&gt;0",Accounts!$E:$E,"QBO"),0)</f>
        <v>0</v>
      </c>
      <c r="GO3" s="55">
        <f>SUMIFS(Accounts!$AA:$AA,Accounts!$B:$B,"Customer",Accounts!$AS:$AS, "Field Services",Accounts!$E:$E,"QBO") + SUMIFS(Accounts!$AH:$AH,Accounts!$B:$B,"Customer",Accounts!$AS:$AS, "Field Services",Accounts!$E:$E,"QBO") + SUMIFS(Accounts!$AJ:$AJ,Accounts!$B:$B,"Customer",Accounts!$AS:$AS, "Field Services",Accounts!$E:$E,"QBO") + SUMIFS(Accounts!$AI:$AI,Accounts!$B:$B,"Customer",Accounts!$AS:$AS, "Field Services",Accounts!$E:$E,"QBO") + SUMIFS(Accounts!$AO:$AO,Accounts!$B:$B,"Customer",Accounts!$AS:$AS, "Field Services",Accounts!$E:$E,"QBO")</f>
        <v>0</v>
      </c>
      <c r="GP3" s="55">
        <f>(SUMIFS(Accounts!$AC:$AC,Accounts!$B:$B,"Customer",Accounts!$AS:$AS, "Field Services",Accounts!$E:$E,"QBO")+SUMIFS(Accounts!$AF:$AF,Accounts!$B:$B,"Customer",Accounts!$AS:$AS, "Field Services",Accounts!$E:$E,"QBO")+SUMIFS(Accounts!$AK:$AK,Accounts!$B:$B,"Customer",Accounts!$AS:$AS, "Field Services",Accounts!$E:$E,"QBO"))</f>
        <v>0</v>
      </c>
      <c r="GQ3" s="55">
        <f>SUMIFS(Accounts!$AB:$AB,Accounts!$B:$B,"Customer",Accounts!$AS:$AS, "Field Services",Accounts!$E:$E,"QBO")</f>
        <v>0</v>
      </c>
      <c r="GR3" s="55">
        <f>SUMIFS(Accounts!$AD:$AD,Accounts!$B:$B,"Customer",Accounts!$AS:$AS, "Field Services",Accounts!$E:$E,"QBO")+SUMIFS(Accounts!$AM:$AM,Accounts!$B:$B,"Customer",Accounts!$AS:$AS, "Field Services",Accounts!$E:$E,"QBO")+SUMIFS(Accounts!$AN:$AN,Accounts!$B:$B,"Customer",Accounts!$AS:$AS, "Field Services",Accounts!$E:$E,"QBO")</f>
        <v>0</v>
      </c>
      <c r="GS3" s="55">
        <f>SUMIFS(Accounts!$AE:$AE,Accounts!$B:$B,"Customer",Accounts!$AS:$AS, "Field Services",Accounts!$E:$E,"QBO") + SUMIFS(Accounts!$AP:$AP,Accounts!$B:$B,"Customer",Accounts!$AS:$AS, "Field Services",Accounts!$E:$E,"QBO")</f>
        <v>0</v>
      </c>
      <c r="GT3" s="55">
        <f>SUMIFS(Accounts!$Z:$Z,Accounts!$B:$B,"Customer",Accounts!$AS:$AS, "Field Services",Accounts!$E:$E,"QBO")</f>
        <v>0</v>
      </c>
      <c r="GU3" s="55">
        <f>SUMIFS(Accounts!$AG:$AG,Accounts!$B:$B,"Customer",Accounts!$AS:$AS, "Field Services",Accounts!$E:$E,"QBO") + SUMIFS(Accounts!$AL:$AL,Accounts!$B:$B,"Customer",Accounts!$AS:$AS, "Field Services",Accounts!$E:$E,"QBO")</f>
        <v>0</v>
      </c>
      <c r="GV3" s="55">
        <f>SUMIFS(Accounts!$AQ:$AQ,Accounts!$B:$B,"Customer",Accounts!$AS:$AS, "Field Services",Accounts!$E:$E,"QBO")</f>
        <v>0</v>
      </c>
      <c r="GW3" s="55">
        <f>SUMIFS(Accounts!$AA:$AA,Accounts!$B:$B,"none",Accounts!$AS:$AS, "Field Services",Accounts!$E:$E,"QBO") + SUMIFS(Accounts!$AH:$AH,Accounts!$B:$B,"none",Accounts!$AS:$AS, "Field Services",Accounts!$E:$E,"QBO") + SUMIFS(Accounts!$AJ:$AJ,Accounts!$B:$B,"none",Accounts!$AS:$AS, "Field Services",Accounts!$E:$E,"QBO") + SUMIFS(Accounts!$AI:$AI,Accounts!$B:$B,"none",Accounts!$AS:$AS, "Field Services",Accounts!$E:$E,"QBO") + SUMIFS(Accounts!$AO:$AO,Accounts!$B:$B,"none",Accounts!$AS:$AS, "Field Services",Accounts!$E:$E,"QBO")</f>
        <v>0</v>
      </c>
      <c r="GX3" s="55">
        <f>(SUMIFS(Accounts!$AC:$AC,Accounts!$B:$B,"none",Accounts!$AS:$AS, "Field Services",Accounts!$E:$E,"QBO")+SUMIFS(Accounts!$AF:$AF,Accounts!$B:$B,"none",Accounts!$AS:$AS, "Field Services",Accounts!$E:$E,"QBO")+SUMIFS(Accounts!$AK:$AK,Accounts!$B:$B,"none",Accounts!$AS:$AS, "Field Services",Accounts!$E:$E,"QBO"))</f>
        <v>0</v>
      </c>
      <c r="GY3" s="55">
        <f>SUMIFS(Accounts!$AB:$AB,Accounts!$B:$B,"none",Accounts!$AS:$AS, "Field Services",Accounts!$E:$E,"QBO")</f>
        <v>0</v>
      </c>
      <c r="GZ3" s="55">
        <f>SUMIFS(Accounts!$AD:$AD,Accounts!$B:$B,"none",Accounts!$AS:$AS, "Field Services",Accounts!$E:$E,"QBO")+SUMIFS(Accounts!$AM:$AM,Accounts!$B:$B,"none",Accounts!$AS:$AS, "Field Services",Accounts!$E:$E,"QBO")+SUMIFS(Accounts!$AN:$AN,Accounts!$B:$B,"none",Accounts!$AS:$AS, "Field Services",Accounts!$E:$E,"QBO")</f>
        <v>0</v>
      </c>
      <c r="HA3" s="39">
        <f>SUMIFS(Accounts!$AE:$AE,Accounts!$B:$B,"none",Accounts!$AS:$AS, "Field Services",Accounts!$E:$E,"QBO") + SUMIFS(Accounts!$AP:$AP,Accounts!$B:$B,"none",Accounts!$AS:$AS, "Field Services",Accounts!$E:$E,"QBO")</f>
        <v>0</v>
      </c>
      <c r="HB3" s="55">
        <f>SUMIFS(Accounts!$Z:$Z,Accounts!$B:$B,"none",Accounts!$AS:$AS, "Field Services",Accounts!$E:$E,"QBO")</f>
        <v>0</v>
      </c>
      <c r="HC3" s="39">
        <f>SUMIFS(Accounts!$AG:$AG,Accounts!$B:$B,"none",Accounts!$AS:$AS, "Field Services",Accounts!$E:$E,"QBO") + SUMIFS(Accounts!$AL:$AL,Accounts!$B:$B,"none",Accounts!$AS:$AS, "Field Services",Accounts!$E:$E,"QBO")</f>
        <v>0</v>
      </c>
      <c r="HD3" s="55">
        <f>SUMIFS(Accounts!$AQ:$AQ,Accounts!$B:$B,"none",Accounts!$AS:$AS, "Field Services",Accounts!$E:$E,"QBO")</f>
        <v>0</v>
      </c>
      <c r="HE3" s="34" t="e">
        <f>((HE15+HE18)/((HE14*$C$2)+(0.5*HE17*$C$2)))*$C$2</f>
        <v>#VALUE!</v>
      </c>
      <c r="HF3" s="39">
        <f>COUNTIFS(Accounts!$AS:$AS, "Consulting and Professional Services",Accounts!$B:$B,"none",Accounts!$E:$E,"QBO")</f>
        <v>0</v>
      </c>
      <c r="HG3" s="33">
        <f>COUNTIFS(Accounts!$AS:$AS, "Consulting and Professional Services",Accounts!$B:$B,"Customer",Accounts!$E:$E,"QBO")</f>
        <v>0</v>
      </c>
      <c r="HH3" s="37">
        <f>SUMIFS(Accounts!$I:$I,Accounts!$AS:$AS, "Consulting and Professional Services",Accounts!$E:$E,"QBO")</f>
        <v>0</v>
      </c>
      <c r="HI3" s="37">
        <f>SUMIFS(Accounts!$N:$N,Accounts!$AS:$AS, "Consulting and Professional Services",Accounts!$E:$E,"QBO")</f>
        <v>0</v>
      </c>
      <c r="HJ3" s="37" t="e">
        <f>HH3/(HG3+HE17)</f>
        <v>#DIV/0!</v>
      </c>
      <c r="HK3" s="37" t="e">
        <f>(HH3+HI3)/(HG3+HE17)</f>
        <v>#DIV/0!</v>
      </c>
      <c r="HL3" s="37" t="e">
        <f>HE13*HJ3</f>
        <v>#VALUE!</v>
      </c>
      <c r="HM3" s="37">
        <f>IFERROR(AVERAGEIFS(Accounts!$AY:$AY,Accounts!$AS:$AS,"Consulting and Professional Services",Accounts!$B:$B,"Customer",Accounts!$AY:$AY,"&gt;0",Accounts!$E:$E,"QBO"),0)</f>
        <v>0</v>
      </c>
      <c r="HN3" s="33">
        <f>IFERROR(AVERAGEIFS(Accounts!$AX:$AX,Accounts!$AS:$AS, "Consulting and Professional Services",Accounts!$B:$B,"Customer",Accounts!$AX:$AX,"&gt;0",Accounts!$E:$E,"QBO"),0)</f>
        <v>0</v>
      </c>
      <c r="HO3" s="37">
        <f>IFERROR(AVERAGEIFS(Accounts!$AY:$AY,Accounts!$AS:$AS, "Consulting and Professional Services",Accounts!$B:$B,"none",Accounts!$AY:$AY,"&gt;0",Accounts!$E:$E,"QBO"),0)</f>
        <v>0</v>
      </c>
      <c r="HP3" s="33">
        <f>IFERROR(AVERAGEIFS(Accounts!$AX:$AX,Accounts!$AS:$AS, "Consulting and Professional Services",Accounts!$B:$B,"none",Accounts!$AX:$AX,"&gt;0",Accounts!$E:$E,"QBO"),0)</f>
        <v>0</v>
      </c>
      <c r="HQ3" s="55">
        <f>SUMIFS(Accounts!$AA:$AA,Accounts!$B:$B,"Customer",Accounts!$AS:$AS, "Consulting and Professional Services",Accounts!$E:$E,"QBO") + SUMIFS(Accounts!$AH:$AH,Accounts!$B:$B,"Customer",Accounts!$AS:$AS, "Consulting and Professional Services",Accounts!$E:$E,"QBO") + SUMIFS(Accounts!$AJ:$AJ,Accounts!$B:$B,"Customer",Accounts!$AS:$AS, "Consulting and Professional Services",Accounts!$E:$E,"QBO") + SUMIFS(Accounts!$AI:$AI,Accounts!$B:$B,"Customer",Accounts!$AS:$AS, "Consulting and Professional Services",Accounts!$E:$E,"QBO") + SUMIFS(Accounts!$AO:$AO,Accounts!$B:$B,"Customer",Accounts!$AS:$AS, "Consulting and Professional Services",Accounts!$E:$E,"QBO")</f>
        <v>0</v>
      </c>
      <c r="HR3" s="55">
        <f>(SUMIFS(Accounts!$AC:$AC,Accounts!$B:$B,"Customer",Accounts!$AS:$AS, "Consulting and Professional Services",Accounts!$E:$E,"QBO")+SUMIFS(Accounts!$AF:$AF,Accounts!$B:$B,"Customer",Accounts!$AS:$AS, "Consulting and Professional Services",Accounts!$E:$E,"QBO")+SUMIFS(Accounts!$AK:$AK,Accounts!$B:$B,"Customer",Accounts!$AS:$AS, "Consulting and Professional Services",Accounts!$E:$E,"QBO"))</f>
        <v>0</v>
      </c>
      <c r="HS3" s="55">
        <f>SUMIFS(Accounts!$AB:$AB,Accounts!$B:$B,"Customer",Accounts!$AS:$AS, "Consulting and Professional Services",Accounts!$E:$E,"QBO")</f>
        <v>0</v>
      </c>
      <c r="HT3" s="55">
        <f>SUMIFS(Accounts!$AD:$AD,Accounts!$B:$B,"Customer",Accounts!$AS:$AS, "Consulting and Professional Services",Accounts!$E:$E,"QBO")+SUMIFS(Accounts!$AM:$AM,Accounts!$B:$B,"Customer",Accounts!$AS:$AS, "Consulting and Professional Services",Accounts!$E:$E,"QBO")+SUMIFS(Accounts!$AN:$AN,Accounts!$B:$B,"Customer",Accounts!$AS:$AS, "Consulting and Professional Services",Accounts!$E:$E,"QBO")</f>
        <v>0</v>
      </c>
      <c r="HU3" s="55">
        <f>SUMIFS(Accounts!$AE:$AE,Accounts!$B:$B,"Customer",Accounts!$AS:$AS, "Consulting and Professional Services",Accounts!$E:$E,"QBO") + SUMIFS(Accounts!$AP:$AP,Accounts!$B:$B,"Customer",Accounts!$AS:$AS, "Consulting and Professional Services",Accounts!$E:$E,"QBO")</f>
        <v>0</v>
      </c>
      <c r="HV3" s="55">
        <f>SUMIFS(Accounts!$Z:$Z,Accounts!$B:$B,"Customer",Accounts!$AS:$AS, "Consulting and Professional Services",Accounts!$E:$E,"QBO")</f>
        <v>0</v>
      </c>
      <c r="HW3" s="55">
        <f>SUMIFS(Accounts!$AG:$AG,Accounts!$B:$B,"Customer",Accounts!$AS:$AS, "Consulting and Professional Services",Accounts!$E:$E,"QBO") + SUMIFS(Accounts!$AL:$AL,Accounts!$B:$B,"Customer",Accounts!$AS:$AS, "Consulting and Professional Services",Accounts!$E:$E,"QBO")</f>
        <v>0</v>
      </c>
      <c r="HX3" s="55">
        <f>SUMIFS(Accounts!$AQ:$AQ,Accounts!$B:$B,"Customer",Accounts!$AS:$AS, "Consulting and Professional Services",Accounts!$E:$E,"QBO")</f>
        <v>0</v>
      </c>
      <c r="HY3" s="55">
        <f>SUMIFS(Accounts!$AA:$AA,Accounts!$B:$B,"none",Accounts!$AS:$AS, "Consulting and Professional Services",Accounts!$E:$E,"QBO") + SUMIFS(Accounts!$AH:$AH,Accounts!$B:$B,"none",Accounts!$AS:$AS, "Consulting and Professional Services",Accounts!$E:$E,"QBO") + SUMIFS(Accounts!$AJ:$AJ,Accounts!$B:$B,"none",Accounts!$AS:$AS, "Consulting and Professional Services",Accounts!$E:$E,"QBO") + SUMIFS(Accounts!$AI:$AI,Accounts!$B:$B,"none",Accounts!$AS:$AS, "Consulting and Professional Services",Accounts!$E:$E,"QBO") + SUMIFS(Accounts!$AO:$AO,Accounts!$B:$B,"none",Accounts!$AS:$AS, "Consulting and Professional Services",Accounts!$E:$E,"QBO")</f>
        <v>0</v>
      </c>
      <c r="HZ3" s="55">
        <f>(SUMIFS(Accounts!$AC:$AC,Accounts!$B:$B,"none",Accounts!$AS:$AS, "Consulting and Professional Services",Accounts!$E:$E,"QBO")+SUMIFS(Accounts!$AF:$AF,Accounts!$B:$B,"none",Accounts!$AS:$AS, "Consulting and Professional Services",Accounts!$E:$E,"QBO")+SUMIFS(Accounts!$AK:$AK,Accounts!$B:$B,"none",Accounts!$AS:$AS, "Consulting and Professional Services",Accounts!$E:$E,"QBO"))</f>
        <v>0</v>
      </c>
      <c r="IA3" s="55">
        <f>SUMIFS(Accounts!$AB:$AB,Accounts!$B:$B,"none",Accounts!$AS:$AS, "Consulting and Professional Services",Accounts!$E:$E,"QBO")</f>
        <v>0</v>
      </c>
      <c r="IB3" s="55">
        <f>SUMIFS(Accounts!$AD:$AD,Accounts!$B:$B,"none",Accounts!$AS:$AS, "Consulting and Professional Services",Accounts!$E:$E,"QBO")+SUMIFS(Accounts!$AM:$AM,Accounts!$B:$B,"none",Accounts!$AS:$AS, "Consulting and Professional Services",Accounts!$E:$E,"QBO")+SUMIFS(Accounts!$AN:$AN,Accounts!$B:$B,"none",Accounts!$AS:$AS, "Consulting and Professional Services",Accounts!$E:$E,"QBO")</f>
        <v>0</v>
      </c>
      <c r="IC3" s="39">
        <f>SUMIFS(Accounts!$AE:$AE,Accounts!$B:$B,"none",Accounts!$AS:$AS, "Consulting and Professional Services",Accounts!$E:$E,"QBO") + SUMIFS(Accounts!$AP:$AP,Accounts!$B:$B,"none",Accounts!$AS:$AS, "Consulting and Professional Services",Accounts!$E:$E,"QBO")</f>
        <v>0</v>
      </c>
      <c r="ID3" s="55">
        <f>SUMIFS(Accounts!$Z:$Z,Accounts!$B:$B,"none",Accounts!$AS:$AS, "Consulting and Professional Services",Accounts!$E:$E,"QBO")</f>
        <v>0</v>
      </c>
      <c r="IE3" s="39">
        <f>SUMIFS(Accounts!$AG:$AG,Accounts!$B:$B,"none",Accounts!$AS:$AS, "Consulting and Professional Services",Accounts!$E:$E,"QBO") + SUMIFS(Accounts!$AL:$AL,Accounts!$B:$B,"none",Accounts!$AS:$AS, "Consulting and Professional Services",Accounts!$E:$E,"QBO")</f>
        <v>0</v>
      </c>
      <c r="IF3" s="55">
        <f>SUMIFS(Accounts!$AQ:$AQ,Accounts!$B:$B,"none",Accounts!$AS:$AS, "Consulting and Professional Services",Accounts!$E:$E,"QBO")</f>
        <v>0</v>
      </c>
      <c r="IG3" s="34" t="e">
        <f>((IG15+IG18)/((IG14*$C$2)+(0.5*IG17*$C$2)))*$C$2</f>
        <v>#VALUE!</v>
      </c>
      <c r="IH3" s="39">
        <f>COUNTIFS(Accounts!$AS:$AS, "Retail",Accounts!$B:$B,"none",Accounts!$E:$E,"QBO")</f>
        <v>0</v>
      </c>
      <c r="II3" s="33">
        <f>COUNTIFS(Accounts!$AS:$AS, "Retail",Accounts!$B:$B,"Customer",Accounts!$E:$E,"QBO")</f>
        <v>0</v>
      </c>
      <c r="IJ3" s="37">
        <f>SUMIFS(Accounts!$I:$I,Accounts!$AS:$AS, "Retail",Accounts!$E:$E,"QBO")</f>
        <v>0</v>
      </c>
      <c r="IK3" s="37">
        <f>SUMIFS(Accounts!$N:$N,Accounts!$AS:$AS, "Retail",Accounts!$E:$E,"QBO")</f>
        <v>0</v>
      </c>
      <c r="IL3" s="37" t="e">
        <f>IJ3/(II3+IG17)</f>
        <v>#DIV/0!</v>
      </c>
      <c r="IM3" s="37" t="e">
        <f>(IJ3+IK3)/(II3+IG17)</f>
        <v>#DIV/0!</v>
      </c>
      <c r="IN3" s="37" t="e">
        <f>IG13*IL3</f>
        <v>#VALUE!</v>
      </c>
      <c r="IO3" s="37">
        <f>IFERROR(AVERAGEIFS(Accounts!$AY:$AY,Accounts!$AS:$AS,"Retail",Accounts!$B:$B,"Customer",Accounts!$AY:$AY,"&gt;0",Accounts!$E:$E,"QBO"),0)</f>
        <v>0</v>
      </c>
      <c r="IP3" s="33">
        <f>IFERROR(AVERAGEIFS(Accounts!$AX:$AX,Accounts!$AS:$AS, "Retail",Accounts!$B:$B,"Customer",Accounts!$AX:$AX,"&gt;0",Accounts!$E:$E,"QBO"),0)</f>
        <v>0</v>
      </c>
      <c r="IQ3" s="37">
        <f>IFERROR(AVERAGEIFS(Accounts!$AY:$AY,Accounts!$AS:$AS, "Retail",Accounts!$B:$B,"none",Accounts!$AY:$AY,"&gt;0",Accounts!$E:$E,"QBO"),0)</f>
        <v>0</v>
      </c>
      <c r="IR3" s="33">
        <f>IFERROR(AVERAGEIFS(Accounts!$AX:$AX,Accounts!$AS:$AS, "Retail",Accounts!$B:$B,"none",Accounts!$AX:$AX,"&gt;0",Accounts!$E:$E,"QBO"),0)</f>
        <v>0</v>
      </c>
      <c r="IS3" s="55">
        <f>SUMIFS(Accounts!$AA:$AA,Accounts!$B:$B,"Customer",Accounts!$AS:$AS, "Retail",Accounts!$E:$E,"QBO") + SUMIFS(Accounts!$AH:$AH,Accounts!$B:$B,"Customer",Accounts!$AS:$AS, "Retail",Accounts!$E:$E,"QBO") + SUMIFS(Accounts!$AJ:$AJ,Accounts!$B:$B,"Customer",Accounts!$AS:$AS, "Retail",Accounts!$E:$E,"QBO") + SUMIFS(Accounts!$AI:$AI,Accounts!$B:$B,"Customer",Accounts!$AS:$AS, "Retail",Accounts!$E:$E,"QBO") + SUMIFS(Accounts!$AO:$AO,Accounts!$B:$B,"Customer",Accounts!$AS:$AS, "Retail",Accounts!$E:$E,"QBO")</f>
        <v>0</v>
      </c>
      <c r="IT3" s="55">
        <f>(SUMIFS(Accounts!$AC:$AC,Accounts!$B:$B,"Customer",Accounts!$AS:$AS, "Retail",Accounts!$E:$E,"QBO")+SUMIFS(Accounts!$AF:$AF,Accounts!$B:$B,"Customer",Accounts!$AS:$AS, "Retail",Accounts!$E:$E,"QBO")+SUMIFS(Accounts!$AK:$AK,Accounts!$B:$B,"Customer",Accounts!$AS:$AS, "Retail",Accounts!$E:$E,"QBO"))</f>
        <v>0</v>
      </c>
      <c r="IU3" s="55">
        <f>SUMIFS(Accounts!$AB:$AB,Accounts!$B:$B,"Customer",Accounts!$AS:$AS, "Retail",Accounts!$E:$E,"QBO")</f>
        <v>0</v>
      </c>
      <c r="IV3" s="55">
        <f>SUMIFS(Accounts!$AD:$AD,Accounts!$B:$B,"Customer",Accounts!$AS:$AS, "Retail",Accounts!$E:$E,"QBO")+SUMIFS(Accounts!$AM:$AM,Accounts!$B:$B,"Customer",Accounts!$AS:$AS, "Retail",Accounts!$E:$E,"QBO")+SUMIFS(Accounts!$AN:$AN,Accounts!$B:$B,"Customer",Accounts!$AS:$AS, "Retail",Accounts!$E:$E,"QBO")</f>
        <v>0</v>
      </c>
      <c r="IW3" s="55">
        <f>SUMIFS(Accounts!$AE:$AE,Accounts!$B:$B,"Customer",Accounts!$AS:$AS, "Retail",Accounts!$E:$E,"QBO") + SUMIFS(Accounts!$AP:$AP,Accounts!$B:$B,"Customer",Accounts!$AS:$AS, "Retail",Accounts!$E:$E,"QBO")</f>
        <v>0</v>
      </c>
      <c r="IX3" s="55">
        <f>SUMIFS(Accounts!$Z:$Z,Accounts!$B:$B,"Customer",Accounts!$AS:$AS, "Retail",Accounts!$E:$E,"QBO")</f>
        <v>0</v>
      </c>
      <c r="IY3" s="55">
        <f>SUMIFS(Accounts!$AG:$AG,Accounts!$B:$B,"Customer",Accounts!$AS:$AS, "Retail",Accounts!$E:$E,"QBO") + SUMIFS(Accounts!$AL:$AL,Accounts!$B:$B,"Customer",Accounts!$AS:$AS, "Retail",Accounts!$E:$E,"QBO")</f>
        <v>0</v>
      </c>
      <c r="IZ3" s="55">
        <f>SUMIFS(Accounts!$AQ:$AQ,Accounts!$B:$B,"Customer",Accounts!$AS:$AS, "Retail",Accounts!$E:$E,"QBO")</f>
        <v>0</v>
      </c>
      <c r="JA3" s="55">
        <f>SUMIFS(Accounts!$AA:$AA,Accounts!$B:$B,"none",Accounts!$AS:$AS, "Retail",Accounts!$E:$E,"QBO") + SUMIFS(Accounts!$AH:$AH,Accounts!$B:$B,"none",Accounts!$AS:$AS, "Retail",Accounts!$E:$E,"QBO") + SUMIFS(Accounts!$AJ:$AJ,Accounts!$B:$B,"none",Accounts!$AS:$AS, "Retail",Accounts!$E:$E,"QBO") + SUMIFS(Accounts!$AI:$AI,Accounts!$B:$B,"none",Accounts!$AS:$AS, "Retail",Accounts!$E:$E,"QBO") + SUMIFS(Accounts!$AO:$AO,Accounts!$B:$B,"none",Accounts!$AS:$AS, "Retail",Accounts!$E:$E,"QBO")</f>
        <v>0</v>
      </c>
      <c r="JB3" s="55">
        <f>(SUMIFS(Accounts!$AC:$AC,Accounts!$B:$B,"none",Accounts!$AS:$AS, "Retail",Accounts!$E:$E,"QBO")+SUMIFS(Accounts!$AF:$AF,Accounts!$B:$B,"none",Accounts!$AS:$AS, "Retail",Accounts!$E:$E,"QBO")+SUMIFS(Accounts!$AK:$AK,Accounts!$B:$B,"none",Accounts!$AS:$AS, "Retail",Accounts!$E:$E,"QBO"))</f>
        <v>0</v>
      </c>
      <c r="JC3" s="55">
        <f>SUMIFS(Accounts!$AB:$AB,Accounts!$B:$B,"none",Accounts!$AS:$AS, "Retail",Accounts!$E:$E,"QBO")</f>
        <v>0</v>
      </c>
      <c r="JD3" s="55">
        <f>SUMIFS(Accounts!$AD:$AD,Accounts!$B:$B,"none",Accounts!$AS:$AS, "Retail",Accounts!$E:$E,"QBO")+SUMIFS(Accounts!$AM:$AM,Accounts!$B:$B,"none",Accounts!$AS:$AS, "Retail",Accounts!$E:$E,"QBO")+SUMIFS(Accounts!$AN:$AN,Accounts!$B:$B,"none",Accounts!$AS:$AS, "Retail",Accounts!$E:$E,"QBO")</f>
        <v>0</v>
      </c>
      <c r="JE3" s="39">
        <f>SUMIFS(Accounts!$AE:$AE,Accounts!$B:$B,"none",Accounts!$AS:$AS, "Retail",Accounts!$E:$E,"QBO") + SUMIFS(Accounts!$AP:$AP,Accounts!$B:$B,"none",Accounts!$AS:$AS, "Retail",Accounts!$E:$E,"QBO")</f>
        <v>0</v>
      </c>
      <c r="JF3" s="55">
        <f>SUMIFS(Accounts!$Z:$Z,Accounts!$B:$B,"none",Accounts!$AS:$AS, "Retail",Accounts!$E:$E,"QBO")</f>
        <v>0</v>
      </c>
      <c r="JG3" s="39">
        <f>SUMIFS(Accounts!$AG:$AG,Accounts!$B:$B,"none",Accounts!$AS:$AS, "Retail",Accounts!$E:$E,"QBO") + SUMIFS(Accounts!$AL:$AL,Accounts!$B:$B,"none",Accounts!$AS:$AS, "Retail",Accounts!$E:$E,"QBO")</f>
        <v>0</v>
      </c>
      <c r="JH3" s="55">
        <f>SUMIFS(Accounts!$AQ:$AQ,Accounts!$B:$B,"none",Accounts!$AS:$AS, "Retail",Accounts!$E:$E,"QBO")</f>
        <v>0</v>
      </c>
      <c r="JI3" s="34" t="e">
        <f>((JI15+JI18)/((JI14*$C$2)+(0.5*JI17*$C$2)))*$C$2</f>
        <v>#VALUE!</v>
      </c>
      <c r="JJ3" s="39">
        <f>COUNTIFS(Accounts!$AS:$AS, "Non-profit, govt or religious organization",Accounts!$B:$B,"none",Accounts!$E:$E,"QBO")</f>
        <v>0</v>
      </c>
      <c r="JK3" s="33">
        <f>COUNTIFS(Accounts!$AS:$AS, "Non-profit, govt or religious organization",Accounts!$B:$B,"Customer",Accounts!$E:$E,"QBO")</f>
        <v>0</v>
      </c>
      <c r="JL3" s="37">
        <f>SUMIFS(Accounts!$I:$I,Accounts!$AS:$AS, "Non-profit, govt or religious organization",Accounts!$E:$E,"QBO")</f>
        <v>0</v>
      </c>
      <c r="JM3" s="37">
        <f>SUMIFS(Accounts!$N:$N,Accounts!$AS:$AS, "Non-profit, govt or religious organization",Accounts!$E:$E,"QBO")</f>
        <v>0</v>
      </c>
      <c r="JN3" s="37" t="e">
        <f>JL3/(JK3+JI17)</f>
        <v>#DIV/0!</v>
      </c>
      <c r="JO3" s="37" t="e">
        <f>(JL3+JM3)/(JK3+JI17)</f>
        <v>#DIV/0!</v>
      </c>
      <c r="JP3" s="37" t="e">
        <f>JI13*JN3</f>
        <v>#VALUE!</v>
      </c>
      <c r="JQ3" s="37">
        <f>IFERROR(AVERAGEIFS(Accounts!$AY:$AY,Accounts!$AS:$AS,"Non-profit, govt or religious organization",Accounts!$B:$B,"Customer",Accounts!$AY:$AY,"&gt;0",Accounts!$E:$E,"QBO"),0)</f>
        <v>0</v>
      </c>
      <c r="JR3" s="33">
        <f>IFERROR(AVERAGEIFS(Accounts!$AX:$AX,Accounts!$AS:$AS, "Non-profit, govt or religious organization",Accounts!$B:$B,"Customer",Accounts!$AX:$AX,"&gt;0",Accounts!$E:$E,"QBO"),0)</f>
        <v>0</v>
      </c>
      <c r="JS3" s="37">
        <f>IFERROR(AVERAGEIFS(Accounts!$AY:$AY,Accounts!$AS:$AS, "Non-profit, govt or religious organization",Accounts!$B:$B,"none",Accounts!$AY:$AY,"&gt;0",Accounts!$E:$E,"QBO"),0)</f>
        <v>0</v>
      </c>
      <c r="JT3" s="33">
        <f>IFERROR(AVERAGEIFS(Accounts!$AX:$AX,Accounts!$AS:$AS, "Non-profit, govt or religious organization",Accounts!$B:$B,"none",Accounts!$AX:$AX,"&gt;0",Accounts!$E:$E,"QBO"),0)</f>
        <v>0</v>
      </c>
      <c r="JU3" s="55">
        <f>SUMIFS(Accounts!$AA:$AA,Accounts!$B:$B,"Customer",Accounts!$AS:$AS, "Non-profit, govt or religious organization",Accounts!$E:$E,"QBO") + SUMIFS(Accounts!$AH:$AH,Accounts!$B:$B,"Customer",Accounts!$AS:$AS, "Non-profit, govt or religious organization",Accounts!$E:$E,"QBO") + SUMIFS(Accounts!$AJ:$AJ,Accounts!$B:$B,"Customer",Accounts!$AS:$AS, "Non-profit, govt or religious organization",Accounts!$E:$E,"QBO") + SUMIFS(Accounts!$AI:$AI,Accounts!$B:$B,"Customer",Accounts!$AS:$AS, "Non-profit, govt or religious organization",Accounts!$E:$E,"QBO") + SUMIFS(Accounts!$AO:$AO,Accounts!$B:$B,"Customer",Accounts!$AS:$AS, "Non-profit, govt or religious organization",Accounts!$E:$E,"QBO")</f>
        <v>0</v>
      </c>
      <c r="JV3" s="55">
        <f>(SUMIFS(Accounts!$AC:$AC,Accounts!$B:$B,"Customer",Accounts!$AS:$AS, "Non-profit, govt or religious organization",Accounts!$E:$E,"QBO")+SUMIFS(Accounts!$AF:$AF,Accounts!$B:$B,"Customer",Accounts!$AS:$AS, "Non-profit, govt or religious organization",Accounts!$E:$E,"QBO")+SUMIFS(Accounts!$AK:$AK,Accounts!$B:$B,"Customer",Accounts!$AS:$AS, "Non-profit, govt or religious organization",Accounts!$E:$E,"QBO"))</f>
        <v>0</v>
      </c>
      <c r="JW3" s="55">
        <f>SUMIFS(Accounts!$AB:$AB,Accounts!$B:$B,"Customer",Accounts!$AS:$AS, "Non-profit, govt or religious organization",Accounts!$E:$E,"QBO")</f>
        <v>0</v>
      </c>
      <c r="JX3" s="55">
        <f>SUMIFS(Accounts!$AD:$AD,Accounts!$B:$B,"Customer",Accounts!$AS:$AS, "Non-profit, govt or religious organization",Accounts!$E:$E,"QBO")+SUMIFS(Accounts!$AM:$AM,Accounts!$B:$B,"Customer",Accounts!$AS:$AS, "Non-profit, govt or religious organization",Accounts!$E:$E,"QBO")+SUMIFS(Accounts!$AN:$AN,Accounts!$B:$B,"Customer",Accounts!$AS:$AS, "Non-profit, govt or religious organization",Accounts!$E:$E,"QBO")</f>
        <v>0</v>
      </c>
      <c r="JY3" s="55">
        <f>SUMIFS(Accounts!$AE:$AE,Accounts!$B:$B,"Customer",Accounts!$AS:$AS, "Non-profit, govt or religious organization",Accounts!$E:$E,"QBO") + SUMIFS(Accounts!$AP:$AP,Accounts!$B:$B,"Customer",Accounts!$AS:$AS, "Non-profit, govt or religious organization",Accounts!$E:$E,"QBO")</f>
        <v>0</v>
      </c>
      <c r="JZ3" s="55">
        <f>SUMIFS(Accounts!$Z:$Z,Accounts!$B:$B,"Customer",Accounts!$AS:$AS, "Non-profit, govt or religious organization",Accounts!$E:$E,"QBO")</f>
        <v>0</v>
      </c>
      <c r="KA3" s="55">
        <f>SUMIFS(Accounts!$AG:$AG,Accounts!$B:$B,"Customer",Accounts!$AS:$AS, "Non-profit, govt or religious organization",Accounts!$E:$E,"QBO") + SUMIFS(Accounts!$AL:$AL,Accounts!$B:$B,"Customer",Accounts!$AS:$AS, "Non-profit, govt or religious organization",Accounts!$E:$E,"QBO")</f>
        <v>0</v>
      </c>
      <c r="KB3" s="55">
        <f>SUMIFS(Accounts!$AQ:$AQ,Accounts!$B:$B,"Customer",Accounts!$AS:$AS, "Non-profit, govt or religious organization",Accounts!$E:$E,"QBO")</f>
        <v>0</v>
      </c>
      <c r="KC3" s="55">
        <f>SUMIFS(Accounts!$AA:$AA,Accounts!$B:$B,"none",Accounts!$AS:$AS, "Non-profit, govt or religious organization",Accounts!$E:$E,"QBO") + SUMIFS(Accounts!$AH:$AH,Accounts!$B:$B,"none",Accounts!$AS:$AS, "Non-profit, govt or religious organization",Accounts!$E:$E,"QBO") + SUMIFS(Accounts!$AJ:$AJ,Accounts!$B:$B,"none",Accounts!$AS:$AS, "Non-profit, govt or religious organization",Accounts!$E:$E,"QBO") + SUMIFS(Accounts!$AI:$AI,Accounts!$B:$B,"none",Accounts!$AS:$AS, "Non-profit, govt or religious organization",Accounts!$E:$E,"QBO") + SUMIFS(Accounts!$AO:$AO,Accounts!$B:$B,"none",Accounts!$AS:$AS, "Non-profit, govt or religious organization",Accounts!$E:$E,"QBO")</f>
        <v>0</v>
      </c>
      <c r="KD3" s="55">
        <f>(SUMIFS(Accounts!$AC:$AC,Accounts!$B:$B,"none",Accounts!$AS:$AS, "Non-profit, govt or religious organization",Accounts!$E:$E,"QBO")+SUMIFS(Accounts!$AF:$AF,Accounts!$B:$B,"none",Accounts!$AS:$AS, "Non-profit, govt or religious organization",Accounts!$E:$E,"QBO")+SUMIFS(Accounts!$AK:$AK,Accounts!$B:$B,"none",Accounts!$AS:$AS, "Non-profit, govt or religious organization",Accounts!$E:$E,"QBO"))</f>
        <v>0</v>
      </c>
      <c r="KE3" s="55">
        <f>SUMIFS(Accounts!$AB:$AB,Accounts!$B:$B,"none",Accounts!$AS:$AS, "Non-profit, govt or religious organization",Accounts!$E:$E,"QBO")</f>
        <v>0</v>
      </c>
      <c r="KF3" s="55">
        <f>SUMIFS(Accounts!$AD:$AD,Accounts!$B:$B,"none",Accounts!$AS:$AS, "Non-profit, govt or religious organization",Accounts!$E:$E,"QBO")+SUMIFS(Accounts!$AM:$AM,Accounts!$B:$B,"none",Accounts!$AS:$AS, "Non-profit, govt or religious organization",Accounts!$E:$E,"QBO")+SUMIFS(Accounts!$AN:$AN,Accounts!$B:$B,"none",Accounts!$AS:$AS, "Non-profit, govt or religious organization",Accounts!$E:$E,"QBO")</f>
        <v>0</v>
      </c>
      <c r="KG3" s="39">
        <f>SUMIFS(Accounts!$AE:$AE,Accounts!$B:$B,"none",Accounts!$AS:$AS, "Non-profit, govt or religious organization",Accounts!$E:$E,"QBO") + SUMIFS(Accounts!$AP:$AP,Accounts!$B:$B,"none",Accounts!$AS:$AS, "Non-profit, govt or religious organization",Accounts!$E:$E,"QBO")</f>
        <v>0</v>
      </c>
      <c r="KH3" s="55">
        <f>SUMIFS(Accounts!$Z:$Z,Accounts!$B:$B,"none",Accounts!$AS:$AS, "Non-profit, govt or religious organization",Accounts!$E:$E,"QBO")</f>
        <v>0</v>
      </c>
      <c r="KI3" s="39">
        <f>SUMIFS(Accounts!$AG:$AG,Accounts!$B:$B,"none",Accounts!$AS:$AS, "Non-profit, govt or religious organization",Accounts!$E:$E,"QBO") + SUMIFS(Accounts!$AL:$AL,Accounts!$B:$B,"none",Accounts!$AS:$AS, "Non-profit, govt or religious organization",Accounts!$E:$E,"QBO")</f>
        <v>0</v>
      </c>
      <c r="KJ3" s="55">
        <f>SUMIFS(Accounts!$AQ:$AQ,Accounts!$B:$B,"none",Accounts!$AS:$AS, "Non-profit, govt or religious organization",Accounts!$E:$E,"QBO")</f>
        <v>0</v>
      </c>
      <c r="KK3" s="34" t="e">
        <f>((KK15+KK18)/((KK14*$C$2)+(0.5*KK17*$C$2)))*$C$2</f>
        <v>#VALUE!</v>
      </c>
      <c r="KL3" s="39">
        <f>COUNTIFS(Accounts!$AS:$AS, "Communications, Entertainment and Media",Accounts!$B:$B,"none",Accounts!$E:$E,"QBO")</f>
        <v>0</v>
      </c>
      <c r="KM3" s="33">
        <f>COUNTIFS(Accounts!$AS:$AS, "Communications, Entertainment and Media",Accounts!$B:$B,"Customer",Accounts!$E:$E,"QBO")</f>
        <v>0</v>
      </c>
      <c r="KN3" s="37">
        <f>SUMIFS(Accounts!$I:$I,Accounts!$AS:$AS, "Communications, Entertainment and Media",Accounts!$E:$E,"QBO")</f>
        <v>0</v>
      </c>
      <c r="KO3" s="37">
        <f>SUMIFS(Accounts!$N:$N,Accounts!$AS:$AS, "Communications, Entertainment and Media",Accounts!$E:$E,"QBO")</f>
        <v>0</v>
      </c>
      <c r="KP3" s="37" t="e">
        <f>KN3/(KM3+KK17)</f>
        <v>#DIV/0!</v>
      </c>
      <c r="KQ3" s="37" t="e">
        <f>(KN3+KO3)/(KM3+KK17)</f>
        <v>#DIV/0!</v>
      </c>
      <c r="KR3" s="37" t="e">
        <f>KK13*KP3</f>
        <v>#VALUE!</v>
      </c>
      <c r="KS3" s="37">
        <f>IFERROR(AVERAGEIFS(Accounts!$AY:$AY,Accounts!$AS:$AS,"Communications, Entertainment and Media",Accounts!$B:$B,"Customer",Accounts!$AY:$AY,"&gt;0",Accounts!$E:$E,"QBO"),0)</f>
        <v>0</v>
      </c>
      <c r="KT3" s="33">
        <f>IFERROR(AVERAGEIFS(Accounts!$AX:$AX,Accounts!$AS:$AS, "Communications, Entertainment and Media",Accounts!$B:$B,"Customer",Accounts!$AX:$AX,"&gt;0",Accounts!$E:$E,"QBO"),0)</f>
        <v>0</v>
      </c>
      <c r="KU3" s="37">
        <f>IFERROR(AVERAGEIFS(Accounts!$AY:$AY,Accounts!$AS:$AS, "Communications, Entertainment and Media",Accounts!$B:$B,"none",Accounts!$AY:$AY,"&gt;0",Accounts!$E:$E,"QBO"),0)</f>
        <v>0</v>
      </c>
      <c r="KV3" s="33">
        <f>IFERROR(AVERAGEIFS(Accounts!$AX:$AX,Accounts!$AS:$AS, "Communications, Entertainment and Media",Accounts!$B:$B,"none",Accounts!$AX:$AX,"&gt;0",Accounts!$E:$E,"QBO"),0)</f>
        <v>0</v>
      </c>
      <c r="KW3" s="55">
        <f>SUMIFS(Accounts!$AA:$AA,Accounts!$B:$B,"Customer",Accounts!$AS:$AS, "Communications, Entertainment and Media",Accounts!$E:$E,"QBO") + SUMIFS(Accounts!$AH:$AH,Accounts!$B:$B,"Customer",Accounts!$AS:$AS, "Communications, Entertainment and Media",Accounts!$E:$E,"QBO") + SUMIFS(Accounts!$AJ:$AJ,Accounts!$B:$B,"Customer",Accounts!$AS:$AS, "Communications, Entertainment and Media",Accounts!$E:$E,"QBO") + SUMIFS(Accounts!$AI:$AI,Accounts!$B:$B,"Customer",Accounts!$AS:$AS, "Communications, Entertainment and Media",Accounts!$E:$E,"QBO") + SUMIFS(Accounts!$AO:$AO,Accounts!$B:$B,"Customer",Accounts!$AS:$AS, "Communications, Entertainment and Media",Accounts!$E:$E,"QBO")</f>
        <v>0</v>
      </c>
      <c r="KX3" s="55">
        <f>(SUMIFS(Accounts!$AC:$AC,Accounts!$B:$B,"Customer",Accounts!$AS:$AS, "Communications, Entertainment and Media",Accounts!$E:$E,"QBO")+SUMIFS(Accounts!$AF:$AF,Accounts!$B:$B,"Customer",Accounts!$AS:$AS, "Communications, Entertainment and Media",Accounts!$E:$E,"QBO")+SUMIFS(Accounts!$AK:$AK,Accounts!$B:$B,"Customer",Accounts!$AS:$AS, "Communications, Entertainment and Media",Accounts!$E:$E,"QBO"))</f>
        <v>0</v>
      </c>
      <c r="KY3" s="55">
        <f>SUMIFS(Accounts!$AB:$AB,Accounts!$B:$B,"Customer",Accounts!$AS:$AS, "Communications, Entertainment and Media",Accounts!$E:$E,"QBO")</f>
        <v>0</v>
      </c>
      <c r="KZ3" s="55">
        <f>SUMIFS(Accounts!$AD:$AD,Accounts!$B:$B,"Customer",Accounts!$AS:$AS, "Communications, Entertainment and Media",Accounts!$E:$E,"QBO")+SUMIFS(Accounts!$AM:$AM,Accounts!$B:$B,"Customer",Accounts!$AS:$AS, "Communications, Entertainment and Media",Accounts!$E:$E,"QBO")+SUMIFS(Accounts!$AN:$AN,Accounts!$B:$B,"Customer",Accounts!$AS:$AS, "Communications, Entertainment and Media",Accounts!$E:$E,"QBO")</f>
        <v>0</v>
      </c>
      <c r="LA3" s="55">
        <f>SUMIFS(Accounts!$AE:$AE,Accounts!$B:$B,"Customer",Accounts!$AS:$AS, "Communications, Entertainment and Media",Accounts!$E:$E,"QBO") + SUMIFS(Accounts!$AP:$AP,Accounts!$B:$B,"Customer",Accounts!$AS:$AS, "Communications, Entertainment and Media",Accounts!$E:$E,"QBO")</f>
        <v>0</v>
      </c>
      <c r="LB3" s="55">
        <f>SUMIFS(Accounts!$Z:$Z,Accounts!$B:$B,"Customer",Accounts!$AS:$AS, "Communications, Entertainment and Media",Accounts!$E:$E,"QBO")</f>
        <v>0</v>
      </c>
      <c r="LC3" s="55">
        <f>SUMIFS(Accounts!$AG:$AG,Accounts!$B:$B,"Customer",Accounts!$AS:$AS, "Communications, Entertainment and Media",Accounts!$E:$E,"QBO") + SUMIFS(Accounts!$AL:$AL,Accounts!$B:$B,"Customer",Accounts!$AS:$AS, "Communications, Entertainment and Media",Accounts!$E:$E,"QBO")</f>
        <v>0</v>
      </c>
      <c r="LD3" s="55">
        <f>SUMIFS(Accounts!$AQ:$AQ,Accounts!$B:$B,"Customer",Accounts!$AS:$AS, "Communications, Entertainment and Media",Accounts!$E:$E,"QBO")</f>
        <v>0</v>
      </c>
      <c r="LE3" s="55">
        <f>SUMIFS(Accounts!$AA:$AA,Accounts!$B:$B,"none",Accounts!$AS:$AS, "Communications, Entertainment and Media",Accounts!$E:$E,"QBO") + SUMIFS(Accounts!$AH:$AH,Accounts!$B:$B,"none",Accounts!$AS:$AS, "Communications, Entertainment and Media",Accounts!$E:$E,"QBO") + SUMIFS(Accounts!$AJ:$AJ,Accounts!$B:$B,"none",Accounts!$AS:$AS, "Communications, Entertainment and Media",Accounts!$E:$E,"QBO") + SUMIFS(Accounts!$AI:$AI,Accounts!$B:$B,"none",Accounts!$AS:$AS, "Communications, Entertainment and Media",Accounts!$E:$E,"QBO") + SUMIFS(Accounts!$AO:$AO,Accounts!$B:$B,"none",Accounts!$AS:$AS, "Communications, Entertainment and Media",Accounts!$E:$E,"QBO")</f>
        <v>0</v>
      </c>
      <c r="LF3" s="55">
        <f>(SUMIFS(Accounts!$AC:$AC,Accounts!$B:$B,"none",Accounts!$AS:$AS, "Communications, Entertainment and Media",Accounts!$E:$E,"QBO")+SUMIFS(Accounts!$AF:$AF,Accounts!$B:$B,"none",Accounts!$AS:$AS, "Communications, Entertainment and Media",Accounts!$E:$E,"QBO")+SUMIFS(Accounts!$AK:$AK,Accounts!$B:$B,"none",Accounts!$AS:$AS, "Communications, Entertainment and Media",Accounts!$E:$E,"QBO"))</f>
        <v>0</v>
      </c>
      <c r="LG3" s="55">
        <f>SUMIFS(Accounts!$AB:$AB,Accounts!$B:$B,"none",Accounts!$AS:$AS, "Communications, Entertainment and Media",Accounts!$E:$E,"QBO")</f>
        <v>0</v>
      </c>
      <c r="LH3" s="55">
        <f>SUMIFS(Accounts!$AD:$AD,Accounts!$B:$B,"none",Accounts!$AS:$AS, "Communications, Entertainment and Media",Accounts!$E:$E,"QBO")+SUMIFS(Accounts!$AM:$AM,Accounts!$B:$B,"none",Accounts!$AS:$AS, "Communications, Entertainment and Media",Accounts!$E:$E,"QBO")+SUMIFS(Accounts!$AN:$AN,Accounts!$B:$B,"none",Accounts!$AS:$AS, "Communications, Entertainment and Media",Accounts!$E:$E,"QBO")</f>
        <v>0</v>
      </c>
      <c r="LI3" s="39">
        <f>SUMIFS(Accounts!$AE:$AE,Accounts!$B:$B,"none",Accounts!$AS:$AS, "Communications, Entertainment and Media",Accounts!$E:$E,"QBO") + SUMIFS(Accounts!$AP:$AP,Accounts!$B:$B,"none",Accounts!$AS:$AS, "Communications, Entertainment and Media",Accounts!$E:$E,"QBO")</f>
        <v>0</v>
      </c>
      <c r="LJ3" s="55">
        <f>SUMIFS(Accounts!$Z:$Z,Accounts!$B:$B,"none",Accounts!$AS:$AS, "Communications, Entertainment and Media",Accounts!$E:$E,"QBO")</f>
        <v>0</v>
      </c>
      <c r="LK3" s="39">
        <f>SUMIFS(Accounts!$AG:$AG,Accounts!$B:$B,"none",Accounts!$AS:$AS, "Communications, Entertainment and Media",Accounts!$E:$E,"QBO") + SUMIFS(Accounts!$AL:$AL,Accounts!$B:$B,"none",Accounts!$AS:$AS, "Communications, Entertainment and Media",Accounts!$E:$E,"QBO")</f>
        <v>0</v>
      </c>
      <c r="LL3" s="55">
        <f>SUMIFS(Accounts!$AQ:$AQ,Accounts!$B:$B,"none",Accounts!$AS:$AS, "Communications, Entertainment and Media",Accounts!$E:$E,"QBO")</f>
        <v>0</v>
      </c>
      <c r="LM3" s="34" t="e">
        <f>((LM15+LM18)/((LM14*$C$2)+(0.5*LM17*$C$2)))*$C$2</f>
        <v>#VALUE!</v>
      </c>
      <c r="LN3" s="39">
        <f>COUNTIFS(Accounts!$AS:$AS, "IT and computer related",Accounts!$B:$B,"none",Accounts!$E:$E,"QBO")</f>
        <v>0</v>
      </c>
      <c r="LO3" s="33">
        <f>COUNTIFS(Accounts!$AS:$AS, "IT and computer related",Accounts!$B:$B,"Customer",Accounts!$E:$E,"QBO")</f>
        <v>0</v>
      </c>
      <c r="LP3" s="37">
        <f>SUMIFS(Accounts!$I:$I,Accounts!$AS:$AS, "IT and computer related",Accounts!$E:$E,"QBO")</f>
        <v>0</v>
      </c>
      <c r="LQ3" s="37">
        <f>SUMIFS(Accounts!$N:$N,Accounts!$AS:$AS, "IT and computer related",Accounts!$E:$E,"QBO")</f>
        <v>0</v>
      </c>
      <c r="LR3" s="37" t="e">
        <f>LP3/(LO3+LM17)</f>
        <v>#DIV/0!</v>
      </c>
      <c r="LS3" s="37" t="e">
        <f>(LP3+LQ3)/(LO3+LM17)</f>
        <v>#DIV/0!</v>
      </c>
      <c r="LT3" s="37" t="e">
        <f>LM13*LR3</f>
        <v>#VALUE!</v>
      </c>
      <c r="LU3" s="37">
        <f>IFERROR(AVERAGEIFS(Accounts!$AY:$AY,Accounts!$AS:$AS,"IT and computer related",Accounts!$B:$B,"Customer",Accounts!$AY:$AY,"&gt;0",Accounts!$E:$E,"QBO"),0)</f>
        <v>0</v>
      </c>
      <c r="LV3" s="33">
        <f>IFERROR(AVERAGEIFS(Accounts!$AX:$AX,Accounts!$AS:$AS, "IT and computer related",Accounts!$B:$B,"Customer",Accounts!$AX:$AX,"&gt;0",Accounts!$E:$E,"QBO"),0)</f>
        <v>0</v>
      </c>
      <c r="LW3" s="37">
        <f>IFERROR(AVERAGEIFS(Accounts!$AY:$AY,Accounts!$AS:$AS, "IT and computer related",Accounts!$B:$B,"none",Accounts!$AY:$AY,"&gt;0",Accounts!$E:$E,"QBO"),0)</f>
        <v>0</v>
      </c>
      <c r="LX3" s="33">
        <f>IFERROR(AVERAGEIFS(Accounts!$AX:$AX,Accounts!$AS:$AS, "IT and computer related",Accounts!$B:$B,"none",Accounts!$AX:$AX,"&gt;0",Accounts!$E:$E,"QBO"),0)</f>
        <v>0</v>
      </c>
      <c r="LY3" s="55">
        <f>SUMIFS(Accounts!$AA:$AA,Accounts!$B:$B,"Customer",Accounts!$AS:$AS, "IT and computer related",Accounts!$E:$E,"QBO") + SUMIFS(Accounts!$AH:$AH,Accounts!$B:$B,"Customer",Accounts!$AS:$AS, "IT and computer related",Accounts!$E:$E,"QBO") + SUMIFS(Accounts!$AJ:$AJ,Accounts!$B:$B,"Customer",Accounts!$AS:$AS, "IT and computer related",Accounts!$E:$E,"QBO") + SUMIFS(Accounts!$AI:$AI,Accounts!$B:$B,"Customer",Accounts!$AS:$AS, "IT and computer related",Accounts!$E:$E,"QBO") + SUMIFS(Accounts!$AO:$AO,Accounts!$B:$B,"Customer",Accounts!$AS:$AS, "IT and computer related",Accounts!$E:$E,"QBO")</f>
        <v>0</v>
      </c>
      <c r="LZ3" s="55">
        <f>(SUMIFS(Accounts!$AC:$AC,Accounts!$B:$B,"Customer",Accounts!$AS:$AS, "IT and computer related",Accounts!$E:$E,"QBO")+SUMIFS(Accounts!$AF:$AF,Accounts!$B:$B,"Customer",Accounts!$AS:$AS, "IT and computer related",Accounts!$E:$E,"QBO")+SUMIFS(Accounts!$AK:$AK,Accounts!$B:$B,"Customer",Accounts!$AS:$AS, "IT and computer related",Accounts!$E:$E,"QBO"))</f>
        <v>0</v>
      </c>
      <c r="MA3" s="55">
        <f>SUMIFS(Accounts!$AB:$AB,Accounts!$B:$B,"Customer",Accounts!$AS:$AS, "IT and computer related",Accounts!$E:$E,"QBO")</f>
        <v>0</v>
      </c>
      <c r="MB3" s="55">
        <f>SUMIFS(Accounts!$AD:$AD,Accounts!$B:$B,"Customer",Accounts!$AS:$AS, "IT and computer related",Accounts!$E:$E,"QBO")+SUMIFS(Accounts!$AM:$AM,Accounts!$B:$B,"Customer",Accounts!$AS:$AS, "IT and computer related",Accounts!$E:$E,"QBO")+SUMIFS(Accounts!$AN:$AN,Accounts!$B:$B,"Customer",Accounts!$AS:$AS, "IT and computer related",Accounts!$E:$E,"QBO")</f>
        <v>0</v>
      </c>
      <c r="MC3" s="55">
        <f>SUMIFS(Accounts!$AE:$AE,Accounts!$B:$B,"Customer",Accounts!$AS:$AS, "IT and computer related",Accounts!$E:$E,"QBO") + SUMIFS(Accounts!$AP:$AP,Accounts!$B:$B,"Customer",Accounts!$AS:$AS, "IT and computer related",Accounts!$E:$E,"QBO")</f>
        <v>0</v>
      </c>
      <c r="MD3" s="55">
        <f>SUMIFS(Accounts!$Z:$Z,Accounts!$B:$B,"Customer",Accounts!$AS:$AS, "IT and computer related",Accounts!$E:$E,"QBO")</f>
        <v>0</v>
      </c>
      <c r="ME3" s="55">
        <f>SUMIFS(Accounts!$AG:$AG,Accounts!$B:$B,"Customer",Accounts!$AS:$AS, "IT and computer related",Accounts!$E:$E,"QBO") + SUMIFS(Accounts!$AL:$AL,Accounts!$B:$B,"Customer",Accounts!$AS:$AS, "IT and computer related",Accounts!$E:$E,"QBO")</f>
        <v>0</v>
      </c>
      <c r="MF3" s="55">
        <f>SUMIFS(Accounts!$AQ:$AQ,Accounts!$B:$B,"Customer",Accounts!$AS:$AS, "IT and computer related",Accounts!$E:$E,"QBO")</f>
        <v>0</v>
      </c>
      <c r="MG3" s="55">
        <f>SUMIFS(Accounts!$AA:$AA,Accounts!$B:$B,"none",Accounts!$AS:$AS, "IT and computer related",Accounts!$E:$E,"QBO") + SUMIFS(Accounts!$AH:$AH,Accounts!$B:$B,"none",Accounts!$AS:$AS, "IT and computer related",Accounts!$E:$E,"QBO") + SUMIFS(Accounts!$AJ:$AJ,Accounts!$B:$B,"none",Accounts!$AS:$AS, "IT and computer related",Accounts!$E:$E,"QBO") + SUMIFS(Accounts!$AI:$AI,Accounts!$B:$B,"none",Accounts!$AS:$AS, "IT and computer related",Accounts!$E:$E,"QBO") + SUMIFS(Accounts!$AO:$AO,Accounts!$B:$B,"none",Accounts!$AS:$AS, "IT and computer related",Accounts!$E:$E,"QBO")</f>
        <v>0</v>
      </c>
      <c r="MH3" s="55">
        <f>(SUMIFS(Accounts!$AC:$AC,Accounts!$B:$B,"none",Accounts!$AS:$AS, "IT and computer related",Accounts!$E:$E,"QBO")+SUMIFS(Accounts!$AF:$AF,Accounts!$B:$B,"none",Accounts!$AS:$AS, "IT and computer related",Accounts!$E:$E,"QBO")+SUMIFS(Accounts!$AK:$AK,Accounts!$B:$B,"none",Accounts!$AS:$AS, "IT and computer related",Accounts!$E:$E,"QBO"))</f>
        <v>0</v>
      </c>
      <c r="MI3" s="55">
        <f>SUMIFS(Accounts!$AB:$AB,Accounts!$B:$B,"none",Accounts!$AS:$AS, "IT and computer related",Accounts!$E:$E,"QBO")</f>
        <v>0</v>
      </c>
      <c r="MJ3" s="55">
        <f>SUMIFS(Accounts!$AD:$AD,Accounts!$B:$B,"none",Accounts!$AS:$AS, "IT and computer related",Accounts!$E:$E,"QBO")+SUMIFS(Accounts!$AM:$AM,Accounts!$B:$B,"none",Accounts!$AS:$AS, "IT and computer related",Accounts!$E:$E,"QBO")+SUMIFS(Accounts!$AN:$AN,Accounts!$B:$B,"none",Accounts!$AS:$AS, "IT and computer related",Accounts!$E:$E,"QBO")</f>
        <v>0</v>
      </c>
      <c r="MK3" s="39">
        <f>SUMIFS(Accounts!$AE:$AE,Accounts!$B:$B,"none",Accounts!$AS:$AS, "IT and computer related",Accounts!$E:$E,"QBO") + SUMIFS(Accounts!$AP:$AP,Accounts!$B:$B,"none",Accounts!$AS:$AS, "IT and computer related",Accounts!$E:$E,"QBO")</f>
        <v>0</v>
      </c>
      <c r="ML3" s="55">
        <f>SUMIFS(Accounts!$Z:$Z,Accounts!$B:$B,"none",Accounts!$AS:$AS, "IT and computer related",Accounts!$E:$E,"QBO")</f>
        <v>0</v>
      </c>
      <c r="MM3" s="39">
        <f>SUMIFS(Accounts!$AG:$AG,Accounts!$B:$B,"none",Accounts!$AS:$AS, "IT and computer related",Accounts!$E:$E,"QBO") + SUMIFS(Accounts!$AL:$AL,Accounts!$B:$B,"none",Accounts!$AS:$AS, "IT and computer related",Accounts!$E:$E,"QBO")</f>
        <v>0</v>
      </c>
      <c r="MN3" s="55">
        <f>SUMIFS(Accounts!$AQ:$AQ,Accounts!$B:$B,"none",Accounts!$AS:$AS, "IT and computer related",Accounts!$E:$E,"QBO")</f>
        <v>0</v>
      </c>
      <c r="MO3" s="34" t="e">
        <f>((MO15+MO18)/((MO14*$C$2)+(0.5*MO17*$C$2)))*$C$2</f>
        <v>#VALUE!</v>
      </c>
      <c r="MP3" s="39">
        <f>COUNTIFS(Accounts!$AS:$AS, {"General service based","General"},Accounts!$B:$B,"none",Accounts!$E:$E,"QBO")</f>
        <v>0</v>
      </c>
      <c r="MQ3" s="33">
        <f>COUNTIFS(Accounts!$AS:$AS, {"General service based","General"},Accounts!$B:$B,"Customer",Accounts!$E:$E,"QBO")</f>
        <v>0</v>
      </c>
      <c r="MR3" s="37">
        <f>SUMIFS(Accounts!$I:$I,Accounts!$AS:$AS, {"General service based","General"},Accounts!$E:$E,"QBO")</f>
        <v>0</v>
      </c>
      <c r="MS3" s="37">
        <f>SUMIFS(Accounts!$N:$N,Accounts!$AS:$AS, {"General service based","General"},Accounts!$E:$E,"QBO")</f>
        <v>0</v>
      </c>
      <c r="MT3" s="37" t="e">
        <f>MR3/(MQ3+MO17)</f>
        <v>#DIV/0!</v>
      </c>
      <c r="MU3" s="37" t="e">
        <f>(MR3+MS3)/(MQ3+MO17)</f>
        <v>#DIV/0!</v>
      </c>
      <c r="MV3" s="37" t="e">
        <f>MO13*MT3</f>
        <v>#VALUE!</v>
      </c>
      <c r="MW3" s="37">
        <f>IFERROR(AVERAGEIFS(Accounts!$AY:$AY,Accounts!$AS:$AS,{"General service based","General"},Accounts!$B:$B,"Customer",Accounts!$AY:$AY,"&gt;0",Accounts!$E:$E,"QBO"),0)</f>
        <v>0</v>
      </c>
      <c r="MX3" s="33">
        <f>IFERROR(AVERAGEIFS(Accounts!$AX:$AX,Accounts!$AS:$AS, {"General service based","General"},Accounts!$B:$B,"Customer",Accounts!$AX:$AX,"&gt;0",Accounts!$E:$E,"QBO"),0)</f>
        <v>0</v>
      </c>
      <c r="MY3" s="37">
        <f>IFERROR(AVERAGEIFS(Accounts!$AY:$AY,Accounts!$AS:$AS, {"General service based","General"},Accounts!$B:$B,"none",Accounts!$AY:$AY,"&gt;0",Accounts!$E:$E,"QBO"),0)</f>
        <v>0</v>
      </c>
      <c r="MZ3" s="33">
        <f>IFERROR(AVERAGEIFS(Accounts!$AX:$AX,Accounts!$AS:$AS, {"General service based","General"},Accounts!$B:$B,"none",Accounts!$AX:$AX,"&gt;0",Accounts!$E:$E,"QBO"),0)</f>
        <v>0</v>
      </c>
      <c r="NA3" s="55">
        <f>SUMIFS(Accounts!$AA:$AA,Accounts!$B:$B,"Customer",Accounts!$AS:$AS, {"General service based","General"},Accounts!$E:$E,"QBO") + SUMIFS(Accounts!$AH:$AH,Accounts!$B:$B,"Customer",Accounts!$AS:$AS, {"General service based","General"},Accounts!$E:$E,"QBO") + SUMIFS(Accounts!$AJ:$AJ,Accounts!$B:$B,"Customer",Accounts!$AS:$AS, {"General service based","General"},Accounts!$E:$E,"QBO") + SUMIFS(Accounts!$AI:$AI,Accounts!$B:$B,"Customer",Accounts!$AS:$AS, {"General service based","General"},Accounts!$E:$E,"QBO") + SUMIFS(Accounts!$AO:$AO,Accounts!$B:$B,"Customer",Accounts!$AS:$AS, {"General service based","General"},Accounts!$E:$E,"QBO")</f>
        <v>0</v>
      </c>
      <c r="NB3" s="55">
        <f>(SUMIFS(Accounts!$AC:$AC,Accounts!$B:$B,"Customer",Accounts!$AS:$AS, {"General service based","General"},Accounts!$E:$E,"QBO")+SUMIFS(Accounts!$AF:$AF,Accounts!$B:$B,"Customer",Accounts!$AS:$AS, {"General service based","General"},Accounts!$E:$E,"QBO")+SUMIFS(Accounts!$AK:$AK,Accounts!$B:$B,"Customer",Accounts!$AS:$AS, {"General service based","General"},Accounts!$E:$E,"QBO"))</f>
        <v>0</v>
      </c>
      <c r="NC3" s="55">
        <f>SUMIFS(Accounts!$AB:$AB,Accounts!$B:$B,"Customer",Accounts!$AS:$AS, {"General service based","General"},Accounts!$E:$E,"QBO")</f>
        <v>0</v>
      </c>
      <c r="ND3" s="55">
        <f>SUMIFS(Accounts!$AD:$AD,Accounts!$B:$B,"Customer",Accounts!$AS:$AS, {"General service based","General"},Accounts!$E:$E,"QBO")+SUMIFS(Accounts!$AM:$AM,Accounts!$B:$B,"Customer",Accounts!$AS:$AS, {"General service based","General"},Accounts!$E:$E,"QBO")+SUMIFS(Accounts!$AN:$AN,Accounts!$B:$B,"Customer",Accounts!$AS:$AS, {"General service based","General"},Accounts!$E:$E,"QBO")</f>
        <v>0</v>
      </c>
      <c r="NE3" s="55">
        <f>SUMIFS(Accounts!$AE:$AE,Accounts!$B:$B,"Customer",Accounts!$AS:$AS, {"General service based","General"},Accounts!$E:$E,"QBO") + SUMIFS(Accounts!$AP:$AP,Accounts!$B:$B,"Customer",Accounts!$AS:$AS, {"General service based","General"},Accounts!$E:$E,"QBO")</f>
        <v>0</v>
      </c>
      <c r="NF3" s="55">
        <f>SUMIFS(Accounts!$Z:$Z,Accounts!$B:$B,"Customer",Accounts!$AS:$AS, {"General service based","General"},Accounts!$E:$E,"QBO")</f>
        <v>0</v>
      </c>
      <c r="NG3" s="55">
        <f>SUMIFS(Accounts!$AG:$AG,Accounts!$B:$B,"Customer",Accounts!$AS:$AS, {"General service based","General"},Accounts!$E:$E,"QBO") + SUMIFS(Accounts!$AL:$AL,Accounts!$B:$B,"Customer",Accounts!$AS:$AS, {"General service based","General"},Accounts!$E:$E,"QBO")</f>
        <v>0</v>
      </c>
      <c r="NH3" s="55">
        <f>SUMIFS(Accounts!$AQ:$AQ,Accounts!$B:$B,"Customer",Accounts!$AS:$AS, {"General service based","General"},Accounts!$E:$E,"QBO")</f>
        <v>0</v>
      </c>
      <c r="NI3" s="55">
        <f>SUMIFS(Accounts!$AA:$AA,Accounts!$B:$B,"none",Accounts!$AS:$AS, {"General service based","General"},Accounts!$E:$E,"QBO") + SUMIFS(Accounts!$AH:$AH,Accounts!$B:$B,"none",Accounts!$AS:$AS, {"General service based","General"},Accounts!$E:$E,"QBO") + SUMIFS(Accounts!$AJ:$AJ,Accounts!$B:$B,"none",Accounts!$AS:$AS, {"General service based","General"},Accounts!$E:$E,"QBO") + SUMIFS(Accounts!$AI:$AI,Accounts!$B:$B,"none",Accounts!$AS:$AS, {"General service based","General"},Accounts!$E:$E,"QBO") + SUMIFS(Accounts!$AO:$AO,Accounts!$B:$B,"none",Accounts!$AS:$AS, {"General service based","General"},Accounts!$E:$E,"QBO")</f>
        <v>0</v>
      </c>
      <c r="NJ3" s="55">
        <f>(SUMIFS(Accounts!$AC:$AC,Accounts!$B:$B,"none",Accounts!$AS:$AS, {"General service based","General"},Accounts!$E:$E,"QBO")+SUMIFS(Accounts!$AF:$AF,Accounts!$B:$B,"none",Accounts!$AS:$AS, {"General service based","General"},Accounts!$E:$E,"QBO")+SUMIFS(Accounts!$AK:$AK,Accounts!$B:$B,"none",Accounts!$AS:$AS, {"General service based","General"},Accounts!$E:$E,"QBO"))</f>
        <v>0</v>
      </c>
      <c r="NK3" s="55">
        <f>SUMIFS(Accounts!$AB:$AB,Accounts!$B:$B,"none",Accounts!$AS:$AS, {"General service based","General"},Accounts!$E:$E,"QBO")</f>
        <v>0</v>
      </c>
      <c r="NL3" s="55">
        <f>SUMIFS(Accounts!$AD:$AD,Accounts!$B:$B,"none",Accounts!$AS:$AS, {"General service based","General"},Accounts!$E:$E,"QBO")+SUMIFS(Accounts!$AM:$AM,Accounts!$B:$B,"none",Accounts!$AS:$AS, {"General service based","General"},Accounts!$E:$E,"QBO")+SUMIFS(Accounts!$AN:$AN,Accounts!$B:$B,"none",Accounts!$AS:$AS, {"General service based","General"},Accounts!$E:$E,"QBO")</f>
        <v>0</v>
      </c>
      <c r="NM3" s="39">
        <f>SUMIFS(Accounts!$AE:$AE,Accounts!$B:$B,"none",Accounts!$AS:$AS, {"General service based","General"},Accounts!$E:$E,"QBO") + SUMIFS(Accounts!$AP:$AP,Accounts!$B:$B,"none",Accounts!$AS:$AS, {"General service based","General"},Accounts!$E:$E,"QBO")</f>
        <v>0</v>
      </c>
      <c r="NN3" s="55">
        <f>SUMIFS(Accounts!$Z:$Z,Accounts!$B:$B,"none",Accounts!$AS:$AS, {"General service based","General"},Accounts!$E:$E,"QBO")</f>
        <v>0</v>
      </c>
      <c r="NO3" s="39">
        <f>SUMIFS(Accounts!$AG:$AG,Accounts!$B:$B,"none",Accounts!$AS:$AS, {"General service based","General"},Accounts!$E:$E,"QBO") + SUMIFS(Accounts!$AL:$AL,Accounts!$B:$B,"none",Accounts!$AS:$AS, {"General service based","General"},Accounts!$E:$E,"QBO")</f>
        <v>0</v>
      </c>
      <c r="NP3" s="55">
        <f>SUMIFS(Accounts!$AQ:$AQ,Accounts!$B:$B,"none",Accounts!$AS:$AS, {"General service based","General"},Accounts!$E:$E,"QBO")</f>
        <v>0</v>
      </c>
      <c r="NQ3" s="34" t="e">
        <f>((NQ15+NQ18)/((NQ14*$C$2)+(0.5*NQ17*$C$2)))*$C$2</f>
        <v>#VALUE!</v>
      </c>
      <c r="NR3" s="39">
        <f>COUNTIFS(Accounts!$AS:$AS, "Other",Accounts!$B:$B,"none",Accounts!$E:$E,"QBO")</f>
        <v>0</v>
      </c>
      <c r="NS3" s="33">
        <f>COUNTIFS(Accounts!$AS:$AS, "Other",Accounts!$B:$B,"Customer",Accounts!$E:$E,"QBO")</f>
        <v>0</v>
      </c>
      <c r="NT3" s="37">
        <f>SUMIFS(Accounts!$I:$I,Accounts!$AS:$AS, "Other",Accounts!$E:$E,"QBO")</f>
        <v>0</v>
      </c>
      <c r="NU3" s="37">
        <f>SUMIFS(Accounts!$N:$N,Accounts!$AS:$AS, "Other",Accounts!$E:$E,"QBO")</f>
        <v>0</v>
      </c>
      <c r="NV3" s="37" t="e">
        <f>NT3/(NS3+NQ17)</f>
        <v>#DIV/0!</v>
      </c>
      <c r="NW3" s="37" t="e">
        <f>(NT3+NU3)/(NS3+NQ17)</f>
        <v>#DIV/0!</v>
      </c>
      <c r="NX3" s="37" t="e">
        <f>NQ13*NV3</f>
        <v>#VALUE!</v>
      </c>
      <c r="NY3" s="37">
        <f>IFERROR(AVERAGEIFS(Accounts!$AY:$AY,Accounts!$AS:$AS,"Other",Accounts!$B:$B,"Customer",Accounts!$AY:$AY,"&gt;0",Accounts!$E:$E,"QBO"),0)</f>
        <v>0</v>
      </c>
      <c r="NZ3" s="33">
        <f>IFERROR(AVERAGEIFS(Accounts!$AX:$AX,Accounts!$AS:$AS, "Other",Accounts!$B:$B,"Customer",Accounts!$AX:$AX,"&gt;0",Accounts!$E:$E,"QBO"),0)</f>
        <v>0</v>
      </c>
      <c r="OA3" s="37">
        <f>IFERROR(AVERAGEIFS(Accounts!$AY:$AY,Accounts!$AS:$AS, "Other",Accounts!$B:$B,"none",Accounts!$AY:$AY,"&gt;0",Accounts!$E:$E,"QBO"),0)</f>
        <v>0</v>
      </c>
      <c r="OB3" s="33">
        <f>IFERROR(AVERAGEIFS(Accounts!$AX:$AX,Accounts!$AS:$AS, "Other",Accounts!$B:$B,"none",Accounts!$AX:$AX,"&gt;0",Accounts!$E:$E,"QBO"),0)</f>
        <v>0</v>
      </c>
      <c r="OC3" s="55">
        <f>SUMIFS(Accounts!$AA:$AA,Accounts!$B:$B,"Customer",Accounts!$AS:$AS, "Other",Accounts!$E:$E,"QBO") + SUMIFS(Accounts!$AH:$AH,Accounts!$B:$B,"Customer",Accounts!$AS:$AS, "Other",Accounts!$E:$E,"QBO") + SUMIFS(Accounts!$AJ:$AJ,Accounts!$B:$B,"Customer",Accounts!$AS:$AS, "Other",Accounts!$E:$E,"QBO") + SUMIFS(Accounts!$AI:$AI,Accounts!$B:$B,"Customer",Accounts!$AS:$AS, "Other",Accounts!$E:$E,"QBO") + SUMIFS(Accounts!$AO:$AO,Accounts!$B:$B,"Customer",Accounts!$AS:$AS, "Other",Accounts!$E:$E,"QBO")</f>
        <v>0</v>
      </c>
      <c r="OD3" s="55">
        <f>(SUMIFS(Accounts!$AC:$AC,Accounts!$B:$B,"Customer",Accounts!$AS:$AS, "Other",Accounts!$E:$E,"QBO")+SUMIFS(Accounts!$AF:$AF,Accounts!$B:$B,"Customer",Accounts!$AS:$AS, "Other",Accounts!$E:$E,"QBO")+SUMIFS(Accounts!$AK:$AK,Accounts!$B:$B,"Customer",Accounts!$AS:$AS, "Other",Accounts!$E:$E,"QBO"))</f>
        <v>0</v>
      </c>
      <c r="OE3" s="55">
        <f>SUMIFS(Accounts!$AB:$AB,Accounts!$B:$B,"Customer",Accounts!$AS:$AS, "Other",Accounts!$E:$E,"QBO")</f>
        <v>0</v>
      </c>
      <c r="OF3" s="55">
        <f>SUMIFS(Accounts!$AD:$AD,Accounts!$B:$B,"Customer",Accounts!$AS:$AS, "Other",Accounts!$E:$E,"QBO")+SUMIFS(Accounts!$AM:$AM,Accounts!$B:$B,"Customer",Accounts!$AS:$AS, "Other",Accounts!$E:$E,"QBO")+SUMIFS(Accounts!$AN:$AN,Accounts!$B:$B,"Customer",Accounts!$AS:$AS, "Other",Accounts!$E:$E,"QBO")</f>
        <v>0</v>
      </c>
      <c r="OG3" s="55">
        <f>SUMIFS(Accounts!$AE:$AE,Accounts!$B:$B,"Customer",Accounts!$AS:$AS, "Other",Accounts!$E:$E,"QBO") + SUMIFS(Accounts!$AP:$AP,Accounts!$B:$B,"Customer",Accounts!$AS:$AS, "Other",Accounts!$E:$E,"QBO")</f>
        <v>0</v>
      </c>
      <c r="OH3" s="55">
        <f>SUMIFS(Accounts!$Z:$Z,Accounts!$B:$B,"Customer",Accounts!$AS:$AS, "Other",Accounts!$E:$E,"QBO")</f>
        <v>0</v>
      </c>
      <c r="OI3" s="55">
        <f>SUMIFS(Accounts!$AG:$AG,Accounts!$B:$B,"Customer",Accounts!$AS:$AS, "Other",Accounts!$E:$E,"QBO") + SUMIFS(Accounts!$AL:$AL,Accounts!$B:$B,"Customer",Accounts!$AS:$AS, "Other",Accounts!$E:$E,"QBO")</f>
        <v>0</v>
      </c>
      <c r="OJ3" s="55">
        <f>SUMIFS(Accounts!$AQ:$AQ,Accounts!$B:$B,"Customer",Accounts!$AS:$AS, "Other",Accounts!$E:$E,"QBO")</f>
        <v>0</v>
      </c>
      <c r="OK3" s="55">
        <f>SUMIFS(Accounts!$AA:$AA,Accounts!$B:$B,"none",Accounts!$AS:$AS, "Other",Accounts!$E:$E,"QBO") + SUMIFS(Accounts!$AH:$AH,Accounts!$B:$B,"none",Accounts!$AS:$AS, "Other",Accounts!$E:$E,"QBO") + SUMIFS(Accounts!$AJ:$AJ,Accounts!$B:$B,"none",Accounts!$AS:$AS, "Other",Accounts!$E:$E,"QBO") + SUMIFS(Accounts!$AI:$AI,Accounts!$B:$B,"none",Accounts!$AS:$AS, "Other",Accounts!$E:$E,"QBO") + SUMIFS(Accounts!$AO:$AO,Accounts!$B:$B,"none",Accounts!$AS:$AS, "Other",Accounts!$E:$E,"QBO")</f>
        <v>0</v>
      </c>
      <c r="OL3" s="55">
        <f>(SUMIFS(Accounts!$AC:$AC,Accounts!$B:$B,"none",Accounts!$AS:$AS, "Other",Accounts!$E:$E,"QBO")+SUMIFS(Accounts!$AF:$AF,Accounts!$B:$B,"none",Accounts!$AS:$AS, "Other",Accounts!$E:$E,"QBO")+SUMIFS(Accounts!$AK:$AK,Accounts!$B:$B,"none",Accounts!$AS:$AS, "Other",Accounts!$E:$E,"QBO"))</f>
        <v>0</v>
      </c>
      <c r="OM3" s="55">
        <f>SUMIFS(Accounts!$AB:$AB,Accounts!$B:$B,"none",Accounts!$AS:$AS, "Other",Accounts!$E:$E,"QBO")</f>
        <v>0</v>
      </c>
      <c r="ON3" s="55">
        <f>SUMIFS(Accounts!$AD:$AD,Accounts!$B:$B,"none",Accounts!$AS:$AS, "Other",Accounts!$E:$E,"QBO")+SUMIFS(Accounts!$AM:$AM,Accounts!$B:$B,"none",Accounts!$AS:$AS, "Other",Accounts!$E:$E,"QBO")+SUMIFS(Accounts!$AN:$AN,Accounts!$B:$B,"none",Accounts!$AS:$AS, "Other",Accounts!$E:$E,"QBO")</f>
        <v>0</v>
      </c>
      <c r="OO3" s="39">
        <f>SUMIFS(Accounts!$AE:$AE,Accounts!$B:$B,"none",Accounts!$AS:$AS, "Other",Accounts!$E:$E,"QBO") + SUMIFS(Accounts!$AP:$AP,Accounts!$B:$B,"none",Accounts!$AS:$AS, "Other",Accounts!$E:$E,"QBO")</f>
        <v>0</v>
      </c>
      <c r="OP3" s="55">
        <f>SUMIFS(Accounts!$Z:$Z,Accounts!$B:$B,"none",Accounts!$AS:$AS, "Other",Accounts!$E:$E,"QBO")</f>
        <v>0</v>
      </c>
      <c r="OQ3" s="39">
        <f>SUMIFS(Accounts!$AG:$AG,Accounts!$B:$B,"none",Accounts!$AS:$AS, "Other",Accounts!$E:$E,"QBO") + SUMIFS(Accounts!$AL:$AL,Accounts!$B:$B,"none",Accounts!$AS:$AS, "Other",Accounts!$E:$E,"QBO")</f>
        <v>0</v>
      </c>
      <c r="OR3" s="55">
        <f>SUMIFS(Accounts!$AQ:$AQ,Accounts!$B:$B,"none",Accounts!$AS:$AS, "Other",Accounts!$E:$E,"QBO")</f>
        <v>0</v>
      </c>
      <c r="OS3" s="34" t="e">
        <f>((OS15+OS18)/((OS14*$C$2)+(0.5*OS17*$C$2)))*$C$2</f>
        <v>#VALUE!</v>
      </c>
      <c r="OT3" s="39">
        <f>COUNTIFS(Accounts!$AS:$AS, "Accounting and Bookkeeping",Accounts!$B:$B,"none",Accounts!$E:$E,"QBO")</f>
        <v>0</v>
      </c>
      <c r="OU3" s="33">
        <f>COUNTIFS(Accounts!$AS:$AS, "Accounting and Bookkeeping",Accounts!$B:$B,"Customer",Accounts!$E:$E,"QBO")</f>
        <v>0</v>
      </c>
      <c r="OV3" s="37">
        <f>SUMIFS(Accounts!$I:$I,Accounts!$AS:$AS, "Accounting and Bookkeeping",Accounts!$E:$E,"QBO")</f>
        <v>0</v>
      </c>
      <c r="OW3" s="37">
        <f>SUMIFS(Accounts!$N:$N,Accounts!$AS:$AS, "Accounting and Bookkeeping",Accounts!$E:$E,"QBO")</f>
        <v>0</v>
      </c>
      <c r="OX3" s="37" t="e">
        <f>OV3/(OU3+OS17)</f>
        <v>#DIV/0!</v>
      </c>
      <c r="OY3" s="37" t="e">
        <f>(OV3+OW3)/(OU3+OS17)</f>
        <v>#DIV/0!</v>
      </c>
      <c r="OZ3" s="37" t="e">
        <f>OS13*OX3</f>
        <v>#VALUE!</v>
      </c>
      <c r="PA3" s="37">
        <f>IFERROR(AVERAGEIFS(Accounts!$AY:$AY,Accounts!$AS:$AS,"Accounting and Bookkeeping",Accounts!$B:$B,"Customer",Accounts!$AY:$AY,"&gt;0",Accounts!$E:$E,"QBO"),0)</f>
        <v>0</v>
      </c>
      <c r="PB3" s="33">
        <f>IFERROR(AVERAGEIFS(Accounts!$AX:$AX,Accounts!$AS:$AS, "Accounting and Bookkeeping",Accounts!$B:$B,"Customer",Accounts!$AX:$AX,"&gt;0",Accounts!$E:$E,"QBO"),0)</f>
        <v>0</v>
      </c>
      <c r="PC3" s="37">
        <f>IFERROR(AVERAGEIFS(Accounts!$AY:$AY,Accounts!$AS:$AS, "Accounting and Bookkeeping",Accounts!$B:$B,"none",Accounts!$AY:$AY,"&gt;0",Accounts!$E:$E,"QBO"),0)</f>
        <v>0</v>
      </c>
      <c r="PD3" s="33">
        <f>IFERROR(AVERAGEIFS(Accounts!$AX:$AX,Accounts!$AS:$AS, "Accounting and Bookkeeping",Accounts!$B:$B,"none",Accounts!$AX:$AX,"&gt;0",Accounts!$E:$E,"QBO"),0)</f>
        <v>0</v>
      </c>
      <c r="PE3" s="55">
        <f>SUMIFS(Accounts!$AA:$AA,Accounts!$B:$B,"Customer",Accounts!$AS:$AS, "Accounting and Bookkeeping",Accounts!$E:$E,"QBO") + SUMIFS(Accounts!$AH:$AH,Accounts!$B:$B,"Customer",Accounts!$AS:$AS, "Accounting and Bookkeeping",Accounts!$E:$E,"QBO") + SUMIFS(Accounts!$AJ:$AJ,Accounts!$B:$B,"Customer",Accounts!$AS:$AS, "Accounting and Bookkeeping",Accounts!$E:$E,"QBO") + SUMIFS(Accounts!$AI:$AI,Accounts!$B:$B,"Customer",Accounts!$AS:$AS, "Accounting and Bookkeeping",Accounts!$E:$E,"QBO") + SUMIFS(Accounts!$AO:$AO,Accounts!$B:$B,"Customer",Accounts!$AS:$AS, "Accounting and Bookkeeping",Accounts!$E:$E,"QBO")</f>
        <v>0</v>
      </c>
      <c r="PF3" s="55">
        <f>(SUMIFS(Accounts!$AC:$AC,Accounts!$B:$B,"Customer",Accounts!$AS:$AS, "Accounting and Bookkeeping",Accounts!$E:$E,"QBO")+SUMIFS(Accounts!$AF:$AF,Accounts!$B:$B,"Customer",Accounts!$AS:$AS, "Accounting and Bookkeeping",Accounts!$E:$E,"QBO")+SUMIFS(Accounts!$AK:$AK,Accounts!$B:$B,"Customer",Accounts!$AS:$AS, "Accounting and Bookkeeping",Accounts!$E:$E,"QBO"))</f>
        <v>0</v>
      </c>
      <c r="PG3" s="55">
        <f>SUMIFS(Accounts!$AB:$AB,Accounts!$B:$B,"Customer",Accounts!$AS:$AS, "Accounting and Bookkeeping",Accounts!$E:$E,"QBO")</f>
        <v>0</v>
      </c>
      <c r="PH3" s="55">
        <f>SUMIFS(Accounts!$AD:$AD,Accounts!$B:$B,"Customer",Accounts!$AS:$AS, "Accounting and Bookkeeping",Accounts!$E:$E,"QBO")+SUMIFS(Accounts!$AM:$AM,Accounts!$B:$B,"Customer",Accounts!$AS:$AS, "Accounting and Bookkeeping",Accounts!$E:$E,"QBO")+SUMIFS(Accounts!$AN:$AN,Accounts!$B:$B,"Customer",Accounts!$AS:$AS, "Accounting and Bookkeeping",Accounts!$E:$E,"QBO")</f>
        <v>0</v>
      </c>
      <c r="PI3" s="55">
        <f>SUMIFS(Accounts!$AE:$AE,Accounts!$B:$B,"Customer",Accounts!$AS:$AS, "Accounting and Bookkeeping",Accounts!$E:$E,"QBO") + SUMIFS(Accounts!$AP:$AP,Accounts!$B:$B,"Customer",Accounts!$AS:$AS, "Accounting and Bookkeeping",Accounts!$E:$E,"QBO")</f>
        <v>0</v>
      </c>
      <c r="PJ3" s="55">
        <f>SUMIFS(Accounts!$Z:$Z,Accounts!$B:$B,"Customer",Accounts!$AS:$AS, "Accounting and Bookkeeping",Accounts!$E:$E,"QBO")</f>
        <v>0</v>
      </c>
      <c r="PK3" s="55">
        <f>SUMIFS(Accounts!$AG:$AG,Accounts!$B:$B,"Customer",Accounts!$AS:$AS, "Accounting and Bookkeeping",Accounts!$E:$E,"QBO") + SUMIFS(Accounts!$AL:$AL,Accounts!$B:$B,"Customer",Accounts!$AS:$AS, "Accounting and Bookkeeping",Accounts!$E:$E,"QBO")</f>
        <v>0</v>
      </c>
      <c r="PL3" s="55">
        <f>SUMIFS(Accounts!$AQ:$AQ,Accounts!$B:$B,"Customer",Accounts!$AS:$AS, "Accounting and Bookkeeping",Accounts!$E:$E,"QBO")</f>
        <v>0</v>
      </c>
      <c r="PM3" s="55">
        <f>SUMIFS(Accounts!$AA:$AA,Accounts!$B:$B,"none",Accounts!$AS:$AS, "Accounting and Bookkeeping",Accounts!$E:$E,"QBO") + SUMIFS(Accounts!$AH:$AH,Accounts!$B:$B,"none",Accounts!$AS:$AS, "Accounting and Bookkeeping",Accounts!$E:$E,"QBO") + SUMIFS(Accounts!$AJ:$AJ,Accounts!$B:$B,"none",Accounts!$AS:$AS, "Accounting and Bookkeeping",Accounts!$E:$E,"QBO") + SUMIFS(Accounts!$AI:$AI,Accounts!$B:$B,"none",Accounts!$AS:$AS, "Accounting and Bookkeeping",Accounts!$E:$E,"QBO") + SUMIFS(Accounts!$AO:$AO,Accounts!$B:$B,"none",Accounts!$AS:$AS, "Accounting and Bookkeeping",Accounts!$E:$E,"QBO")</f>
        <v>0</v>
      </c>
      <c r="PN3" s="55">
        <f>(SUMIFS(Accounts!$AC:$AC,Accounts!$B:$B,"none",Accounts!$AS:$AS, "Accounting and Bookkeeping",Accounts!$E:$E,"QBO")+SUMIFS(Accounts!$AF:$AF,Accounts!$B:$B,"none",Accounts!$AS:$AS, "Accounting and Bookkeeping",Accounts!$E:$E,"QBO")+SUMIFS(Accounts!$AK:$AK,Accounts!$B:$B,"none",Accounts!$AS:$AS, "Accounting and Bookkeeping",Accounts!$E:$E,"QBO"))</f>
        <v>0</v>
      </c>
      <c r="PO3" s="55">
        <f>SUMIFS(Accounts!$AB:$AB,Accounts!$B:$B,"none",Accounts!$AS:$AS, "Accounting and Bookkeeping",Accounts!$E:$E,"QBO")</f>
        <v>0</v>
      </c>
      <c r="PP3" s="55">
        <f>SUMIFS(Accounts!$AD:$AD,Accounts!$B:$B,"none",Accounts!$AS:$AS, "Accounting and Bookkeeping",Accounts!$E:$E,"QBO")+SUMIFS(Accounts!$AM:$AM,Accounts!$B:$B,"none",Accounts!$AS:$AS, "Accounting and Bookkeeping",Accounts!$E:$E,"QBO")+SUMIFS(Accounts!$AN:$AN,Accounts!$B:$B,"none",Accounts!$AS:$AS, "Accounting and Bookkeeping",Accounts!$E:$E,"QBO")</f>
        <v>0</v>
      </c>
      <c r="PQ3" s="39">
        <f>SUMIFS(Accounts!$AE:$AE,Accounts!$B:$B,"none",Accounts!$AS:$AS, "Accounting and Bookkeeping",Accounts!$E:$E,"QBO") + SUMIFS(Accounts!$AP:$AP,Accounts!$B:$B,"none",Accounts!$AS:$AS, "Accounting and Bookkeeping",Accounts!$E:$E,"QBO")</f>
        <v>0</v>
      </c>
      <c r="PR3" s="55">
        <f>SUMIFS(Accounts!$Z:$Z,Accounts!$B:$B,"none",Accounts!$AS:$AS, "Accounting and Bookkeeping",Accounts!$E:$E,"QBO")</f>
        <v>0</v>
      </c>
      <c r="PS3" s="39">
        <f>SUMIFS(Accounts!$AG:$AG,Accounts!$B:$B,"none",Accounts!$AS:$AS, "Accounting and Bookkeeping",Accounts!$E:$E,"QBO") + SUMIFS(Accounts!$AL:$AL,Accounts!$B:$B,"none",Accounts!$AS:$AS, "Accounting and Bookkeeping",Accounts!$E:$E,"QBO")</f>
        <v>0</v>
      </c>
      <c r="PT3" s="55">
        <f>SUMIFS(Accounts!$AQ:$AQ,Accounts!$B:$B,"none",Accounts!$AS:$AS, "Accounting and Bookkeeping",Accounts!$E:$E,"QBO")</f>
        <v>0</v>
      </c>
    </row>
    <row r="4" spans="1:436" s="31" customFormat="1" ht="16" x14ac:dyDescent="0.2">
      <c r="A4" s="31" t="s">
        <v>59</v>
      </c>
      <c r="B4" s="32" t="str">
        <f>Accounts!$BD$2</f>
        <v>2020-Apr-01 04:00</v>
      </c>
      <c r="C4" s="33" t="e">
        <f>DAY(EOMONTH(B4,0))</f>
        <v>#VALUE!</v>
      </c>
      <c r="D4" s="33">
        <f>COUNTIFS(Accounts!$B:$B,"none",Accounts!$E:$E,"QBDT",Accounts!$BF:$BF,"FALSE")</f>
        <v>0</v>
      </c>
      <c r="E4" s="33">
        <f>COUNTIFS(Accounts!$B:$B,"Customer",Accounts!$E:$E,"QBDT")</f>
        <v>1</v>
      </c>
      <c r="F4" s="33">
        <f>COUNTIFS(Accounts!$C:$C,"Customer",Accounts!$E:$E,"QBDT")</f>
        <v>1</v>
      </c>
      <c r="G4" s="33">
        <f>COUNTIFS(Accounts!$B:$B,"Customer",Accounts!$C:$C,"Lost",Accounts!$E:$E,"QBDT")</f>
        <v>0</v>
      </c>
      <c r="H4" s="33">
        <f>COUNTIFS(Accounts!$B:$B,"none",Accounts!$C:$C,"Customer",Accounts!$E:$E,"QBDT")</f>
        <v>0</v>
      </c>
      <c r="I4" s="34" t="e">
        <f>H4/D4</f>
        <v>#DIV/0!</v>
      </c>
      <c r="J4" s="59">
        <f>COUNTIFS(Accounts!$T:$T,"&gt;="&amp;DATE($C$10,$C$11,1),Accounts!$T:$T,"&lt;"&amp;DATE($C$7,$C$8,1),Accounts!$B:$B,"Trialer",Accounts!$C:$C,"Customer",Accounts!$E:$E,"QBDT")</f>
        <v>0</v>
      </c>
      <c r="K4" s="59">
        <f>COUNTIFS(Accounts!$T:$T,"&gt;="&amp;DATE($C$13,$C$14,1),Accounts!$T:$T,"&lt;"&amp;DATE($C$10,$C$11,1),Accounts!$B:$B,"Trialer",Accounts!$C:$C,"Customer",Accounts!$E:$E,"QBDT")</f>
        <v>0</v>
      </c>
      <c r="L4" s="59">
        <f>COUNTIFS(Accounts!$T:$T,"&gt;="&amp;DATE($C$16,$C$17,1),Accounts!$T:$T,"&lt;"&amp;DATE($C$13,$C$14,1),Accounts!$B:$B,"Trialer",Accounts!$C:$C,"Customer",Accounts!$E:$E,"QBDT")</f>
        <v>0</v>
      </c>
      <c r="M4" s="33">
        <f>SUM(COUNTIFS(Accounts!$B:$B,{"Trialer","none"},Accounts!$C:$C,"Customer",Accounts!$E:$E,"QBDT"))</f>
        <v>0</v>
      </c>
      <c r="N4" s="34" t="e">
        <f>$M$4/$D$4</f>
        <v>#DIV/0!</v>
      </c>
      <c r="O4" s="37" t="e">
        <f>P4/(COUNTIFS(Accounts!$W:$W,1,Accounts!$E:$E,"QBDT"))</f>
        <v>#DIV/0!</v>
      </c>
      <c r="P4" s="37">
        <f>SUMIFS(Accounts!$I:$I,Accounts!$W:$W,1,Accounts!$E:$E,"QBDT")</f>
        <v>0</v>
      </c>
      <c r="Q4" s="37">
        <f>SUMIFS(Accounts!$I:$I,Accounts!$E:$E,"QBDT")</f>
        <v>0</v>
      </c>
      <c r="R4" s="37">
        <f>SUMIFS(Accounts!$N:$N,Accounts!$E:$E,"QBDT")</f>
        <v>0</v>
      </c>
      <c r="S4" s="37">
        <f>($Q$4+R4)/($BC$23+$BC26)</f>
        <v>0</v>
      </c>
      <c r="T4" s="37">
        <f>$Q$4/($BC$23+$BC26)</f>
        <v>0</v>
      </c>
      <c r="U4" s="61">
        <f>SUMIFS(Accounts!$AA:$AA,Accounts!$B:$B,"none",Accounts!$C:$C,"Customer",Accounts!$E:$E,"QBDT") + SUMIFS(Accounts!$AH:$AH,Accounts!$B:$B,"none",Accounts!$C:$C,"Customer",Accounts!$E:$E,"QBDT") + SUMIFS(Accounts!$AJ:$AJ,Accounts!$B:$B,"none",Accounts!$C:$C,"Customer",Accounts!$E:$E,"QBDT") + SUMIFS(Accounts!$AI:$AI,Accounts!$B:$B,"none",Accounts!$C:$C,"Customer",Accounts!$E:$E,"QBDT") + SUMIFS(Accounts!$AO:$AO,Accounts!$B:$B,"none",Accounts!$C:$C,"Customer",Accounts!$E:$E,"QBDT")</f>
        <v>0</v>
      </c>
      <c r="V4" s="61">
        <f>SUMIFS(Accounts!$AC:$AC,Accounts!$B:$B,"none",Accounts!$C:$C,"Customer",Accounts!$E:$E,"QBDT")+SUMIFS(Accounts!$AF:$AF,Accounts!$B:$B,"none",Accounts!$C:$C,"Customer",Accounts!$E:$E,"QBDT")+SUMIFS(Accounts!$AK:$AK,Accounts!$B:$B,"none",Accounts!$C:$C,"Customer",Accounts!$E:$E,"QBDT")</f>
        <v>0</v>
      </c>
      <c r="W4" s="61">
        <f>SUMIFS(Accounts!$AB:$AB,Accounts!$B:$B,"none",Accounts!$C:$C,"Customer",Accounts!$E:$E,"QBDT")</f>
        <v>0</v>
      </c>
      <c r="X4" s="61">
        <f>SUMIFS(Accounts!$AD:$AD,Accounts!$B:$B,"none",Accounts!$C:$C,"Customer",Accounts!$E:$E,"QBDT")+SUMIFS(Accounts!$AM:$AM,Accounts!$B:$B,"none",Accounts!$C:$C,"Customer",Accounts!$E:$E,"QBDT")+SUMIFS(Accounts!$AN:$AN,Accounts!$B:$B,"none",Accounts!$C:$C,"Customer",Accounts!$E:$E,"QBDT")</f>
        <v>0</v>
      </c>
      <c r="Y4" s="33">
        <f>SUM(Z4:AB4)</f>
        <v>0</v>
      </c>
      <c r="Z4" s="61">
        <f>SUMIFS(Accounts!$AE:$AE,Accounts!$B:$B,"none",Accounts!$C:$C,"Customer",Accounts!$E:$E,"QBDT") + SUMIFS(Accounts!$AP:$AP,Accounts!$B:$B,"none",Accounts!$C:$C,"Customer",Accounts!$E:$E,"QBDT")</f>
        <v>0</v>
      </c>
      <c r="AA4" s="61">
        <f>SUMIFS(Accounts!$Z:$Z,Accounts!$B:$B,"none",Accounts!$C:$C,"Customer",Accounts!$E:$E,"QBDT")</f>
        <v>0</v>
      </c>
      <c r="AB4" s="61">
        <f>SUMIFS(Accounts!$AG:$AG,Accounts!$B:$B,"none",Accounts!$C:$C,"Customer",Accounts!$E:$E,"QBDT") + SUMIFS(Accounts!$AL:$AL,Accounts!$B:$B,"none",Accounts!$C:$C,"Customer",Accounts!$E:$E,"QBDT")</f>
        <v>0</v>
      </c>
      <c r="AC4" s="61">
        <f>SUMIFS(Accounts!$AQ:$AQ,Accounts!$B:$B,"none",Accounts!$C:$C,"Customer",Accounts!$E:$E,"QBDT")</f>
        <v>0</v>
      </c>
      <c r="AD4" s="61">
        <f>SUMIFS(Accounts!$AA:$AA,Accounts!$T:$T,"&gt;="&amp;DATE($C$10,$C$11,1),Accounts!$T:$T,"&lt;"&amp;DATE($C$7,$C$8,1),Accounts!$B:$B,"Trialer",Accounts!$C:$C,"Customer",Accounts!$E:$E,"QBDT") + SUMIFS(Accounts!$AH:$AH,Accounts!$T:$T,"&gt;="&amp;DATE($C$10,$C$11,1),Accounts!$T:$T,"&lt;"&amp;DATE($C$7,$C$8,1),Accounts!$B:$B,"Trialer",Accounts!$C:$C,"Customer",Accounts!$E:$E,"QBDT") + SUMIFS(Accounts!$AJ:$AJ,Accounts!$T:$T,"&gt;="&amp;DATE($C$10,$C$11,1),Accounts!$T:$T,"&lt;"&amp;DATE($C$7,$C$8,1),Accounts!$B:$B,"Trialer",Accounts!$C:$C,"Customer",Accounts!$E:$E,"QBDT") + SUMIFS(Accounts!$AI:$AI,Accounts!$T:$T,"&gt;="&amp;DATE($C$10,$C$11,1),Accounts!$T:$T,"&lt;"&amp;DATE($C$7,$C$8,1),Accounts!$B:$B,"Trialer",Accounts!$C:$C,"Customer",Accounts!$E:$E,"QBDT") + SUMIFS(Accounts!$AO:$AO,Accounts!$T:$T,"&gt;="&amp;DATE($C$10,$C$11,1),Accounts!$T:$T,"&lt;"&amp;DATE($C$7,$C$8,1),Accounts!$B:$B,"Trialer",Accounts!$C:$C,"Customer",Accounts!$E:$E,"QBDT")</f>
        <v>0</v>
      </c>
      <c r="AE4" s="61">
        <f>SUMIFS(Accounts!$AC:$AC,Accounts!$T:$T,"&gt;="&amp;DATE($C$10,$C$11,1),Accounts!$T:$T,"&lt;"&amp;DATE($C$7,$C$8,1),Accounts!$B:$B,"Trialer",Accounts!$C:$C,"Customer",Accounts!$E:$E,"QBDT")+SUMIFS(Accounts!$AF:$AF,Accounts!$T:$T,"&gt;="&amp;DATE($C$10,$C$11,1),Accounts!$T:$T,"&lt;"&amp;DATE($C$7,$C$8,1),Accounts!$B:$B,"Trialer",Accounts!$C:$C,"Customer",Accounts!$E:$E,"QBDT")+SUMIFS(Accounts!$AK:$AK,Accounts!$T:$T,"&gt;="&amp;DATE($C$10,$C$11,1),Accounts!$T:$T,"&lt;"&amp;DATE($C$7,$C$8,1),Accounts!$B:$B,"Trialer",Accounts!$C:$C,"Customer",Accounts!$E:$E,"QBDT")</f>
        <v>0</v>
      </c>
      <c r="AF4" s="61">
        <f>SUMIFS(Accounts!$AB:$AB,Accounts!$T:$T,"&gt;="&amp;DATE($C$10,$C$11,1),Accounts!$T:$T,"&lt;"&amp;DATE($C$7,$C$8,1),Accounts!$B:$B,"Trialer",Accounts!$C:$C,"Customer",Accounts!$E:$E,"QBDT")</f>
        <v>0</v>
      </c>
      <c r="AG4" s="61">
        <f>SUMIFS(Accounts!$AD:$AD,Accounts!$T:$T,"&gt;="&amp;DATE($C$10,$C$11,1),Accounts!$T:$T,"&lt;"&amp;DATE($C$7,$C$8,1),Accounts!$B:$B,"Trialer",Accounts!$C:$C,"Customer",Accounts!$E:$E,"QBDT")+SUMIFS(Accounts!$AM:$AM,Accounts!$T:$T,"&gt;="&amp;DATE($C$10,$C$11,1),Accounts!$T:$T,"&lt;"&amp;DATE($C$7,$C$8,1),Accounts!$B:$B,"Trialer",Accounts!$C:$C,"Customer",Accounts!$E:$E,"QBDT")+SUMIFS(Accounts!$AN:$AN,Accounts!$T:$T,"&gt;="&amp;DATE($C$10,$C$11,1),Accounts!$T:$T,"&lt;"&amp;DATE($C$7,$C$8,1),Accounts!$B:$B,"Trialer",Accounts!$C:$C,"Customer",Accounts!$E:$E,"QBDT")</f>
        <v>0</v>
      </c>
      <c r="AH4" s="61">
        <f>SUMIFS(Accounts!$AE:$AE,Accounts!$T:$T,"&gt;="&amp;DATE($C$10,$C$11,1),Accounts!$T:$T,"&lt;"&amp;DATE($C$7,$C$8,1),Accounts!$B:$B,"Trialer",Accounts!$C:$C,"Customer",Accounts!$E:$E,"QBDT") + SUMIFS(Accounts!$AP:$AP,Accounts!$T:$T,"&gt;="&amp;DATE($C$10,$C$11,1),Accounts!$T:$T,"&lt;"&amp;DATE($C$7,$C$8,1),Accounts!$B:$B,"Trialer",Accounts!$C:$C,"Customer",Accounts!$E:$E,"QBDT")</f>
        <v>0</v>
      </c>
      <c r="AI4" s="61">
        <f>SUMIFS(Accounts!$Z:$Z,Accounts!$T:$T,"&gt;="&amp;DATE($C$10,$C$11,1),Accounts!$T:$T,"&lt;"&amp;DATE($C$7,$C$8,1),Accounts!$B:$B,"Trialer",Accounts!$C:$C,"Customer",Accounts!$E:$E,"QBDT")</f>
        <v>0</v>
      </c>
      <c r="AJ4" s="61">
        <f>SUMIFS(Accounts!$AG:$AG,Accounts!$T:$T,"&gt;="&amp;DATE($C$10,$C$11,1),Accounts!$T:$T,"&lt;"&amp;DATE($C$7,$C$8,1),Accounts!$B:$B,"Trialer",Accounts!$C:$C,"Customer",Accounts!$E:$E,"QBDT") + SUMIFS(Accounts!$AL:$AL,Accounts!$T:$T,"&gt;="&amp;DATE($C$10,$C$11,1),Accounts!$T:$T,"&lt;"&amp;DATE($C$7,$C$8,1),Accounts!$B:$B,"Trialer",Accounts!$C:$C,"Customer",Accounts!$E:$E,"QBDT")</f>
        <v>0</v>
      </c>
      <c r="AK4" s="61">
        <f>SUMIFS(Accounts!$AQ:$AQ,Accounts!$T:$T,"&gt;="&amp;DATE($C$10,$C$11,1),Accounts!$T:$T,"&lt;"&amp;DATE($C$7,$C$8,1),Accounts!$B:$B,"Trialer",Accounts!$C:$C,"Customer",Accounts!$E:$E,"QBDT")</f>
        <v>0</v>
      </c>
      <c r="AL4" s="61">
        <f>SUMIFS(Accounts!$AA:$AA,Accounts!$T:$T,"&gt;="&amp;DATE($C$13,$C$14,1),Accounts!$T:$T,"&lt;"&amp;DATE($C$10,$C$11,1),Accounts!$B:$B,"Trialer",Accounts!$C:$C,"Customer",Accounts!$E:$E,"QBDT") + SUMIFS(Accounts!$AH:$AH,Accounts!$T:$T,"&gt;="&amp;DATE($C$13,$C$14,1),Accounts!$T:$T,"&lt;"&amp;DATE($C$10,$C$11,1),Accounts!$B:$B,"Trialer",Accounts!$C:$C,"Customer",Accounts!$E:$E,"QBDT") + SUMIFS(Accounts!$AJ:$AJ,Accounts!$T:$T,"&gt;="&amp;DATE($C$13,$C$14,1),Accounts!$T:$T,"&lt;"&amp;DATE($C$10,$C$11,1),Accounts!$B:$B,"Trialer",Accounts!$C:$C,"Customer",Accounts!$E:$E,"QBDT") + SUMIFS(Accounts!$AI:$AI,Accounts!$T:$T,"&gt;="&amp;DATE($C$13,$C$14,1),Accounts!$T:$T,"&lt;"&amp;DATE($C$10,$C$11,1),Accounts!$B:$B,"Trialer",Accounts!$C:$C,"Customer",Accounts!$E:$E,"QBDT") + SUMIFS(Accounts!$AO:$AO,Accounts!$T:$T,"&gt;="&amp;DATE($C$13,$C$14,1),Accounts!$T:$T,"&lt;"&amp;DATE($C$10,$C$11,1),Accounts!$B:$B,"Trialer",Accounts!$C:$C,"Customer",Accounts!$E:$E,"QBDT")</f>
        <v>0</v>
      </c>
      <c r="AM4" s="61">
        <f>SUMIFS(Accounts!$AC:$AC,Accounts!$T:$T,"&gt;="&amp;DATE($C$13,$C$14,1),Accounts!$T:$T,"&lt;"&amp;DATE($C$10,$C$11,1),Accounts!$B:$B,"Trialer",Accounts!$C:$C,"Customer",Accounts!$E:$E,"QBDT")+SUMIFS(Accounts!$AF:$AF,Accounts!$T:$T,"&gt;="&amp;DATE($C$13,$C$14,1),Accounts!$T:$T,"&lt;"&amp;DATE($C$10,$C$11,1),Accounts!$B:$B,"Trialer",Accounts!$C:$C,"Customer",Accounts!$E:$E,"QBDT")+SUMIFS(Accounts!$AK:$AK,Accounts!$T:$T,"&gt;="&amp;DATE($C$13,$C$14,1),Accounts!$T:$T,"&lt;"&amp;DATE($C$10,$C$11,1),Accounts!$B:$B,"Trialer",Accounts!$C:$C,"Customer",Accounts!$E:$E,"QBDT")</f>
        <v>0</v>
      </c>
      <c r="AN4" s="61">
        <f>SUMIFS(Accounts!$AB:$AB,Accounts!$T:$T,"&gt;="&amp;DATE($C$13,$C$14,1),Accounts!$T:$T,"&lt;"&amp;DATE($C$10,$C$11,1),Accounts!$B:$B,"Trialer",Accounts!$C:$C,"Customer",Accounts!$E:$E,"QBDT")</f>
        <v>0</v>
      </c>
      <c r="AO4" s="61">
        <f>SUMIFS(Accounts!$AD:$AD,Accounts!$T:$T,"&gt;="&amp;DATE($C$13,$C$14,1),Accounts!$T:$T,"&lt;"&amp;DATE($C$10,$C$11,1),Accounts!$B:$B,"Trialer",Accounts!$C:$C,"Customer",Accounts!$E:$E,"QBDT")+SUMIFS(Accounts!$AM:$AM,Accounts!$T:$T,"&gt;="&amp;DATE($C$13,$C$14,1),Accounts!$T:$T,"&lt;"&amp;DATE($C$10,$C$11,1),Accounts!$B:$B,"Trialer",Accounts!$C:$C,"Customer",Accounts!$E:$E,"QBDT")+SUMIFS(Accounts!$AN:$AN,Accounts!$T:$T,"&gt;="&amp;DATE($C$13,$C$14,1),Accounts!$T:$T,"&lt;"&amp;DATE($C$10,$C$11,1),Accounts!$B:$B,"Trialer",Accounts!$C:$C,"Customer",Accounts!$E:$E,"QBDT")</f>
        <v>0</v>
      </c>
      <c r="AP4" s="61">
        <f>SUMIFS(Accounts!$AE:$AE,Accounts!$T:$T,"&gt;="&amp;DATE($C$13,$C$14,1),Accounts!$T:$T,"&lt;"&amp;DATE($C$10,$C$11,1),Accounts!$B:$B,"Trialer",Accounts!$C:$C,"Customer",Accounts!$E:$E,"QBDT") + SUMIFS(Accounts!$AP:$AP,Accounts!$T:$T,"&gt;="&amp;DATE($C$13,$C$14,1),Accounts!$T:$T,"&lt;"&amp;DATE($C$10,$C$11,1),Accounts!$B:$B,"Trialer",Accounts!$C:$C,"Customer",Accounts!$E:$E,"QBDT")</f>
        <v>0</v>
      </c>
      <c r="AQ4" s="61">
        <f>SUMIFS(Accounts!$Z:$Z,Accounts!$T:$T,"&gt;="&amp;DATE($C$13,$C$14,1),Accounts!$T:$T,"&lt;"&amp;DATE($C$10,$C$11,1),Accounts!$B:$B,"Trialer",Accounts!$C:$C,"Customer",Accounts!$E:$E,"QBDT")</f>
        <v>0</v>
      </c>
      <c r="AR4" s="61">
        <f>SUMIFS(Accounts!$AG:$AG,Accounts!$T:$T,"&gt;="&amp;DATE($C$13,$C$14,1),Accounts!$T:$T,"&lt;"&amp;DATE($C$10,$C$11,1),Accounts!$B:$B,"Trialer",Accounts!$C:$C,"Customer",Accounts!$E:$E,"QBDT") + SUMIFS(Accounts!$AL:$AL,Accounts!$T:$T,"&gt;="&amp;DATE($C$13,$C$14,1),Accounts!$T:$T,"&lt;"&amp;DATE($C$10,$C$11,1),Accounts!$B:$B,"Trialer",Accounts!$C:$C,"Customer",Accounts!$E:$E,"QBDT")</f>
        <v>0</v>
      </c>
      <c r="AS4" s="61">
        <f>SUMIFS(Accounts!$AQ:$AQ,Accounts!$T:$T,"&gt;="&amp;DATE($C$13,$C$14,1),Accounts!$T:$T,"&lt;"&amp;DATE($C$10,$C$11,1),Accounts!$B:$B,"Trialer",Accounts!$C:$C,"Customer",Accounts!$E:$E,"QBDT")</f>
        <v>0</v>
      </c>
      <c r="AT4" s="19">
        <f>IFERROR((
SUMPRODUCT(SUMIFS(Accounts!$AA:$AA,Accounts!$B:$B,{"Trialer","none"},Accounts!$C:$C,"Customer",Accounts!$E:$E,"QBDT")) +
SUMPRODUCT(SUMIFS(Accounts!$AH:$AH,Accounts!$B:$B,{"Trialer","none"},Accounts!$C:$C,"Customer",Accounts!$E:$E,"QBDT")) +
SUMPRODUCT(SUMIFS(Accounts!$AJ:$AJ,Accounts!$B:$B,{"Trialer","none"},Accounts!$C:$C,"Customer",Accounts!$E:$E,"QBDT")) +
SUMPRODUCT(SUMIFS(Accounts!$AI:$AI,Accounts!$B:$B,{"Trialer","none"},Accounts!$C:$C,"Customer",Accounts!$E:$E,"QBDT")) +
SUMPRODUCT(SUMIFS(Accounts!$AO:$AO,Accounts!$B:$B,{"Trialer","none"},Accounts!$C:$C,"Customer",Accounts!$E:$E,"QBDT"))
)
/BM4,0
)</f>
        <v>0</v>
      </c>
      <c r="AU4" s="19">
        <f>IFERROR((SUMPRODUCT(SUMIFS(Accounts!$AC:$AC,Accounts!$B:$B,{"Trialer","none"},Accounts!$C:$C,"Customer",Accounts!$E:$E,"QBDT"))+SUMPRODUCT(SUMIFS(Accounts!$AF:$AF,Accounts!$B:$B,{"Trialer","none"},Accounts!$C:$C,"Customer",Accounts!$E:$E,"QBDT"))+SUMPRODUCT(SUMIFS(Accounts!$AK:$AK,Accounts!$B:$B,{"Trialer","none"},Accounts!$C:$C,"Customer",Accounts!$E:$E,"QBDT")))/BN4,0)</f>
        <v>0</v>
      </c>
      <c r="AV4" s="19">
        <f>IFERROR((SUMPRODUCT(SUMIFS(Accounts!$AB:$AB,Accounts!$B:$B,{"Trialer","none"},Accounts!$C:$C,"Customer",Accounts!$E:$E,"QBDT")))/BO4,0)</f>
        <v>0</v>
      </c>
      <c r="AW4" s="19">
        <f>IFERROR((SUMPRODUCT(SUMIFS(Accounts!$AD:$AD,Accounts!$B:$B,{"Trialer","none"},Accounts!$C:$C,"Customer",Accounts!$E:$E,"QBDT"))+SUMPRODUCT(SUMIFS(Accounts!$AM:$AM,Accounts!$B:$B,{"Trialer","none"},Accounts!$C:$C,"Customer",Accounts!$E:$E,"QBDT"))+SUMPRODUCT(SUMIFS(Accounts!$AN:$AN,Accounts!$B:$B,{"Trialer","none"},Accounts!$C:$C,"Customer",Accounts!$E:$E,"QBDT")))/BP4,0)</f>
        <v>0</v>
      </c>
      <c r="AX4" s="19">
        <f>IFERROR((
SUMPRODUCT(SUMIFS(Accounts!$AP:$AP,Accounts!$B:$B,{"Trialer","none"},Accounts!$C:$C,"Customer",Accounts!$E:$E,"QBDT"))+
SUMPRODUCT(SUMIFS(Accounts!$AE:$AE,Accounts!$B:$B,{"Trialer","none"},Accounts!$C:$C,"Customer",Accounts!$E:$E,"QBDT"))+
SUMPRODUCT(SUMIFS(Accounts!$Z:$Z,Accounts!$B:$B,{"Trialer","none"},Accounts!$C:$C,"Customer",Accounts!$E:$E,"QBDT"))+
SUMPRODUCT(SUMIFS(Accounts!$AG:$AG,Accounts!$B:$B,{"Trialer","none"},Accounts!$C:$C,"Customer",Accounts!$E:$E,"QBDT"))+
SUMPRODUCT(SUMIFS(Accounts!$AL:$AL,Accounts!$B:$B,{"Trialer","none"},Accounts!$C:$C,"Customer",Accounts!$E:$E,"QBDT"))
)
/(BQ4+BS4+BT4),0
)</f>
        <v>0</v>
      </c>
      <c r="AY4" s="19">
        <f>IFERROR((
SUMPRODUCT(SUMIFS(Accounts!$AE:$AE,Accounts!$B:$B,{"Trialer","none"},Accounts!$C:$C,"Customer",Accounts!$E:$E,"QBDT")) +
SUMPRODUCT(SUMIFS(Accounts!$AP:$AP,Accounts!$B:$B,{"Trialer","none"},Accounts!$C:$C,"Customer",Accounts!$E:$E,"QBDT"))
)
/BQ4,0
)</f>
        <v>0</v>
      </c>
      <c r="AZ4" s="19">
        <f>IFERROR(SUMPRODUCT(SUMIFS(Accounts!$Z:$Z,Accounts!$B:$B,{"Trialer","none"},Accounts!$C:$C,"Customer",Accounts!$E:$E,"QBDT"))/BS4,0)</f>
        <v>0</v>
      </c>
      <c r="BA4" s="19">
        <f>IFERROR((SUMPRODUCT(SUMIFS(Accounts!$AG:$AG,Accounts!$B:$B,{"Trialer","none"},Accounts!$C:$C,"Customer",Accounts!$E:$E,"QBDT")) + SUMPRODUCT(SUMIFS(Accounts!$AL:$AL,Accounts!$B:$B,{"Trialer","none"},Accounts!$C:$C,"Customer",Accounts!$E:$E,"QBDT")))/BT4,0)</f>
        <v>0</v>
      </c>
      <c r="BB4" s="19">
        <f>IFERROR((SUMPRODUCT(SUMIFS(Accounts!$AQ:$AQ,Accounts!$B:$B,{"none","Trialer"},Accounts!$C:$C,"Customer",Accounts!$E:$E,"QBDT")))/BU4,0)</f>
        <v>0</v>
      </c>
      <c r="BC4" s="34" t="e">
        <f>(($BC$24+$BC$27)/(($BC$23*$C$3)+(0.5*$BC$26*$C$3)))*$C$3</f>
        <v>#VALUE!</v>
      </c>
      <c r="BD4" s="34" t="e">
        <f>(($BD$24+$BD$27)/((($BD$23*$C$2)+(0.5*$BD$26*$C$2)))*$C$2)</f>
        <v>#VALUE!</v>
      </c>
      <c r="BE4" s="34" t="e">
        <f>((BE24+BE27)/((BE23*$C$2)+(0.5*BE26*$C$2)))*$C$2</f>
        <v>#VALUE!</v>
      </c>
      <c r="BF4" s="34" t="e">
        <f t="shared" ref="BF4:BL4" si="2">((BF24+BF27)/((BF23*$C$2)+(0.5*BF26*$C$2)))*$C$2</f>
        <v>#VALUE!</v>
      </c>
      <c r="BG4" s="34" t="e">
        <f t="shared" si="2"/>
        <v>#VALUE!</v>
      </c>
      <c r="BH4" s="34" t="e">
        <f>((BH24+BH27)/((BH23*$C$2)+(0.5*BH26*$C$2)))*$C$2</f>
        <v>#VALUE!</v>
      </c>
      <c r="BI4" s="34" t="e">
        <f t="shared" si="2"/>
        <v>#VALUE!</v>
      </c>
      <c r="BJ4" s="34" t="e">
        <f t="shared" si="2"/>
        <v>#VALUE!</v>
      </c>
      <c r="BK4" s="34" t="e">
        <f t="shared" si="2"/>
        <v>#VALUE!</v>
      </c>
      <c r="BL4" s="34" t="e">
        <f t="shared" si="2"/>
        <v>#VALUE!</v>
      </c>
      <c r="BM4" s="39">
        <f>SUMIFS(Accounts!$AA:$AA,Accounts!$B:$B,"none",Accounts!$E:$E,"QBDT") + SUMIFS(Accounts!$AH:$AH,Accounts!$B:$B,"none",Accounts!$E:$E,"QBDT") + SUMIFS(Accounts!$AJ:$AJ,Accounts!$B:$B,"none",Accounts!$E:$E,"QBDT") + SUMIFS(Accounts!$AI:$AI,Accounts!$B:$B,"none",Accounts!$E:$E,"QBDT") + SUMIFS(Accounts!$AO:$AO,Accounts!$B:$B,"none",Accounts!$E:$E,"QBDT")</f>
        <v>0</v>
      </c>
      <c r="BN4" s="39">
        <f>SUMIFS(Accounts!$AC:$AC,Accounts!$B:$B,"none",Accounts!$E:$E,"QBDT") + SUMIFS(Accounts!$AF:$AF,Accounts!$B:$B,"none") + SUMIFS(Accounts!$AK:$AK,Accounts!$B:$B,"none",Accounts!$E:$E,"QBDT")</f>
        <v>0</v>
      </c>
      <c r="BO4" s="39">
        <f>SUMIFS(Accounts!$AB:$AB,Accounts!$B:$B,"none",Accounts!$E:$E,"QBDT")</f>
        <v>0</v>
      </c>
      <c r="BP4" s="39">
        <f>SUMIFS(Accounts!$AD:$AD,Accounts!$B:$B,"none",Accounts!$E:$E,"QBDT") + SUMIFS(Accounts!$AM:$AM,Accounts!$B:$B,"none",Accounts!$E:$E,"QBDT") + SUMIFS(Accounts!$AN:$AN,Accounts!$B:$B,"none",Accounts!$E:$E,"QBDT")</f>
        <v>0</v>
      </c>
      <c r="BQ4" s="39">
        <f>SUMIFS(Accounts!$AE:$AE,Accounts!$B:$B,"none",Accounts!$E:$E,"QBDT") + SUMIFS(Accounts!$AP:$AP,Accounts!$B:$B,"none",Accounts!$E:$E,"QBDT")</f>
        <v>0</v>
      </c>
      <c r="BR4" s="39">
        <f>SUM(BS4:BT4,BQ4)</f>
        <v>0</v>
      </c>
      <c r="BS4" s="39">
        <f>SUMIFS(Accounts!$Z:$Z,Accounts!$B:$B,"none",Accounts!$E:$E,"QBDT")</f>
        <v>0</v>
      </c>
      <c r="BT4" s="39">
        <f>SUMIFS(Accounts!$AG:$AG,Accounts!$B:$B,"none",Accounts!$E:$E,"QBDT") + SUMIFS(Accounts!$AL:$AL,Accounts!$B:$B,"none",Accounts!$E:$E,"QBDT")</f>
        <v>0</v>
      </c>
      <c r="BU4" s="39">
        <f>SUMIFS(Accounts!$AQ:$AQ,Accounts!$B:$B,"none",Accounts!$E:$E,"QBDT")</f>
        <v>0</v>
      </c>
      <c r="BV4" s="37" t="e">
        <f>T$31/(BD$23+BD$26)</f>
        <v>#DIV/0!</v>
      </c>
      <c r="BW4" s="37" t="e">
        <f>V$31/(BE$23+BE$26)</f>
        <v>#DIV/0!</v>
      </c>
      <c r="BX4" s="37" t="e">
        <f>X$31/(BF$23+BF$26)</f>
        <v>#DIV/0!</v>
      </c>
      <c r="BY4" s="37" t="e">
        <f>Z$31/(BG$23+BG$26)</f>
        <v>#DIV/0!</v>
      </c>
      <c r="BZ4" s="37" t="e">
        <f>($AB$31+AD31+AF31)/($BI$23+$BJ$23+BK23+$BI$26+BJ26+BK26)</f>
        <v>#DIV/0!</v>
      </c>
      <c r="CA4" s="37" t="e">
        <f>$AB$31/($BI$23+$BI$26)</f>
        <v>#DIV/0!</v>
      </c>
      <c r="CB4" s="37" t="e">
        <f>AD$31/(BJ$23+BJ$26)</f>
        <v>#DIV/0!</v>
      </c>
      <c r="CC4" s="37" t="e">
        <f>AF$31/(BK$23+BK$26)</f>
        <v>#DIV/0!</v>
      </c>
      <c r="CD4" s="37">
        <f>AH$31/(BL$23+BL$26)</f>
        <v>0</v>
      </c>
      <c r="CE4" s="37" t="e">
        <f>(T$31+AJ$31)/(BD$23+BD$26)</f>
        <v>#DIV/0!</v>
      </c>
      <c r="CF4" s="37" t="e">
        <f>(V$31+AL$31)/(BE$23+BE$26)</f>
        <v>#DIV/0!</v>
      </c>
      <c r="CG4" s="37" t="e">
        <f>(X$31+AN$31)/(BF$23+BF$26)</f>
        <v>#DIV/0!</v>
      </c>
      <c r="CH4" s="37" t="e">
        <f>(Z$31+AP$31)/(BG$23+BG$26)</f>
        <v>#DIV/0!</v>
      </c>
      <c r="CI4" s="37" t="e">
        <f>($AB$31+$AR$31+AD31+AF31+AT31+AV31)/($BI$23+$BI$26+BJ23+BK23+BJ26+BK26)</f>
        <v>#DIV/0!</v>
      </c>
      <c r="CJ4" s="37" t="e">
        <f>($AB$31+$AR$31)/($BI$23+$BI$26)</f>
        <v>#DIV/0!</v>
      </c>
      <c r="CK4" s="37" t="e">
        <f>(AD$31+AT$31)/(BJ$23+BJ$26)</f>
        <v>#DIV/0!</v>
      </c>
      <c r="CL4" s="37" t="e">
        <f>(AF$31+AV$31)/(BK$23+BK$26)</f>
        <v>#DIV/0!</v>
      </c>
      <c r="CM4" s="37">
        <f>(AH$31+AX$31)/(BL$23+BL$26)</f>
        <v>0</v>
      </c>
      <c r="CN4" s="37" t="e">
        <f>BV$4*BD$22</f>
        <v>#DIV/0!</v>
      </c>
      <c r="CO4" s="37" t="e">
        <f>BW$4*BE$22</f>
        <v>#DIV/0!</v>
      </c>
      <c r="CP4" s="37" t="e">
        <f>BX$4*BF$22</f>
        <v>#DIV/0!</v>
      </c>
      <c r="CQ4" s="37" t="e">
        <f>BY$4*BG$22</f>
        <v>#DIV/0!</v>
      </c>
      <c r="CR4" s="37" t="e">
        <f>$BZ$4*$BH$22</f>
        <v>#DIV/0!</v>
      </c>
      <c r="CS4" s="37" t="e">
        <f>$CA$4*$BI$22</f>
        <v>#DIV/0!</v>
      </c>
      <c r="CT4" s="37" t="e">
        <f>CB$4*BJ$22</f>
        <v>#DIV/0!</v>
      </c>
      <c r="CU4" s="37" t="e">
        <f>CC$4*BK$22</f>
        <v>#DIV/0!</v>
      </c>
      <c r="CV4" s="37" t="e">
        <f>CD$4*BL$22</f>
        <v>#VALUE!</v>
      </c>
      <c r="CW4" s="34" t="e">
        <f>((CW22+CW25)/((CW21*$C$2)+(0.5*CW24*$C$2)))*$C$2</f>
        <v>#VALUE!</v>
      </c>
      <c r="CX4" s="39">
        <f>COUNTIFS(Accounts!$AS:$AS, "Manufacturing (MWD)",Accounts!$B:$B,"none",Accounts!$E:$E,"QBDT")</f>
        <v>0</v>
      </c>
      <c r="CY4" s="33">
        <f>COUNTIFS(Accounts!$AS:$AS, "Manufacturing (MWD)",Accounts!$B:$B,"Customer",Accounts!$E:$E,"QBDT")</f>
        <v>0</v>
      </c>
      <c r="CZ4" s="37">
        <f>SUMIFS(Accounts!$I:$I,Accounts!$AS:$AS, "Manufacturing (MWD)",Accounts!$E:$E,"QBDT")</f>
        <v>0</v>
      </c>
      <c r="DA4" s="37">
        <f>SUMIFS(Accounts!$N:$N,Accounts!$AS:$AS, "Manufacturing (MWD)",Accounts!$E:$E,"QBDT")</f>
        <v>0</v>
      </c>
      <c r="DB4" s="37" t="e">
        <f>CZ4/(CY4+CW24)</f>
        <v>#DIV/0!</v>
      </c>
      <c r="DC4" s="37" t="e">
        <f>(CZ4+DA4)/(CY4+CW24)</f>
        <v>#DIV/0!</v>
      </c>
      <c r="DD4" s="37" t="e">
        <f>CW20*DB4</f>
        <v>#VALUE!</v>
      </c>
      <c r="DE4" s="37" t="e">
        <f>AVERAGEIFS(Accounts!$AY:$AY,Accounts!$AS:$AS, "Manufacturing (MWD)",Accounts!$B:$B,"Customer",Accounts!$AY:$AY,"&gt;0",Accounts!$E:$E,"QBDT")</f>
        <v>#DIV/0!</v>
      </c>
      <c r="DF4" s="33" t="e">
        <f>AVERAGEIFS(Accounts!$AX:$AX,Accounts!$AS:$AS, "Manufacturing (MWD)",Accounts!$B:$B,"Customer",Accounts!$AX:$AX,"&gt;0",Accounts!$E:$E,"QBDT")</f>
        <v>#DIV/0!</v>
      </c>
      <c r="DG4" s="37" t="e">
        <f>AVERAGEIFS(Accounts!$AY:$AY,Accounts!$AS:$AS, "Manufacturing (MWD)",Accounts!$B:$B,"none",Accounts!$AY:$AY,"&gt;0",Accounts!$E:$E,"QBDT")</f>
        <v>#DIV/0!</v>
      </c>
      <c r="DH4" s="33" t="e">
        <f>AVERAGEIFS(Accounts!$AX:$AX,Accounts!$AS:$AS, "Manufacturing (MWD)",Accounts!$B:$B,"none",Accounts!$AX:$AX,"&gt;0",Accounts!$E:$E,"QBDT")</f>
        <v>#DIV/0!</v>
      </c>
      <c r="DI4" s="55">
        <f>SUMIFS(Accounts!$AA:$AA,Accounts!$B:$B,"Customer",Accounts!$AS:$AS, "Manufacturing (MWD)",Accounts!$E:$E,"QBDT") + SUMIFS(Accounts!$AH:$AH,Accounts!$B:$B,"Customer",Accounts!$AS:$AS, "Manufacturing (MWD)",Accounts!$E:$E,"QBDT") + SUMIFS(Accounts!$AJ:$AJ,Accounts!$B:$B,"Customer",Accounts!$AS:$AS, "Manufacturing (MWD)",Accounts!$E:$E,"QBDT") + SUMIFS(Accounts!$AI:$AI,Accounts!$B:$B,"Customer",Accounts!$AS:$AS, "Manufacturing (MWD)",Accounts!$E:$E,"QBDT") + SUMIFS(Accounts!$AO:$AO,Accounts!$B:$B,"Customer",Accounts!$AS:$AS, "Manufacturing (MWD)",Accounts!$E:$E,"QBDT")</f>
        <v>0</v>
      </c>
      <c r="DJ4" s="55">
        <f>(SUMIFS(Accounts!$AC:$AC,Accounts!$B:$B,"Customer",Accounts!$AS:$AS, "Manufacturing (MWD)",Accounts!$E:$E,"QBDT")+SUMIFS(Accounts!$AF:$AF,Accounts!$B:$B,"Customer",Accounts!$AS:$AS, "Manufacturing (MWD)",Accounts!$E:$E,"QBDT")+SUMIFS(Accounts!$AK:$AK,Accounts!$B:$B,"Customer",Accounts!$AS:$AS, "Manufacturing (MWD)",Accounts!$E:$E,"QBDT"))</f>
        <v>0</v>
      </c>
      <c r="DK4" s="55">
        <f>SUMIFS(Accounts!$AB:$AB,Accounts!$B:$B,"Customer",Accounts!$AS:$AS, "Manufacturing (MWD)",Accounts!$E:$E,"QBDT")</f>
        <v>0</v>
      </c>
      <c r="DL4" s="55">
        <f>SUMIFS(Accounts!$AD:$AD,Accounts!$B:$B,"Customer",Accounts!$AS:$AS, "Manufacturing (MWD)",Accounts!$E:$E,"QBDT")+SUMIFS(Accounts!$AM:$AM,Accounts!$B:$B,"Customer",Accounts!$AS:$AS, "Manufacturing (MWD)",Accounts!$E:$E,"QBDT")+SUMIFS(Accounts!$AN:$AN,Accounts!$B:$B,"Customer",Accounts!$AS:$AS, "Manufacturing (MWD)",Accounts!$E:$E,"QBDT")</f>
        <v>0</v>
      </c>
      <c r="DM4" s="55">
        <f>SUMIFS(Accounts!$AE:$AE,Accounts!$B:$B,"Customer",Accounts!$AS:$AS, "Manufacturing (MWD)",Accounts!$E:$E,"QBDT") + SUMIFS(Accounts!$AP:$AP,Accounts!$B:$B,"Customer",Accounts!$AS:$AS, "Manufacturing (MWD)",Accounts!$E:$E,"QBDT")</f>
        <v>0</v>
      </c>
      <c r="DN4" s="55">
        <f>SUMIFS(Accounts!$Z:$Z,Accounts!$B:$B,"Customer",Accounts!$AS:$AS, "Manufacturing (MWD)",Accounts!$E:$E,"QBDT")</f>
        <v>0</v>
      </c>
      <c r="DO4" s="55">
        <f>SUMIFS(Accounts!$AG:$AG,Accounts!$B:$B,"Customer",Accounts!$AS:$AS, "Manufacturing (MWD)",Accounts!$E:$E,"QBDT") + SUMIFS(Accounts!$AL:$AL,Accounts!$B:$B,"Customer",Accounts!$AS:$AS, "Manufacturing (MWD)",Accounts!$E:$E,"QBDT")</f>
        <v>0</v>
      </c>
      <c r="DP4" s="55">
        <f>SUMIFS(Accounts!$AQ:$AQ,Accounts!$B:$B,"Customer",Accounts!$AS:$AS, "Manufacturing (MWD)",Accounts!$E:$E,"QBDT")</f>
        <v>0</v>
      </c>
      <c r="DQ4" s="55">
        <f>SUMIFS(Accounts!$AA:$AA,Accounts!$B:$B,"none",Accounts!$AS:$AS, "Manufacturing (MWD)",Accounts!$E:$E,"QBDT") + SUMIFS(Accounts!$AH:$AH,Accounts!$B:$B,"none",Accounts!$AS:$AS, "Manufacturing (MWD)",Accounts!$E:$E,"QBDT") + SUMIFS(Accounts!$AJ:$AJ,Accounts!$B:$B,"none",Accounts!$AS:$AS, "Manufacturing (MWD)",Accounts!$E:$E,"QBDT") + SUMIFS(Accounts!$AI:$AI,Accounts!$B:$B,"none",Accounts!$AS:$AS, "Manufacturing (MWD)",Accounts!$E:$E,"QBDT") + SUMIFS(Accounts!$AO:$AO,Accounts!$B:$B,"none",Accounts!$AS:$AS, "Manufacturing (MWD)",Accounts!$E:$E,"QBDT")</f>
        <v>0</v>
      </c>
      <c r="DR4" s="55">
        <f>(SUMIFS(Accounts!$AC:$AC,Accounts!$B:$B,"none",Accounts!$AS:$AS, "Manufacturing (MWD)",Accounts!$E:$E,"QBDT")+SUMIFS(Accounts!$AF:$AF,Accounts!$B:$B,"none",Accounts!$AS:$AS, "Manufacturing (MWD)",Accounts!$E:$E,"QBDT")+SUMIFS(Accounts!$AK:$AK,Accounts!$B:$B,"none",Accounts!$AS:$AS, "Manufacturing (MWD)",Accounts!$E:$E,"QBDT"))</f>
        <v>0</v>
      </c>
      <c r="DS4" s="55">
        <f>SUMIFS(Accounts!$AB:$AB,Accounts!$B:$B,"none",Accounts!$AS:$AS, "Manufacturing (MWD)",Accounts!$E:$E,"QBDT")</f>
        <v>0</v>
      </c>
      <c r="DT4" s="55">
        <f>SUMIFS(Accounts!$AD:$AD,Accounts!$B:$B,"none",Accounts!$AS:$AS, "Manufacturing (MWD)",Accounts!$E:$E,"QBDT")+SUMIFS(Accounts!$AM:$AM,Accounts!$B:$B,"none",Accounts!$AS:$AS, "Manufacturing (MWD)",Accounts!$E:$E,"QBDT")+SUMIFS(Accounts!$AN:$AN,Accounts!$B:$B,"none",Accounts!$AS:$AS, "Manufacturing (MWD)",Accounts!$E:$E,"QBDT")</f>
        <v>0</v>
      </c>
      <c r="DU4" s="39">
        <f>SUMIFS(Accounts!$AE:$AE,Accounts!$B:$B,"none",Accounts!$AS:$AS, "Manufacturing (MWD)",Accounts!$E:$E,"QBDT") + SUMIFS(Accounts!$AP:$AP,Accounts!$B:$B,"none",Accounts!$AS:$AS, "Manufacturing (MWD)",Accounts!$E:$E,"QBDT")</f>
        <v>0</v>
      </c>
      <c r="DV4" s="55">
        <f>SUMIFS(Accounts!$Z:$Z,Accounts!$B:$B,"none",Accounts!$AS:$AS, "Manufacturing (MWD)",Accounts!$E:$E,"QBDT")</f>
        <v>0</v>
      </c>
      <c r="DW4" s="39">
        <f>SUMIFS(Accounts!$AG:$AG,Accounts!$B:$B,"none",Accounts!$AS:$AS, "Manufacturing (MWD)",Accounts!$E:$E,"QBDT") + SUMIFS(Accounts!$AL:$AL,Accounts!$B:$B,"none",Accounts!$AS:$AS, "Manufacturing (MWD)",Accounts!$E:$E,"QBDT")</f>
        <v>0</v>
      </c>
      <c r="DX4" s="55">
        <f>SUMIFS(Accounts!$AQ:$AQ,Accounts!$B:$B,"none",Accounts!$AS:$AS, "Manufacturing (MWD)",Accounts!$E:$E,"QBDT")</f>
        <v>0</v>
      </c>
      <c r="DY4" s="34" t="e">
        <f>((DY22+DY25)/((DY21*$C$2)+(0.5*DY24*$C$2)))*$C$2</f>
        <v>#VALUE!</v>
      </c>
      <c r="DZ4" s="39">
        <f>COUNTIFS(Accounts!$AS:$AS, "Wholesale and distribution services (MWD)",Accounts!$B:$B,"none",Accounts!$E:$E,"QBDT")</f>
        <v>0</v>
      </c>
      <c r="EA4" s="33">
        <f>COUNTIFS(Accounts!$AS:$AS, "Wholesale and distribution services (MWD)",Accounts!$B:$B,"Customer",Accounts!$E:$E,"QBDT")</f>
        <v>0</v>
      </c>
      <c r="EB4" s="37">
        <f>SUMIFS(Accounts!$I:$I,Accounts!$AS:$AS, "Wholesale and distribution services (MWD)",Accounts!$E:$E,"QBDT")</f>
        <v>0</v>
      </c>
      <c r="EC4" s="37">
        <f>SUMIFS(Accounts!$N:$N,Accounts!$AS:$AS, "Wholesale and distribution services (MWD)",Accounts!$E:$E,"QBDT")</f>
        <v>0</v>
      </c>
      <c r="ED4" s="37" t="e">
        <f>EB4/(EA4+DY24)</f>
        <v>#DIV/0!</v>
      </c>
      <c r="EE4" s="37" t="e">
        <f>(EB4+EC4)/(EA4+DY24)</f>
        <v>#DIV/0!</v>
      </c>
      <c r="EF4" s="37" t="e">
        <f>DY20*ED4</f>
        <v>#VALUE!</v>
      </c>
      <c r="EG4" s="37" t="e">
        <f>AVERAGEIFS(Accounts!$AY:$AY,Accounts!$AS:$AS, "Wholesale and distribution services (MWD)",Accounts!$B:$B,"Customer",Accounts!$AY:$AY,"&gt;0",Accounts!$E:$E,"QBDT")</f>
        <v>#DIV/0!</v>
      </c>
      <c r="EH4" s="33" t="e">
        <f>AVERAGEIFS(Accounts!$AX:$AX,Accounts!$AS:$AS, "Wholesale and distribution services (MWD)",Accounts!$B:$B,"Customer",Accounts!$AX:$AX,"&gt;0",Accounts!$E:$E,"QBDT")</f>
        <v>#DIV/0!</v>
      </c>
      <c r="EI4" s="37" t="e">
        <f>AVERAGEIFS(Accounts!$AY:$AY,Accounts!$AS:$AS, "Wholesale and distribution services (MWD)",Accounts!$B:$B,"none",Accounts!$AY:$AY,"&gt;0",Accounts!$E:$E,"QBDT")</f>
        <v>#DIV/0!</v>
      </c>
      <c r="EJ4" s="33" t="e">
        <f>AVERAGEIFS(Accounts!$AX:$AX,Accounts!$AS:$AS, "Wholesale and distribution services (MWD)",Accounts!$B:$B,"none",Accounts!$AX:$AX,"&gt;0",Accounts!$E:$E,"QBDT")</f>
        <v>#DIV/0!</v>
      </c>
      <c r="EK4" s="55">
        <f>SUMIFS(Accounts!$AA:$AA,Accounts!$B:$B,"Customer",Accounts!$AS:$AS, "Wholesale and distribution services (MWD)",Accounts!$E:$E,"QBDT") + SUMIFS(Accounts!$AH:$AH,Accounts!$B:$B,"Customer",Accounts!$AS:$AS, "Wholesale and distribution services (MWD)",Accounts!$E:$E,"QBDT") + SUMIFS(Accounts!$AJ:$AJ,Accounts!$B:$B,"Customer",Accounts!$AS:$AS, "Wholesale and distribution services (MWD)",Accounts!$E:$E,"QBDT") + SUMIFS(Accounts!$AI:$AI,Accounts!$B:$B,"Customer",Accounts!$AS:$AS, "Wholesale and distribution services (MWD)",Accounts!$E:$E,"QBDT") + SUMIFS(Accounts!$AO:$AO,Accounts!$B:$B,"Customer",Accounts!$AS:$AS, "Wholesale and distribution services (MWD)",Accounts!$E:$E,"QBDT")</f>
        <v>0</v>
      </c>
      <c r="EL4" s="55">
        <f>(SUMIFS(Accounts!$AC:$AC,Accounts!$B:$B,"Customer",Accounts!$AS:$AS, "Wholesale and distribution services (MWD)",Accounts!$E:$E,"QBDT")+SUMIFS(Accounts!$AF:$AF,Accounts!$B:$B,"Customer",Accounts!$AS:$AS, "Wholesale and distribution services (MWD)",Accounts!$E:$E,"QBDT")+SUMIFS(Accounts!$AK:$AK,Accounts!$B:$B,"Customer",Accounts!$AS:$AS, "Wholesale and distribution services (MWD)",Accounts!$E:$E,"QBDT"))</f>
        <v>0</v>
      </c>
      <c r="EM4" s="55">
        <f>SUMIFS(Accounts!$AB:$AB,Accounts!$B:$B,"Customer",Accounts!$AS:$AS, "Wholesale and distribution services (MWD)",Accounts!$E:$E,"QBDT")</f>
        <v>0</v>
      </c>
      <c r="EN4" s="55">
        <f>SUMIFS(Accounts!$AD:$AD,Accounts!$B:$B,"Customer",Accounts!$AS:$AS, "Wholesale and distribution services (MWD)",Accounts!$E:$E,"QBDT")+SUMIFS(Accounts!$AM:$AM,Accounts!$B:$B,"Customer",Accounts!$AS:$AS, "Wholesale and distribution services (MWD)",Accounts!$E:$E,"QBDT")+SUMIFS(Accounts!$AN:$AN,Accounts!$B:$B,"Customer",Accounts!$AS:$AS, "Wholesale and distribution services (MWD)",Accounts!$E:$E,"QBDT")</f>
        <v>0</v>
      </c>
      <c r="EO4" s="55">
        <f>SUMIFS(Accounts!$AE:$AE,Accounts!$B:$B,"Customer",Accounts!$AS:$AS, "Wholesale and distribution services (MWD)",Accounts!$E:$E,"QBDT") + SUMIFS(Accounts!$AP:$AP,Accounts!$B:$B,"Customer",Accounts!$AS:$AS, "Wholesale and distribution services (MWD)",Accounts!$E:$E,"QBDT")</f>
        <v>0</v>
      </c>
      <c r="EP4" s="55">
        <f>SUMIFS(Accounts!$Z:$Z,Accounts!$B:$B,"Customer",Accounts!$AS:$AS, "Wholesale and distribution services (MWD)",Accounts!$E:$E,"QBDT")</f>
        <v>0</v>
      </c>
      <c r="EQ4" s="55">
        <f>SUMIFS(Accounts!$AG:$AG,Accounts!$B:$B,"Customer",Accounts!$AS:$AS, "Wholesale and distribution services (MWD)",Accounts!$E:$E,"QBDT") + SUMIFS(Accounts!$AL:$AL,Accounts!$B:$B,"Customer",Accounts!$AS:$AS, "Wholesale and distribution services (MWD)",Accounts!$E:$E,"QBDT")</f>
        <v>0</v>
      </c>
      <c r="ER4" s="55">
        <f>SUMIFS(Accounts!$AQ:$AQ,Accounts!$B:$B,"Customer",Accounts!$AS:$AS, "Wholesale and distribution services (MWD)",Accounts!$E:$E,"QBDT")</f>
        <v>0</v>
      </c>
      <c r="ES4" s="55">
        <f>SUMIFS(Accounts!$AA:$AA,Accounts!$B:$B,"none",Accounts!$AS:$AS, "Wholesale and distribution services (MWD)",Accounts!$E:$E,"QBDT") + SUMIFS(Accounts!$AH:$AH,Accounts!$B:$B,"none",Accounts!$AS:$AS, "Wholesale and distribution services (MWD)",Accounts!$E:$E,"QBDT") + SUMIFS(Accounts!$AJ:$AJ,Accounts!$B:$B,"none",Accounts!$AS:$AS, "Wholesale and distribution services (MWD)",Accounts!$E:$E,"QBDT") + SUMIFS(Accounts!$AI:$AI,Accounts!$B:$B,"none",Accounts!$AS:$AS, "Wholesale and distribution services (MWD)",Accounts!$E:$E,"QBDT") + SUMIFS(Accounts!$AO:$AO,Accounts!$B:$B,"none",Accounts!$AS:$AS, "Wholesale and distribution services (MWD)",Accounts!$E:$E,"QBDT")</f>
        <v>0</v>
      </c>
      <c r="ET4" s="55">
        <f>(SUMIFS(Accounts!$AC:$AC,Accounts!$B:$B,"none",Accounts!$AS:$AS, "Wholesale and distribution services (MWD)",Accounts!$E:$E,"QBDT")+SUMIFS(Accounts!$AF:$AF,Accounts!$B:$B,"none",Accounts!$AS:$AS, "Wholesale and distribution services (MWD)",Accounts!$E:$E,"QBDT")+SUMIFS(Accounts!$AK:$AK,Accounts!$B:$B,"none",Accounts!$AS:$AS, "Wholesale and distribution services (MWD)",Accounts!$E:$E,"QBDT"))</f>
        <v>0</v>
      </c>
      <c r="EU4" s="55">
        <f>SUMIFS(Accounts!$AB:$AB,Accounts!$B:$B,"none",Accounts!$AS:$AS, "Wholesale and distribution services (MWD)",Accounts!$E:$E,"QBDT")</f>
        <v>0</v>
      </c>
      <c r="EV4" s="55">
        <f>SUMIFS(Accounts!$AD:$AD,Accounts!$B:$B,"none",Accounts!$AS:$AS, "Wholesale and distribution services (MWD)",Accounts!$E:$E,"QBDT")+SUMIFS(Accounts!$AM:$AM,Accounts!$B:$B,"none",Accounts!$AS:$AS, "Wholesale and distribution services (MWD)",Accounts!$E:$E,"QBDT")+SUMIFS(Accounts!$AN:$AN,Accounts!$B:$B,"none",Accounts!$AS:$AS, "Wholesale and distribution services (MWD)",Accounts!$E:$E,"QBDT")</f>
        <v>0</v>
      </c>
      <c r="EW4" s="39">
        <f>SUMIFS(Accounts!$AE:$AE,Accounts!$B:$B,"none",Accounts!$AS:$AS, "Wholesale and distribution services (MWD)",Accounts!$E:$E,"QBDT") + SUMIFS(Accounts!$AP:$AP,Accounts!$B:$B,"none",Accounts!$AS:$AS, "Wholesale and distribution services (MWD)",Accounts!$E:$E,"QBDT")</f>
        <v>0</v>
      </c>
      <c r="EX4" s="55">
        <f>SUMIFS(Accounts!$Z:$Z,Accounts!$B:$B,"none",Accounts!$AS:$AS, "Wholesale and distribution services (MWD)",Accounts!$E:$E,"QBDT")</f>
        <v>0</v>
      </c>
      <c r="EY4" s="39">
        <f>SUMIFS(Accounts!$AG:$AG,Accounts!$B:$B,"none",Accounts!$AS:$AS, "Wholesale and distribution services (MWD)",Accounts!$E:$E,"QBDT") + SUMIFS(Accounts!$AL:$AL,Accounts!$B:$B,"none",Accounts!$AS:$AS, "Wholesale and distribution services (MWD)",Accounts!$E:$E,"QBDT")</f>
        <v>0</v>
      </c>
      <c r="EZ4" s="55">
        <f>SUMIFS(Accounts!$AQ:$AQ,Accounts!$B:$B,"none",Accounts!$AS:$AS, "Wholesale and distribution services (MWD)",Accounts!$E:$E,"QBDT")</f>
        <v>0</v>
      </c>
      <c r="FA4" s="34" t="e">
        <f>((FA22+FA25)/((FA21*$C$2)+(0.5*FA24*$C$2)))*$C$2</f>
        <v>#VALUE!</v>
      </c>
      <c r="FB4" s="39">
        <f>COUNTIFS(Accounts!$AS:$AS, "Construction",Accounts!$B:$B,"none",Accounts!$E:$E,"QBDT")</f>
        <v>0</v>
      </c>
      <c r="FC4" s="33">
        <f>COUNTIFS(Accounts!$AS:$AS, "Construction",Accounts!$B:$B,"Customer",Accounts!$E:$E,"QBDT")</f>
        <v>0</v>
      </c>
      <c r="FD4" s="37">
        <f>SUMIFS(Accounts!$I:$I,Accounts!$AS:$AS, "Construction",Accounts!$E:$E,"QBDT")</f>
        <v>0</v>
      </c>
      <c r="FE4" s="37">
        <f>SUMIFS(Accounts!$N:$N,Accounts!$AS:$AS, "Construction",Accounts!$E:$E,"QBDT")</f>
        <v>0</v>
      </c>
      <c r="FF4" s="37" t="e">
        <f>FD4/(FC4+FA24)</f>
        <v>#DIV/0!</v>
      </c>
      <c r="FG4" s="37" t="e">
        <f>(FD4+FE4)/(FC4+FA24)</f>
        <v>#DIV/0!</v>
      </c>
      <c r="FH4" s="37" t="e">
        <f>FA20*FF4</f>
        <v>#VALUE!</v>
      </c>
      <c r="FI4" s="37" t="e">
        <f>AVERAGEIFS(Accounts!$AY:$AY,Accounts!$AS:$AS, "Construction",Accounts!$B:$B,"Customer",Accounts!$AY:$AY,"&gt;0",Accounts!$E:$E,"QBDT")</f>
        <v>#DIV/0!</v>
      </c>
      <c r="FJ4" s="33" t="e">
        <f>AVERAGEIFS(Accounts!$AX:$AX,Accounts!$AS:$AS, "Construction",Accounts!$B:$B,"Customer",Accounts!$AX:$AX,"&gt;0",Accounts!$E:$E,"QBDT")</f>
        <v>#DIV/0!</v>
      </c>
      <c r="FK4" s="37" t="e">
        <f>AVERAGEIFS(Accounts!$AY:$AY,Accounts!$AS:$AS, "Construction",Accounts!$B:$B,"none",Accounts!$AY:$AY,"&gt;0",Accounts!$E:$E,"QBDT")</f>
        <v>#DIV/0!</v>
      </c>
      <c r="FL4" s="33" t="e">
        <f>AVERAGEIFS(Accounts!$AX:$AX,Accounts!$AS:$AS, "Construction",Accounts!$B:$B,"none",Accounts!$AX:$AX,"&gt;0",Accounts!$E:$E,"QBDT")</f>
        <v>#DIV/0!</v>
      </c>
      <c r="FM4" s="55">
        <f>SUMIFS(Accounts!$AA:$AA,Accounts!$B:$B,"Customer",Accounts!$AS:$AS, "Construction",Accounts!$E:$E,"QBDT") + SUMIFS(Accounts!$AH:$AH,Accounts!$B:$B,"Customer",Accounts!$AS:$AS, "Construction",Accounts!$E:$E,"QBDT") + SUMIFS(Accounts!$AJ:$AJ,Accounts!$B:$B,"Customer",Accounts!$AS:$AS, "Construction",Accounts!$E:$E,"QBDT") + SUMIFS(Accounts!$AI:$AI,Accounts!$B:$B,"Customer",Accounts!$AS:$AS, "Construction",Accounts!$E:$E,"QBDT") + SUMIFS(Accounts!$AO:$AO,Accounts!$B:$B,"Customer",Accounts!$AS:$AS, "Construction",Accounts!$E:$E,"QBDT")</f>
        <v>0</v>
      </c>
      <c r="FN4" s="55">
        <f>(SUMIFS(Accounts!$AC:$AC,Accounts!$B:$B,"Customer",Accounts!$AS:$AS, "Construction",Accounts!$E:$E,"QBDT")+SUMIFS(Accounts!$AF:$AF,Accounts!$B:$B,"Customer",Accounts!$AS:$AS, "Construction",Accounts!$E:$E,"QBDT")+SUMIFS(Accounts!$AK:$AK,Accounts!$B:$B,"Customer",Accounts!$AS:$AS, "Construction",Accounts!$E:$E,"QBDT"))</f>
        <v>0</v>
      </c>
      <c r="FO4" s="55">
        <f>SUMIFS(Accounts!$AB:$AB,Accounts!$B:$B,"Customer",Accounts!$AS:$AS, "Construction",Accounts!$E:$E,"QBDT")</f>
        <v>0</v>
      </c>
      <c r="FP4" s="55">
        <f>SUMIFS(Accounts!$AD:$AD,Accounts!$B:$B,"Customer",Accounts!$AS:$AS, "Construction",Accounts!$E:$E,"QBDT")+SUMIFS(Accounts!$AM:$AM,Accounts!$B:$B,"Customer",Accounts!$AS:$AS, "Construction",Accounts!$E:$E,"QBDT")+SUMIFS(Accounts!$AN:$AN,Accounts!$B:$B,"Customer",Accounts!$AS:$AS, "Construction",Accounts!$E:$E,"QBDT")</f>
        <v>0</v>
      </c>
      <c r="FQ4" s="55">
        <f>SUMIFS(Accounts!$AE:$AE,Accounts!$B:$B,"Customer",Accounts!$AS:$AS, "Construction",Accounts!$E:$E,"QBDT") + SUMIFS(Accounts!$AP:$AP,Accounts!$B:$B,"Customer",Accounts!$AS:$AS, "Construction",Accounts!$E:$E,"QBDT")</f>
        <v>0</v>
      </c>
      <c r="FR4" s="55">
        <f>SUMIFS(Accounts!$Z:$Z,Accounts!$B:$B,"Customer",Accounts!$AS:$AS, "Construction",Accounts!$E:$E,"QBDT")</f>
        <v>0</v>
      </c>
      <c r="FS4" s="55">
        <f>SUMIFS(Accounts!$AG:$AG,Accounts!$B:$B,"Customer",Accounts!$AS:$AS, "Construction",Accounts!$E:$E,"QBDT") + SUMIFS(Accounts!$AL:$AL,Accounts!$B:$B,"Customer",Accounts!$AS:$AS, "Construction",Accounts!$E:$E,"QBDT")</f>
        <v>0</v>
      </c>
      <c r="FT4" s="55">
        <f>SUMIFS(Accounts!$AQ:$AQ,Accounts!$B:$B,"Customer",Accounts!$AS:$AS, "Construction",Accounts!$E:$E,"QBDT")</f>
        <v>0</v>
      </c>
      <c r="FU4" s="55">
        <f>SUMIFS(Accounts!$AA:$AA,Accounts!$B:$B,"none",Accounts!$AS:$AS, "Construction",Accounts!$E:$E,"QBDT") + SUMIFS(Accounts!$AH:$AH,Accounts!$B:$B,"none",Accounts!$AS:$AS, "Construction",Accounts!$E:$E,"QBDT") + SUMIFS(Accounts!$AJ:$AJ,Accounts!$B:$B,"none",Accounts!$AS:$AS, "Construction",Accounts!$E:$E,"QBDT") + SUMIFS(Accounts!$AI:$AI,Accounts!$B:$B,"none",Accounts!$AS:$AS, "Construction",Accounts!$E:$E,"QBDT") + SUMIFS(Accounts!$AO:$AO,Accounts!$B:$B,"none",Accounts!$AS:$AS, "Construction",Accounts!$E:$E,"QBDT")</f>
        <v>0</v>
      </c>
      <c r="FV4" s="55">
        <f>(SUMIFS(Accounts!$AC:$AC,Accounts!$B:$B,"none",Accounts!$AS:$AS, "Construction",Accounts!$E:$E,"QBDT")+SUMIFS(Accounts!$AF:$AF,Accounts!$B:$B,"none",Accounts!$AS:$AS, "Construction",Accounts!$E:$E,"QBDT")+SUMIFS(Accounts!$AK:$AK,Accounts!$B:$B,"none",Accounts!$AS:$AS, "Construction",Accounts!$E:$E,"QBDT"))</f>
        <v>0</v>
      </c>
      <c r="FW4" s="55">
        <f>SUMIFS(Accounts!$AB:$AB,Accounts!$B:$B,"none",Accounts!$AS:$AS, "Construction",Accounts!$E:$E,"QBDT")</f>
        <v>0</v>
      </c>
      <c r="FX4" s="55">
        <f>SUMIFS(Accounts!$AD:$AD,Accounts!$B:$B,"none",Accounts!$AS:$AS, "Construction",Accounts!$E:$E,"QBDT")+SUMIFS(Accounts!$AM:$AM,Accounts!$B:$B,"none",Accounts!$AS:$AS, "Construction",Accounts!$E:$E,"QBDT")+SUMIFS(Accounts!$AN:$AN,Accounts!$B:$B,"none",Accounts!$AS:$AS, "Construction",Accounts!$E:$E,"QBDT")</f>
        <v>0</v>
      </c>
      <c r="FY4" s="39">
        <f>SUMIFS(Accounts!$AE:$AE,Accounts!$B:$B,"none",Accounts!$AS:$AS, "Construction",Accounts!$E:$E,"QBDT") + SUMIFS(Accounts!$AP:$AP,Accounts!$B:$B,"none",Accounts!$AS:$AS, "Construction",Accounts!$E:$E,"QBDT")</f>
        <v>0</v>
      </c>
      <c r="FZ4" s="55">
        <f>SUMIFS(Accounts!$Z:$Z,Accounts!$B:$B,"none",Accounts!$AS:$AS, "Construction",Accounts!$E:$E,"QBDT")</f>
        <v>0</v>
      </c>
      <c r="GA4" s="39">
        <f>SUMIFS(Accounts!$AG:$AG,Accounts!$B:$B,"none",Accounts!$AS:$AS, "Construction",Accounts!$E:$E,"QBDT") + SUMIFS(Accounts!$AL:$AL,Accounts!$B:$B,"none",Accounts!$AS:$AS, "Construction",Accounts!$E:$E,"QBDT")</f>
        <v>0</v>
      </c>
      <c r="GB4" s="55">
        <f>SUMIFS(Accounts!$AQ:$AQ,Accounts!$B:$B,"none",Accounts!$AS:$AS, "Construction",Accounts!$E:$E,"QBDT")</f>
        <v>0</v>
      </c>
      <c r="GC4" s="34" t="e">
        <f>((GC22+GC25)/((GC21*$C$2)+(0.5*GC24*$C$2)))*$C$2</f>
        <v>#VALUE!</v>
      </c>
      <c r="GD4" s="39">
        <f>COUNTIFS(Accounts!$AS:$AS, "Field Services",Accounts!$B:$B,"none",Accounts!$E:$E,"QBDT")</f>
        <v>0</v>
      </c>
      <c r="GE4" s="33">
        <f>COUNTIFS(Accounts!$AS:$AS, "Field Services",Accounts!$B:$B,"Customer",Accounts!$E:$E,"QBDT")</f>
        <v>0</v>
      </c>
      <c r="GF4" s="37">
        <f>SUMIFS(Accounts!$I:$I,Accounts!$AS:$AS, "Field Services",Accounts!$E:$E,"QBDT")</f>
        <v>0</v>
      </c>
      <c r="GG4" s="37">
        <f>SUMIFS(Accounts!$N:$N,Accounts!$AS:$AS, "Field Services",Accounts!$E:$E,"QBDT")</f>
        <v>0</v>
      </c>
      <c r="GH4" s="37" t="e">
        <f>GF4/(GE4+GC24)</f>
        <v>#DIV/0!</v>
      </c>
      <c r="GI4" s="37" t="e">
        <f>(GF4+GG4)/(GE4+GC24)</f>
        <v>#DIV/0!</v>
      </c>
      <c r="GJ4" s="37" t="e">
        <f>GC20*GH4</f>
        <v>#VALUE!</v>
      </c>
      <c r="GK4" s="37">
        <f>IFERROR(AVERAGEIFS(Accounts!$AY:$AY,Accounts!$AS:$AS, "Field Services",Accounts!$B:$B,"Customer",Accounts!$AY:$AY,"&gt;0",Accounts!$E:$E,"QBDT"),0)</f>
        <v>0</v>
      </c>
      <c r="GL4" s="33">
        <f>IFERROR(AVERAGEIFS(Accounts!$AX:$AX,Accounts!$AS:$AS, "Field Services",Accounts!$B:$B,"Customer",Accounts!$AX:$AX,"&gt;0",Accounts!$E:$E,"QBDT"),0)</f>
        <v>0</v>
      </c>
      <c r="GM4" s="37">
        <f>IFERROR(AVERAGEIFS(Accounts!$AY:$AY,Accounts!$AS:$AS,"Field Services",Accounts!$B:$B,"none",Accounts!$AY:$AY,"&gt;0",Accounts!$E:$E,"QBDT"),0)</f>
        <v>0</v>
      </c>
      <c r="GN4" s="33">
        <f>IFERROR(AVERAGEIFS(Accounts!$AX:$AX,Accounts!$AS:$AS,"Field Services",Accounts!$B:$B,"none",Accounts!$AX:$AX,"&gt;0",Accounts!$E:$E,"QBDT"),0)</f>
        <v>0</v>
      </c>
      <c r="GO4" s="55">
        <f>SUMIFS(Accounts!$AA:$AA,Accounts!$B:$B,"Customer",Accounts!$AS:$AS, "Field Services",Accounts!$E:$E,"QBDT") + SUMIFS(Accounts!$AH:$AH,Accounts!$B:$B,"Customer",Accounts!$AS:$AS, "Field Services",Accounts!$E:$E,"QBDT") + SUMIFS(Accounts!$AJ:$AJ,Accounts!$B:$B,"Customer",Accounts!$AS:$AS, "Field Services",Accounts!$E:$E,"QBDT") + SUMIFS(Accounts!$AI:$AI,Accounts!$B:$B,"Customer",Accounts!$AS:$AS, "Field Services",Accounts!$E:$E,"QBDT") + SUMIFS(Accounts!$AO:$AO,Accounts!$B:$B,"Customer",Accounts!$AS:$AS, "Field Services",Accounts!$E:$E,"QBDT")</f>
        <v>0</v>
      </c>
      <c r="GP4" s="55">
        <f>(SUMIFS(Accounts!$AC:$AC,Accounts!$B:$B,"Customer",Accounts!$AS:$AS, "Field Services",Accounts!$E:$E,"QBDT")+SUMIFS(Accounts!$AF:$AF,Accounts!$B:$B,"Customer",Accounts!$AS:$AS, "Field Services",Accounts!$E:$E,"QBDT")+SUMIFS(Accounts!$AK:$AK,Accounts!$B:$B,"Customer",Accounts!$AS:$AS, "Field Services",Accounts!$E:$E,"QBDT"))</f>
        <v>0</v>
      </c>
      <c r="GQ4" s="55">
        <f>SUMIFS(Accounts!$AB:$AB,Accounts!$B:$B,"Customer",Accounts!$AS:$AS, "Field Services",Accounts!$E:$E,"QBDT")</f>
        <v>0</v>
      </c>
      <c r="GR4" s="55">
        <f>SUMIFS(Accounts!$AD:$AD,Accounts!$B:$B,"Customer",Accounts!$AS:$AS, "Field Services",Accounts!$E:$E,"QBDT")+SUMIFS(Accounts!$AM:$AM,Accounts!$B:$B,"Customer",Accounts!$AS:$AS, "Field Services",Accounts!$E:$E,"QBDT")+SUMIFS(Accounts!$AN:$AN,Accounts!$B:$B,"Customer",Accounts!$AS:$AS, "Field Services",Accounts!$E:$E,"QBDT")</f>
        <v>0</v>
      </c>
      <c r="GS4" s="55">
        <f>SUMIFS(Accounts!$AE:$AE,Accounts!$B:$B,"Customer",Accounts!$AS:$AS, "Field Services",Accounts!$E:$E,"QBDT") + SUMIFS(Accounts!$AP:$AP,Accounts!$B:$B,"Customer",Accounts!$AS:$AS, "Field Services",Accounts!$E:$E,"QBDT")</f>
        <v>0</v>
      </c>
      <c r="GT4" s="55">
        <f>SUMIFS(Accounts!$Z:$Z,Accounts!$B:$B,"Customer",Accounts!$AS:$AS, "Field Services",Accounts!$E:$E,"QBDT")</f>
        <v>0</v>
      </c>
      <c r="GU4" s="55">
        <f>SUMIFS(Accounts!$AG:$AG,Accounts!$B:$B,"Customer",Accounts!$AS:$AS, "Field Services",Accounts!$E:$E,"QBDT") + SUMIFS(Accounts!$AL:$AL,Accounts!$B:$B,"Customer",Accounts!$AS:$AS, "Field Services",Accounts!$E:$E,"QBDT")</f>
        <v>0</v>
      </c>
      <c r="GV4" s="55">
        <f>SUMIFS(Accounts!$AQ:$AQ,Accounts!$B:$B,"Customer",Accounts!$AS:$AS, "Field Services",Accounts!$E:$E,"QBDT")</f>
        <v>0</v>
      </c>
      <c r="GW4" s="55">
        <f>SUMIFS(Accounts!$AA:$AA,Accounts!$B:$B,"none",Accounts!$AS:$AS, "Field Services",Accounts!$E:$E,"QBDT") + SUMIFS(Accounts!$AH:$AH,Accounts!$B:$B,"none",Accounts!$AS:$AS, "Field Services",Accounts!$E:$E,"QBDT") + SUMIFS(Accounts!$AJ:$AJ,Accounts!$B:$B,"none",Accounts!$AS:$AS, "Field Services",Accounts!$E:$E,"QBDT") + SUMIFS(Accounts!$AI:$AI,Accounts!$B:$B,"none",Accounts!$AS:$AS, "Field Services",Accounts!$E:$E,"QBDT") + SUMIFS(Accounts!$AO:$AO,Accounts!$B:$B,"none",Accounts!$AS:$AS, "Field Services",Accounts!$E:$E,"QBDT")</f>
        <v>0</v>
      </c>
      <c r="GX4" s="55">
        <f>(SUMIFS(Accounts!$AC:$AC,Accounts!$B:$B,"none",Accounts!$AS:$AS, "Field Services",Accounts!$E:$E,"QBDT")+SUMIFS(Accounts!$AF:$AF,Accounts!$B:$B,"none",Accounts!$AS:$AS, "Field Services",Accounts!$E:$E,"QBDT")+SUMIFS(Accounts!$AK:$AK,Accounts!$B:$B,"none",Accounts!$AS:$AS, "Field Services",Accounts!$E:$E,"QBDT"))</f>
        <v>0</v>
      </c>
      <c r="GY4" s="55">
        <f>SUMIFS(Accounts!$AB:$AB,Accounts!$B:$B,"none",Accounts!$AS:$AS, "Field Services",Accounts!$E:$E,"QBDT")</f>
        <v>0</v>
      </c>
      <c r="GZ4" s="55">
        <f>SUMIFS(Accounts!$AD:$AD,Accounts!$B:$B,"none",Accounts!$AS:$AS, "Field Services",Accounts!$E:$E,"QBDT")+SUMIFS(Accounts!$AM:$AM,Accounts!$B:$B,"none",Accounts!$AS:$AS, "Field Services",Accounts!$E:$E,"QBDT")+SUMIFS(Accounts!$AN:$AN,Accounts!$B:$B,"none",Accounts!$AS:$AS, "Field Services",Accounts!$E:$E,"QBDT")</f>
        <v>0</v>
      </c>
      <c r="HA4" s="39">
        <f>SUMIFS(Accounts!$AE:$AE,Accounts!$B:$B,"none",Accounts!$AS:$AS, "Field Services",Accounts!$E:$E,"QBDT") + SUMIFS(Accounts!$AP:$AP,Accounts!$B:$B,"none",Accounts!$AS:$AS, "Field Services",Accounts!$E:$E,"QBDT")</f>
        <v>0</v>
      </c>
      <c r="HB4" s="55">
        <f>SUMIFS(Accounts!$Z:$Z,Accounts!$B:$B,"none",Accounts!$AS:$AS, "Field Services",Accounts!$E:$E,"QBDT")</f>
        <v>0</v>
      </c>
      <c r="HC4" s="39">
        <f>SUMIFS(Accounts!$AG:$AG,Accounts!$B:$B,"none",Accounts!$AS:$AS, "Field Services",Accounts!$E:$E,"QBDT") + SUMIFS(Accounts!$AL:$AL,Accounts!$B:$B,"none",Accounts!$AS:$AS, "Field Services",Accounts!$E:$E,"QBDT")</f>
        <v>0</v>
      </c>
      <c r="HD4" s="55">
        <f>SUMIFS(Accounts!$AQ:$AQ,Accounts!$B:$B,"none",Accounts!$AS:$AS, "Field Services",Accounts!$E:$E,"QBDT")</f>
        <v>0</v>
      </c>
      <c r="HE4" s="34" t="e">
        <f>((HE22+HE25)/((HE21*$C$2)+(0.5*HE24*$C$2)))*$C$2</f>
        <v>#VALUE!</v>
      </c>
      <c r="HF4" s="39">
        <f>COUNTIFS(Accounts!$AS:$AS, "Consulting and Professional Services",Accounts!$B:$B,"none",Accounts!$E:$E,"QBDT")</f>
        <v>0</v>
      </c>
      <c r="HG4" s="33">
        <f>COUNTIFS(Accounts!$AS:$AS, "Consulting and Professional Services",Accounts!$B:$B,"Customer",Accounts!$E:$E,"QBDT")</f>
        <v>0</v>
      </c>
      <c r="HH4" s="37">
        <f>SUMIFS(Accounts!$I:$I,Accounts!$AS:$AS, "Consulting and Professional Services",Accounts!$E:$E,"QBDT")</f>
        <v>0</v>
      </c>
      <c r="HI4" s="37">
        <f>SUMIFS(Accounts!$N:$N,Accounts!$AS:$AS, "Consulting and Professional Services",Accounts!$E:$E,"QBDT")</f>
        <v>0</v>
      </c>
      <c r="HJ4" s="37" t="e">
        <f>HH4/(HG4+HE24)</f>
        <v>#DIV/0!</v>
      </c>
      <c r="HK4" s="37" t="e">
        <f>(HH4+HI4)/(HG4+HE24)</f>
        <v>#DIV/0!</v>
      </c>
      <c r="HL4" s="37" t="e">
        <f>HE20*HJ4</f>
        <v>#VALUE!</v>
      </c>
      <c r="HM4" s="37">
        <f>IFERROR(AVERAGEIFS(Accounts!$AY:$AY,Accounts!$AS:$AS, "Consulting and Professional Services",Accounts!$B:$B,"Customer",Accounts!$AY:$AY,"&gt;0",Accounts!$E:$E,"QBDT"),0)</f>
        <v>0</v>
      </c>
      <c r="HN4" s="33">
        <f>IFERROR(AVERAGEIFS(Accounts!$AX:$AX,Accounts!$AS:$AS, "Consulting and Professional Services",Accounts!$B:$B,"Customer",Accounts!$AX:$AX,"&gt;0",Accounts!$E:$E,"QBDT"),0)</f>
        <v>0</v>
      </c>
      <c r="HO4" s="37">
        <f>IFERROR(AVERAGEIFS(Accounts!$AY:$AY,Accounts!$AS:$AS,"Consulting and Professional Services",Accounts!$B:$B,"none",Accounts!$AY:$AY,"&gt;0",Accounts!$E:$E,"QBDT"),0)</f>
        <v>0</v>
      </c>
      <c r="HP4" s="33">
        <f>IFERROR(AVERAGEIFS(Accounts!$AX:$AX,Accounts!$AS:$AS,"Consulting and Professional Services",Accounts!$B:$B,"none",Accounts!$AX:$AX,"&gt;0",Accounts!$E:$E,"QBDT"),0)</f>
        <v>0</v>
      </c>
      <c r="HQ4" s="55">
        <f>SUMIFS(Accounts!$AA:$AA,Accounts!$B:$B,"Customer",Accounts!$AS:$AS, "Consulting and Professional Services",Accounts!$E:$E,"QBDT") + SUMIFS(Accounts!$AH:$AH,Accounts!$B:$B,"Customer",Accounts!$AS:$AS, "Consulting and Professional Services",Accounts!$E:$E,"QBDT") + SUMIFS(Accounts!$AJ:$AJ,Accounts!$B:$B,"Customer",Accounts!$AS:$AS, "Consulting and Professional Services",Accounts!$E:$E,"QBDT") + SUMIFS(Accounts!$AI:$AI,Accounts!$B:$B,"Customer",Accounts!$AS:$AS, "Consulting and Professional Services",Accounts!$E:$E,"QBDT") + SUMIFS(Accounts!$AO:$AO,Accounts!$B:$B,"Customer",Accounts!$AS:$AS, "Consulting and Professional Services",Accounts!$E:$E,"QBDT")</f>
        <v>0</v>
      </c>
      <c r="HR4" s="55">
        <f>(SUMIFS(Accounts!$AC:$AC,Accounts!$B:$B,"Customer",Accounts!$AS:$AS, "Consulting and Professional Services",Accounts!$E:$E,"QBDT")+SUMIFS(Accounts!$AF:$AF,Accounts!$B:$B,"Customer",Accounts!$AS:$AS, "Consulting and Professional Services",Accounts!$E:$E,"QBDT")+SUMIFS(Accounts!$AK:$AK,Accounts!$B:$B,"Customer",Accounts!$AS:$AS, "Consulting and Professional Services",Accounts!$E:$E,"QBDT"))</f>
        <v>0</v>
      </c>
      <c r="HS4" s="55">
        <f>SUMIFS(Accounts!$AB:$AB,Accounts!$B:$B,"Customer",Accounts!$AS:$AS, "Consulting and Professional Services",Accounts!$E:$E,"QBDT")</f>
        <v>0</v>
      </c>
      <c r="HT4" s="55">
        <f>SUMIFS(Accounts!$AD:$AD,Accounts!$B:$B,"Customer",Accounts!$AS:$AS, "Consulting and Professional Services",Accounts!$E:$E,"QBDT")+SUMIFS(Accounts!$AM:$AM,Accounts!$B:$B,"Customer",Accounts!$AS:$AS, "Consulting and Professional Services",Accounts!$E:$E,"QBDT")+SUMIFS(Accounts!$AN:$AN,Accounts!$B:$B,"Customer",Accounts!$AS:$AS, "Consulting and Professional Services",Accounts!$E:$E,"QBDT")</f>
        <v>0</v>
      </c>
      <c r="HU4" s="55">
        <f>SUMIFS(Accounts!$AE:$AE,Accounts!$B:$B,"Customer",Accounts!$AS:$AS, "Consulting and Professional Services",Accounts!$E:$E,"QBDT") + SUMIFS(Accounts!$AP:$AP,Accounts!$B:$B,"Customer",Accounts!$AS:$AS, "Consulting and Professional Services",Accounts!$E:$E,"QBDT")</f>
        <v>0</v>
      </c>
      <c r="HV4" s="55">
        <f>SUMIFS(Accounts!$Z:$Z,Accounts!$B:$B,"Customer",Accounts!$AS:$AS, "Consulting and Professional Services",Accounts!$E:$E,"QBDT")</f>
        <v>0</v>
      </c>
      <c r="HW4" s="55">
        <f>SUMIFS(Accounts!$AG:$AG,Accounts!$B:$B,"Customer",Accounts!$AS:$AS, "Consulting and Professional Services",Accounts!$E:$E,"QBDT") + SUMIFS(Accounts!$AL:$AL,Accounts!$B:$B,"Customer",Accounts!$AS:$AS, "Consulting and Professional Services",Accounts!$E:$E,"QBDT")</f>
        <v>0</v>
      </c>
      <c r="HX4" s="55">
        <f>SUMIFS(Accounts!$AQ:$AQ,Accounts!$B:$B,"Customer",Accounts!$AS:$AS, "Consulting and Professional Services",Accounts!$E:$E,"QBDT")</f>
        <v>0</v>
      </c>
      <c r="HY4" s="55">
        <f>SUMIFS(Accounts!$AA:$AA,Accounts!$B:$B,"none",Accounts!$AS:$AS, "Consulting and Professional Services",Accounts!$E:$E,"QBDT") + SUMIFS(Accounts!$AH:$AH,Accounts!$B:$B,"none",Accounts!$AS:$AS, "Consulting and Professional Services",Accounts!$E:$E,"QBDT") + SUMIFS(Accounts!$AJ:$AJ,Accounts!$B:$B,"none",Accounts!$AS:$AS, "Consulting and Professional Services",Accounts!$E:$E,"QBDT") + SUMIFS(Accounts!$AI:$AI,Accounts!$B:$B,"none",Accounts!$AS:$AS, "Consulting and Professional Services",Accounts!$E:$E,"QBDT") + SUMIFS(Accounts!$AO:$AO,Accounts!$B:$B,"none",Accounts!$AS:$AS, "Consulting and Professional Services",Accounts!$E:$E,"QBDT")</f>
        <v>0</v>
      </c>
      <c r="HZ4" s="55">
        <f>(SUMIFS(Accounts!$AC:$AC,Accounts!$B:$B,"none",Accounts!$AS:$AS, "Consulting and Professional Services",Accounts!$E:$E,"QBDT")+SUMIFS(Accounts!$AF:$AF,Accounts!$B:$B,"none",Accounts!$AS:$AS, "Consulting and Professional Services",Accounts!$E:$E,"QBDT")+SUMIFS(Accounts!$AK:$AK,Accounts!$B:$B,"none",Accounts!$AS:$AS, "Consulting and Professional Services",Accounts!$E:$E,"QBDT"))</f>
        <v>0</v>
      </c>
      <c r="IA4" s="55">
        <f>SUMIFS(Accounts!$AB:$AB,Accounts!$B:$B,"none",Accounts!$AS:$AS, "Consulting and Professional Services",Accounts!$E:$E,"QBDT")</f>
        <v>0</v>
      </c>
      <c r="IB4" s="55">
        <f>SUMIFS(Accounts!$AD:$AD,Accounts!$B:$B,"none",Accounts!$AS:$AS, "Consulting and Professional Services",Accounts!$E:$E,"QBDT")+SUMIFS(Accounts!$AM:$AM,Accounts!$B:$B,"none",Accounts!$AS:$AS, "Consulting and Professional Services",Accounts!$E:$E,"QBDT")+SUMIFS(Accounts!$AN:$AN,Accounts!$B:$B,"none",Accounts!$AS:$AS, "Consulting and Professional Services",Accounts!$E:$E,"QBDT")</f>
        <v>0</v>
      </c>
      <c r="IC4" s="39">
        <f>SUMIFS(Accounts!$AE:$AE,Accounts!$B:$B,"none",Accounts!$AS:$AS, "Consulting and Professional Services",Accounts!$E:$E,"QBDT") + SUMIFS(Accounts!$AP:$AP,Accounts!$B:$B,"none",Accounts!$AS:$AS, "Consulting and Professional Services",Accounts!$E:$E,"QBDT")</f>
        <v>0</v>
      </c>
      <c r="ID4" s="55">
        <f>SUMIFS(Accounts!$Z:$Z,Accounts!$B:$B,"none",Accounts!$AS:$AS, "Consulting and Professional Services",Accounts!$E:$E,"QBDT")</f>
        <v>0</v>
      </c>
      <c r="IE4" s="39">
        <f>SUMIFS(Accounts!$AG:$AG,Accounts!$B:$B,"none",Accounts!$AS:$AS, "Consulting and Professional Services",Accounts!$E:$E,"QBDT") + SUMIFS(Accounts!$AL:$AL,Accounts!$B:$B,"none",Accounts!$AS:$AS, "Consulting and Professional Services",Accounts!$E:$E,"QBDT")</f>
        <v>0</v>
      </c>
      <c r="IF4" s="55">
        <f>SUMIFS(Accounts!$AQ:$AQ,Accounts!$B:$B,"none",Accounts!$AS:$AS, "Consulting and Professional Services",Accounts!$E:$E,"QBDT")</f>
        <v>0</v>
      </c>
      <c r="IG4" s="34" t="e">
        <f>((IG22+IG25)/((IG21*$C$2)+(0.5*IG24*$C$2)))*$C$2</f>
        <v>#VALUE!</v>
      </c>
      <c r="IH4" s="39">
        <f>COUNTIFS(Accounts!$AS:$AS, "Retail",Accounts!$B:$B,"none",Accounts!$E:$E,"QBDT")</f>
        <v>0</v>
      </c>
      <c r="II4" s="33">
        <f>COUNTIFS(Accounts!$AS:$AS, "Retail",Accounts!$B:$B,"Customer",Accounts!$E:$E,"QBDT")</f>
        <v>0</v>
      </c>
      <c r="IJ4" s="37">
        <f>SUMIFS(Accounts!$I:$I,Accounts!$AS:$AS, "Retail",Accounts!$E:$E,"QBDT")</f>
        <v>0</v>
      </c>
      <c r="IK4" s="37">
        <f>SUMIFS(Accounts!$N:$N,Accounts!$AS:$AS, "Retail",Accounts!$E:$E,"QBDT")</f>
        <v>0</v>
      </c>
      <c r="IL4" s="37" t="e">
        <f>IJ4/(II4+IG24)</f>
        <v>#DIV/0!</v>
      </c>
      <c r="IM4" s="37" t="e">
        <f>(IJ4+IK4)/(II4+IG24)</f>
        <v>#DIV/0!</v>
      </c>
      <c r="IN4" s="37" t="e">
        <f>IG20*IL4</f>
        <v>#VALUE!</v>
      </c>
      <c r="IO4" s="37">
        <f>IFERROR(AVERAGEIFS(Accounts!$AY:$AY,Accounts!$AS:$AS, "Retail",Accounts!$B:$B,"Customer",Accounts!$AY:$AY,"&gt;0",Accounts!$E:$E,"QBDT"),0)</f>
        <v>0</v>
      </c>
      <c r="IP4" s="33">
        <f>IFERROR(AVERAGEIFS(Accounts!$AX:$AX,Accounts!$AS:$AS, "Retail",Accounts!$B:$B,"Customer",Accounts!$AX:$AX,"&gt;0",Accounts!$E:$E,"QBDT"),0)</f>
        <v>0</v>
      </c>
      <c r="IQ4" s="37">
        <f>IFERROR(AVERAGEIFS(Accounts!$AY:$AY,Accounts!$AS:$AS,"Retail",Accounts!$B:$B,"none",Accounts!$AY:$AY,"&gt;0",Accounts!$E:$E,"QBDT"),0)</f>
        <v>0</v>
      </c>
      <c r="IR4" s="33">
        <f>IFERROR(AVERAGEIFS(Accounts!$AX:$AX,Accounts!$AS:$AS,"Retail",Accounts!$B:$B,"none",Accounts!$AX:$AX,"&gt;0",Accounts!$E:$E,"QBDT"),0)</f>
        <v>0</v>
      </c>
      <c r="IS4" s="55">
        <f>SUMIFS(Accounts!$AA:$AA,Accounts!$B:$B,"Customer",Accounts!$AS:$AS, "Retail",Accounts!$E:$E,"QBDT") + SUMIFS(Accounts!$AH:$AH,Accounts!$B:$B,"Customer",Accounts!$AS:$AS, "Retail",Accounts!$E:$E,"QBDT") + SUMIFS(Accounts!$AJ:$AJ,Accounts!$B:$B,"Customer",Accounts!$AS:$AS, "Retail",Accounts!$E:$E,"QBDT") + SUMIFS(Accounts!$AI:$AI,Accounts!$B:$B,"Customer",Accounts!$AS:$AS, "Retail",Accounts!$E:$E,"QBDT") + SUMIFS(Accounts!$AO:$AO,Accounts!$B:$B,"Customer",Accounts!$AS:$AS, "Retail",Accounts!$E:$E,"QBDT")</f>
        <v>0</v>
      </c>
      <c r="IT4" s="55">
        <f>(SUMIFS(Accounts!$AC:$AC,Accounts!$B:$B,"Customer",Accounts!$AS:$AS, "Retail",Accounts!$E:$E,"QBDT")+SUMIFS(Accounts!$AF:$AF,Accounts!$B:$B,"Customer",Accounts!$AS:$AS, "Retail",Accounts!$E:$E,"QBDT")+SUMIFS(Accounts!$AK:$AK,Accounts!$B:$B,"Customer",Accounts!$AS:$AS, "Retail",Accounts!$E:$E,"QBDT"))</f>
        <v>0</v>
      </c>
      <c r="IU4" s="55">
        <f>SUMIFS(Accounts!$AB:$AB,Accounts!$B:$B,"Customer",Accounts!$AS:$AS, "Retail",Accounts!$E:$E,"QBDT")</f>
        <v>0</v>
      </c>
      <c r="IV4" s="55">
        <f>SUMIFS(Accounts!$AD:$AD,Accounts!$B:$B,"Customer",Accounts!$AS:$AS, "Retail",Accounts!$E:$E,"QBDT")+SUMIFS(Accounts!$AM:$AM,Accounts!$B:$B,"Customer",Accounts!$AS:$AS, "Retail",Accounts!$E:$E,"QBDT")+SUMIFS(Accounts!$AN:$AN,Accounts!$B:$B,"Customer",Accounts!$AS:$AS, "Retail",Accounts!$E:$E,"QBDT")</f>
        <v>0</v>
      </c>
      <c r="IW4" s="55">
        <f>SUMIFS(Accounts!$AE:$AE,Accounts!$B:$B,"Customer",Accounts!$AS:$AS, "Retail",Accounts!$E:$E,"QBDT") + SUMIFS(Accounts!$AP:$AP,Accounts!$B:$B,"Customer",Accounts!$AS:$AS, "Retail",Accounts!$E:$E,"QBDT")</f>
        <v>0</v>
      </c>
      <c r="IX4" s="55">
        <f>SUMIFS(Accounts!$Z:$Z,Accounts!$B:$B,"Customer",Accounts!$AS:$AS, "Retail",Accounts!$E:$E,"QBDT")</f>
        <v>0</v>
      </c>
      <c r="IY4" s="55">
        <f>SUMIFS(Accounts!$AG:$AG,Accounts!$B:$B,"Customer",Accounts!$AS:$AS, "Retail",Accounts!$E:$E,"QBDT") + SUMIFS(Accounts!$AL:$AL,Accounts!$B:$B,"Customer",Accounts!$AS:$AS, "Retail",Accounts!$E:$E,"QBDT")</f>
        <v>0</v>
      </c>
      <c r="IZ4" s="55">
        <f>SUMIFS(Accounts!$AQ:$AQ,Accounts!$B:$B,"Customer",Accounts!$AS:$AS, "Retail",Accounts!$E:$E,"QBDT")</f>
        <v>0</v>
      </c>
      <c r="JA4" s="55">
        <f>SUMIFS(Accounts!$AA:$AA,Accounts!$B:$B,"none",Accounts!$AS:$AS, "Retail",Accounts!$E:$E,"QBDT") + SUMIFS(Accounts!$AH:$AH,Accounts!$B:$B,"none",Accounts!$AS:$AS, "Retail",Accounts!$E:$E,"QBDT") + SUMIFS(Accounts!$AJ:$AJ,Accounts!$B:$B,"none",Accounts!$AS:$AS, "Retail",Accounts!$E:$E,"QBDT") + SUMIFS(Accounts!$AI:$AI,Accounts!$B:$B,"none",Accounts!$AS:$AS, "Retail",Accounts!$E:$E,"QBDT") + SUMIFS(Accounts!$AO:$AO,Accounts!$B:$B,"none",Accounts!$AS:$AS, "Retail",Accounts!$E:$E,"QBDT")</f>
        <v>0</v>
      </c>
      <c r="JB4" s="55">
        <f>(SUMIFS(Accounts!$AC:$AC,Accounts!$B:$B,"none",Accounts!$AS:$AS, "Retail",Accounts!$E:$E,"QBDT")+SUMIFS(Accounts!$AF:$AF,Accounts!$B:$B,"none",Accounts!$AS:$AS, "Retail",Accounts!$E:$E,"QBDT")+SUMIFS(Accounts!$AK:$AK,Accounts!$B:$B,"none",Accounts!$AS:$AS, "Retail",Accounts!$E:$E,"QBDT"))</f>
        <v>0</v>
      </c>
      <c r="JC4" s="55">
        <f>SUMIFS(Accounts!$AB:$AB,Accounts!$B:$B,"none",Accounts!$AS:$AS, "Retail",Accounts!$E:$E,"QBDT")</f>
        <v>0</v>
      </c>
      <c r="JD4" s="55">
        <f>SUMIFS(Accounts!$AD:$AD,Accounts!$B:$B,"none",Accounts!$AS:$AS, "Retail",Accounts!$E:$E,"QBDT")+SUMIFS(Accounts!$AM:$AM,Accounts!$B:$B,"none",Accounts!$AS:$AS, "Retail",Accounts!$E:$E,"QBDT")+SUMIFS(Accounts!$AN:$AN,Accounts!$B:$B,"none",Accounts!$AS:$AS, "Retail",Accounts!$E:$E,"QBDT")</f>
        <v>0</v>
      </c>
      <c r="JE4" s="39">
        <f>SUMIFS(Accounts!$AE:$AE,Accounts!$B:$B,"none",Accounts!$AS:$AS, "Retail",Accounts!$E:$E,"QBDT") + SUMIFS(Accounts!$AP:$AP,Accounts!$B:$B,"none",Accounts!$AS:$AS, "Retail",Accounts!$E:$E,"QBDT")</f>
        <v>0</v>
      </c>
      <c r="JF4" s="55">
        <f>SUMIFS(Accounts!$Z:$Z,Accounts!$B:$B,"none",Accounts!$AS:$AS, "Retail",Accounts!$E:$E,"QBDT")</f>
        <v>0</v>
      </c>
      <c r="JG4" s="39">
        <f>SUMIFS(Accounts!$AG:$AG,Accounts!$B:$B,"none",Accounts!$AS:$AS, "Retail",Accounts!$E:$E,"QBDT") + SUMIFS(Accounts!$AL:$AL,Accounts!$B:$B,"none",Accounts!$AS:$AS, "Retail",Accounts!$E:$E,"QBDT")</f>
        <v>0</v>
      </c>
      <c r="JH4" s="55">
        <f>SUMIFS(Accounts!$AQ:$AQ,Accounts!$B:$B,"none",Accounts!$AS:$AS, "Retail",Accounts!$E:$E,"QBDT")</f>
        <v>0</v>
      </c>
      <c r="JI4" s="34" t="e">
        <f>((JI22+JI25)/((JI21*$C$2)+(0.5*JI24*$C$2)))*$C$2</f>
        <v>#VALUE!</v>
      </c>
      <c r="JJ4" s="39">
        <f>COUNTIFS(Accounts!$AS:$AS, "Non-profit, govt or religious organization",Accounts!$B:$B,"none",Accounts!$E:$E,"QBDT")</f>
        <v>0</v>
      </c>
      <c r="JK4" s="33">
        <f>COUNTIFS(Accounts!$AS:$AS, "Non-profit, govt or religious organization",Accounts!$B:$B,"Customer",Accounts!$E:$E,"QBDT")</f>
        <v>0</v>
      </c>
      <c r="JL4" s="37">
        <f>SUMIFS(Accounts!$I:$I,Accounts!$AS:$AS, "Non-profit, govt or religious organization",Accounts!$E:$E,"QBDT")</f>
        <v>0</v>
      </c>
      <c r="JM4" s="37">
        <f>SUMIFS(Accounts!$N:$N,Accounts!$AS:$AS, "Non-profit, govt or religious organization",Accounts!$E:$E,"QBDT")</f>
        <v>0</v>
      </c>
      <c r="JN4" s="37" t="e">
        <f>JL4/(JK4+JI24)</f>
        <v>#DIV/0!</v>
      </c>
      <c r="JO4" s="37" t="e">
        <f>(JL4+JM4)/(JK4+JI24)</f>
        <v>#DIV/0!</v>
      </c>
      <c r="JP4" s="37" t="e">
        <f>JI20*JN4</f>
        <v>#VALUE!</v>
      </c>
      <c r="JQ4" s="37">
        <f>IFERROR(AVERAGEIFS(Accounts!$AY:$AY,Accounts!$AS:$AS, "Non-profit, govt or religious organization",Accounts!$B:$B,"Customer",Accounts!$AY:$AY,"&gt;0",Accounts!$E:$E,"QBDT"),0)</f>
        <v>0</v>
      </c>
      <c r="JR4" s="33">
        <f>IFERROR(AVERAGEIFS(Accounts!$AX:$AX,Accounts!$AS:$AS, "Non-profit, govt or religious organization",Accounts!$B:$B,"Customer",Accounts!$AX:$AX,"&gt;0",Accounts!$E:$E,"QBDT"),0)</f>
        <v>0</v>
      </c>
      <c r="JS4" s="37">
        <f>IFERROR(AVERAGEIFS(Accounts!$AY:$AY,Accounts!$AS:$AS,"Non-profit, govt or religious organization",Accounts!$B:$B,"none",Accounts!$AY:$AY,"&gt;0",Accounts!$E:$E,"QBDT"),0)</f>
        <v>0</v>
      </c>
      <c r="JT4" s="33">
        <f>IFERROR(AVERAGEIFS(Accounts!$AX:$AX,Accounts!$AS:$AS,"Non-profit, govt or religious organization",Accounts!$B:$B,"none",Accounts!$AX:$AX,"&gt;0",Accounts!$E:$E,"QBDT"),0)</f>
        <v>0</v>
      </c>
      <c r="JU4" s="55">
        <f>SUMIFS(Accounts!$AA:$AA,Accounts!$B:$B,"Customer",Accounts!$AS:$AS, "Non-profit, govt or religious organization",Accounts!$E:$E,"QBDT") + SUMIFS(Accounts!$AH:$AH,Accounts!$B:$B,"Customer",Accounts!$AS:$AS, "Non-profit, govt or religious organization",Accounts!$E:$E,"QBDT") + SUMIFS(Accounts!$AJ:$AJ,Accounts!$B:$B,"Customer",Accounts!$AS:$AS, "Non-profit, govt or religious organization",Accounts!$E:$E,"QBDT") + SUMIFS(Accounts!$AI:$AI,Accounts!$B:$B,"Customer",Accounts!$AS:$AS, "Non-profit, govt or religious organization",Accounts!$E:$E,"QBDT") + SUMIFS(Accounts!$AO:$AO,Accounts!$B:$B,"Customer",Accounts!$AS:$AS, "Non-profit, govt or religious organization",Accounts!$E:$E,"QBDT")</f>
        <v>0</v>
      </c>
      <c r="JV4" s="55">
        <f>(SUMIFS(Accounts!$AC:$AC,Accounts!$B:$B,"Customer",Accounts!$AS:$AS, "Non-profit, govt or religious organization",Accounts!$E:$E,"QBDT")+SUMIFS(Accounts!$AF:$AF,Accounts!$B:$B,"Customer",Accounts!$AS:$AS, "Non-profit, govt or religious organization",Accounts!$E:$E,"QBDT")+SUMIFS(Accounts!$AK:$AK,Accounts!$B:$B,"Customer",Accounts!$AS:$AS, "Non-profit, govt or religious organization",Accounts!$E:$E,"QBDT"))</f>
        <v>0</v>
      </c>
      <c r="JW4" s="55">
        <f>SUMIFS(Accounts!$AB:$AB,Accounts!$B:$B,"Customer",Accounts!$AS:$AS, "Non-profit, govt or religious organization",Accounts!$E:$E,"QBDT")</f>
        <v>0</v>
      </c>
      <c r="JX4" s="55">
        <f>SUMIFS(Accounts!$AD:$AD,Accounts!$B:$B,"Customer",Accounts!$AS:$AS, "Non-profit, govt or religious organization",Accounts!$E:$E,"QBDT")+SUMIFS(Accounts!$AM:$AM,Accounts!$B:$B,"Customer",Accounts!$AS:$AS, "Non-profit, govt or religious organization",Accounts!$E:$E,"QBDT")+SUMIFS(Accounts!$AN:$AN,Accounts!$B:$B,"Customer",Accounts!$AS:$AS, "Non-profit, govt or religious organization",Accounts!$E:$E,"QBDT")</f>
        <v>0</v>
      </c>
      <c r="JY4" s="55">
        <f>SUMIFS(Accounts!$AE:$AE,Accounts!$B:$B,"Customer",Accounts!$AS:$AS, "Non-profit, govt or religious organization",Accounts!$E:$E,"QBDT") + SUMIFS(Accounts!$AP:$AP,Accounts!$B:$B,"Customer",Accounts!$AS:$AS, "Non-profit, govt or religious organization",Accounts!$E:$E,"QBDT")</f>
        <v>0</v>
      </c>
      <c r="JZ4" s="55">
        <f>SUMIFS(Accounts!$Z:$Z,Accounts!$B:$B,"Customer",Accounts!$AS:$AS, "Non-profit, govt or religious organization",Accounts!$E:$E,"QBDT")</f>
        <v>0</v>
      </c>
      <c r="KA4" s="55">
        <f>SUMIFS(Accounts!$AG:$AG,Accounts!$B:$B,"Customer",Accounts!$AS:$AS, "Non-profit, govt or religious organization",Accounts!$E:$E,"QBDT") + SUMIFS(Accounts!$AL:$AL,Accounts!$B:$B,"Customer",Accounts!$AS:$AS, "Non-profit, govt or religious organization",Accounts!$E:$E,"QBDT")</f>
        <v>0</v>
      </c>
      <c r="KB4" s="55">
        <f>SUMIFS(Accounts!$AQ:$AQ,Accounts!$B:$B,"Customer",Accounts!$AS:$AS, "Non-profit, govt or religious organization",Accounts!$E:$E,"QBDT")</f>
        <v>0</v>
      </c>
      <c r="KC4" s="55">
        <f>SUMIFS(Accounts!$AA:$AA,Accounts!$B:$B,"none",Accounts!$AS:$AS, "Non-profit, govt or religious organization",Accounts!$E:$E,"QBDT") + SUMIFS(Accounts!$AH:$AH,Accounts!$B:$B,"none",Accounts!$AS:$AS, "Non-profit, govt or religious organization",Accounts!$E:$E,"QBDT") + SUMIFS(Accounts!$AJ:$AJ,Accounts!$B:$B,"none",Accounts!$AS:$AS, "Non-profit, govt or religious organization",Accounts!$E:$E,"QBDT") + SUMIFS(Accounts!$AI:$AI,Accounts!$B:$B,"none",Accounts!$AS:$AS, "Non-profit, govt or religious organization",Accounts!$E:$E,"QBDT") + SUMIFS(Accounts!$AO:$AO,Accounts!$B:$B,"none",Accounts!$AS:$AS, "Non-profit, govt or religious organization",Accounts!$E:$E,"QBDT")</f>
        <v>0</v>
      </c>
      <c r="KD4" s="55">
        <f>(SUMIFS(Accounts!$AC:$AC,Accounts!$B:$B,"none",Accounts!$AS:$AS, "Non-profit, govt or religious organization",Accounts!$E:$E,"QBDT")+SUMIFS(Accounts!$AF:$AF,Accounts!$B:$B,"none",Accounts!$AS:$AS, "Non-profit, govt or religious organization",Accounts!$E:$E,"QBDT")+SUMIFS(Accounts!$AK:$AK,Accounts!$B:$B,"none",Accounts!$AS:$AS, "Non-profit, govt or religious organization",Accounts!$E:$E,"QBDT"))</f>
        <v>0</v>
      </c>
      <c r="KE4" s="55">
        <f>SUMIFS(Accounts!$AB:$AB,Accounts!$B:$B,"none",Accounts!$AS:$AS, "Non-profit, govt or religious organization",Accounts!$E:$E,"QBDT")</f>
        <v>0</v>
      </c>
      <c r="KF4" s="55">
        <f>SUMIFS(Accounts!$AD:$AD,Accounts!$B:$B,"none",Accounts!$AS:$AS, "Non-profit, govt or religious organization",Accounts!$E:$E,"QBDT")+SUMIFS(Accounts!$AM:$AM,Accounts!$B:$B,"none",Accounts!$AS:$AS, "Non-profit, govt or religious organization",Accounts!$E:$E,"QBDT")+SUMIFS(Accounts!$AN:$AN,Accounts!$B:$B,"none",Accounts!$AS:$AS, "Non-profit, govt or religious organization",Accounts!$E:$E,"QBDT")</f>
        <v>0</v>
      </c>
      <c r="KG4" s="39">
        <f>SUMIFS(Accounts!$AE:$AE,Accounts!$B:$B,"none",Accounts!$AS:$AS, "Non-profit, govt or religious organization",Accounts!$E:$E,"QBDT") + SUMIFS(Accounts!$AP:$AP,Accounts!$B:$B,"none",Accounts!$AS:$AS, "Non-profit, govt or religious organization",Accounts!$E:$E,"QBDT")</f>
        <v>0</v>
      </c>
      <c r="KH4" s="55">
        <f>SUMIFS(Accounts!$Z:$Z,Accounts!$B:$B,"none",Accounts!$AS:$AS, "Non-profit, govt or religious organization",Accounts!$E:$E,"QBDT")</f>
        <v>0</v>
      </c>
      <c r="KI4" s="39">
        <f>SUMIFS(Accounts!$AG:$AG,Accounts!$B:$B,"none",Accounts!$AS:$AS, "Non-profit, govt or religious organization",Accounts!$E:$E,"QBDT") + SUMIFS(Accounts!$AL:$AL,Accounts!$B:$B,"none",Accounts!$AS:$AS, "Non-profit, govt or religious organization",Accounts!$E:$E,"QBDT")</f>
        <v>0</v>
      </c>
      <c r="KJ4" s="55">
        <f>SUMIFS(Accounts!$AQ:$AQ,Accounts!$B:$B,"none",Accounts!$AS:$AS, "Non-profit, govt or religious organization",Accounts!$E:$E,"QBDT")</f>
        <v>0</v>
      </c>
      <c r="KK4" s="34" t="e">
        <f>((KK22+KK25)/((KK21*$C$2)+(0.5*KK24*$C$2)))*$C$2</f>
        <v>#VALUE!</v>
      </c>
      <c r="KL4" s="39">
        <f>COUNTIFS(Accounts!$AS:$AS, "Communications, Entertainment and Media",Accounts!$B:$B,"none",Accounts!$E:$E,"QBDT")</f>
        <v>0</v>
      </c>
      <c r="KM4" s="33">
        <f>COUNTIFS(Accounts!$AS:$AS, "Communications, Entertainment and Media",Accounts!$B:$B,"Customer",Accounts!$E:$E,"QBDT")</f>
        <v>0</v>
      </c>
      <c r="KN4" s="37">
        <f>SUMIFS(Accounts!$I:$I,Accounts!$AS:$AS, "Communications, Entertainment and Media",Accounts!$E:$E,"QBDT")</f>
        <v>0</v>
      </c>
      <c r="KO4" s="37">
        <f>SUMIFS(Accounts!$N:$N,Accounts!$AS:$AS, "Communications, Entertainment and Media",Accounts!$E:$E,"QBDT")</f>
        <v>0</v>
      </c>
      <c r="KP4" s="37" t="e">
        <f>KN4/(KM4+KK24)</f>
        <v>#DIV/0!</v>
      </c>
      <c r="KQ4" s="37" t="e">
        <f>(KN4+KO4)/(KM4+KK24)</f>
        <v>#DIV/0!</v>
      </c>
      <c r="KR4" s="37" t="e">
        <f>KK20*KP4</f>
        <v>#VALUE!</v>
      </c>
      <c r="KS4" s="37">
        <f>IFERROR(AVERAGEIFS(Accounts!$AY:$AY,Accounts!$AS:$AS, "Communications, Entertainment and Media",Accounts!$B:$B,"Customer",Accounts!$AY:$AY,"&gt;0",Accounts!$E:$E,"QBDT"),0)</f>
        <v>0</v>
      </c>
      <c r="KT4" s="33">
        <f>IFERROR(AVERAGEIFS(Accounts!$AX:$AX,Accounts!$AS:$AS, "Communications, Entertainment and Media",Accounts!$B:$B,"Customer",Accounts!$AX:$AX,"&gt;0",Accounts!$E:$E,"QBDT"),0)</f>
        <v>0</v>
      </c>
      <c r="KU4" s="37">
        <f>IFERROR(AVERAGEIFS(Accounts!$AY:$AY,Accounts!$AS:$AS,"Communications, Entertainment and Media",Accounts!$B:$B,"none",Accounts!$AY:$AY,"&gt;0",Accounts!$E:$E,"QBDT"),0)</f>
        <v>0</v>
      </c>
      <c r="KV4" s="33">
        <f>IFERROR(AVERAGEIFS(Accounts!$AX:$AX,Accounts!$AS:$AS,"Communications, Entertainment and Media",Accounts!$B:$B,"none",Accounts!$AX:$AX,"&gt;0",Accounts!$E:$E,"QBDT"),0)</f>
        <v>0</v>
      </c>
      <c r="KW4" s="55">
        <f>SUMIFS(Accounts!$AA:$AA,Accounts!$B:$B,"Customer",Accounts!$AS:$AS, "Communications, Entertainment and Media",Accounts!$E:$E,"QBDT") + SUMIFS(Accounts!$AH:$AH,Accounts!$B:$B,"Customer",Accounts!$AS:$AS, "Communications, Entertainment and Media",Accounts!$E:$E,"QBDT") + SUMIFS(Accounts!$AJ:$AJ,Accounts!$B:$B,"Customer",Accounts!$AS:$AS, "Communications, Entertainment and Media",Accounts!$E:$E,"QBDT") + SUMIFS(Accounts!$AI:$AI,Accounts!$B:$B,"Customer",Accounts!$AS:$AS, "Communications, Entertainment and Media",Accounts!$E:$E,"QBDT") + SUMIFS(Accounts!$AO:$AO,Accounts!$B:$B,"Customer",Accounts!$AS:$AS, "Communications, Entertainment and Media",Accounts!$E:$E,"QBDT")</f>
        <v>0</v>
      </c>
      <c r="KX4" s="55">
        <f>(SUMIFS(Accounts!$AC:$AC,Accounts!$B:$B,"Customer",Accounts!$AS:$AS, "Communications, Entertainment and Media",Accounts!$E:$E,"QBDT")+SUMIFS(Accounts!$AF:$AF,Accounts!$B:$B,"Customer",Accounts!$AS:$AS, "Communications, Entertainment and Media",Accounts!$E:$E,"QBDT")+SUMIFS(Accounts!$AK:$AK,Accounts!$B:$B,"Customer",Accounts!$AS:$AS, "Communications, Entertainment and Media",Accounts!$E:$E,"QBDT"))</f>
        <v>0</v>
      </c>
      <c r="KY4" s="55">
        <f>SUMIFS(Accounts!$AB:$AB,Accounts!$B:$B,"Customer",Accounts!$AS:$AS, "Communications, Entertainment and Media",Accounts!$E:$E,"QBDT")</f>
        <v>0</v>
      </c>
      <c r="KZ4" s="55">
        <f>SUMIFS(Accounts!$AD:$AD,Accounts!$B:$B,"Customer",Accounts!$AS:$AS, "Communications, Entertainment and Media",Accounts!$E:$E,"QBDT")+SUMIFS(Accounts!$AM:$AM,Accounts!$B:$B,"Customer",Accounts!$AS:$AS, "Communications, Entertainment and Media",Accounts!$E:$E,"QBDT")+SUMIFS(Accounts!$AN:$AN,Accounts!$B:$B,"Customer",Accounts!$AS:$AS, "Communications, Entertainment and Media",Accounts!$E:$E,"QBDT")</f>
        <v>0</v>
      </c>
      <c r="LA4" s="55">
        <f>SUMIFS(Accounts!$AE:$AE,Accounts!$B:$B,"Customer",Accounts!$AS:$AS, "Communications, Entertainment and Media",Accounts!$E:$E,"QBDT") + SUMIFS(Accounts!$AP:$AP,Accounts!$B:$B,"Customer",Accounts!$AS:$AS, "Communications, Entertainment and Media",Accounts!$E:$E,"QBDT")</f>
        <v>0</v>
      </c>
      <c r="LB4" s="55">
        <f>SUMIFS(Accounts!$Z:$Z,Accounts!$B:$B,"Customer",Accounts!$AS:$AS, "Communications, Entertainment and Media",Accounts!$E:$E,"QBDT")</f>
        <v>0</v>
      </c>
      <c r="LC4" s="55">
        <f>SUMIFS(Accounts!$AG:$AG,Accounts!$B:$B,"Customer",Accounts!$AS:$AS, "Communications, Entertainment and Media",Accounts!$E:$E,"QBDT") + SUMIFS(Accounts!$AL:$AL,Accounts!$B:$B,"Customer",Accounts!$AS:$AS, "Communications, Entertainment and Media",Accounts!$E:$E,"QBDT")</f>
        <v>0</v>
      </c>
      <c r="LD4" s="55">
        <f>SUMIFS(Accounts!$AQ:$AQ,Accounts!$B:$B,"Customer",Accounts!$AS:$AS, "Communications, Entertainment and Media",Accounts!$E:$E,"QBDT")</f>
        <v>0</v>
      </c>
      <c r="LE4" s="55">
        <f>SUMIFS(Accounts!$AA:$AA,Accounts!$B:$B,"none",Accounts!$AS:$AS, "Communications, Entertainment and Media",Accounts!$E:$E,"QBDT") + SUMIFS(Accounts!$AH:$AH,Accounts!$B:$B,"none",Accounts!$AS:$AS, "Communications, Entertainment and Media",Accounts!$E:$E,"QBDT") + SUMIFS(Accounts!$AJ:$AJ,Accounts!$B:$B,"none",Accounts!$AS:$AS, "Communications, Entertainment and Media",Accounts!$E:$E,"QBDT") + SUMIFS(Accounts!$AI:$AI,Accounts!$B:$B,"none",Accounts!$AS:$AS, "Communications, Entertainment and Media",Accounts!$E:$E,"QBDT") + SUMIFS(Accounts!$AO:$AO,Accounts!$B:$B,"none",Accounts!$AS:$AS, "Communications, Entertainment and Media",Accounts!$E:$E,"QBDT")</f>
        <v>0</v>
      </c>
      <c r="LF4" s="55">
        <f>(SUMIFS(Accounts!$AC:$AC,Accounts!$B:$B,"none",Accounts!$AS:$AS, "Communications, Entertainment and Media",Accounts!$E:$E,"QBDT")+SUMIFS(Accounts!$AF:$AF,Accounts!$B:$B,"none",Accounts!$AS:$AS, "Communications, Entertainment and Media",Accounts!$E:$E,"QBDT")+SUMIFS(Accounts!$AK:$AK,Accounts!$B:$B,"none",Accounts!$AS:$AS, "Communications, Entertainment and Media",Accounts!$E:$E,"QBDT"))</f>
        <v>0</v>
      </c>
      <c r="LG4" s="55">
        <f>SUMIFS(Accounts!$AB:$AB,Accounts!$B:$B,"none",Accounts!$AS:$AS, "Communications, Entertainment and Media",Accounts!$E:$E,"QBDT")</f>
        <v>0</v>
      </c>
      <c r="LH4" s="55">
        <f>SUMIFS(Accounts!$AD:$AD,Accounts!$B:$B,"none",Accounts!$AS:$AS, "Communications, Entertainment and Media",Accounts!$E:$E,"QBDT")+SUMIFS(Accounts!$AM:$AM,Accounts!$B:$B,"none",Accounts!$AS:$AS, "Communications, Entertainment and Media",Accounts!$E:$E,"QBDT")+SUMIFS(Accounts!$AN:$AN,Accounts!$B:$B,"none",Accounts!$AS:$AS, "Communications, Entertainment and Media",Accounts!$E:$E,"QBDT")</f>
        <v>0</v>
      </c>
      <c r="LI4" s="39">
        <f>SUMIFS(Accounts!$AE:$AE,Accounts!$B:$B,"none",Accounts!$AS:$AS, "Communications, Entertainment and Media",Accounts!$E:$E,"QBDT") + SUMIFS(Accounts!$AP:$AP,Accounts!$B:$B,"none",Accounts!$AS:$AS, "Communications, Entertainment and Media",Accounts!$E:$E,"QBDT")</f>
        <v>0</v>
      </c>
      <c r="LJ4" s="55">
        <f>SUMIFS(Accounts!$Z:$Z,Accounts!$B:$B,"none",Accounts!$AS:$AS, "Communications, Entertainment and Media",Accounts!$E:$E,"QBDT")</f>
        <v>0</v>
      </c>
      <c r="LK4" s="39">
        <f>SUMIFS(Accounts!$AG:$AG,Accounts!$B:$B,"none",Accounts!$AS:$AS, "Communications, Entertainment and Media",Accounts!$E:$E,"QBDT") + SUMIFS(Accounts!$AL:$AL,Accounts!$B:$B,"none",Accounts!$AS:$AS, "Communications, Entertainment and Media",Accounts!$E:$E,"QBDT")</f>
        <v>0</v>
      </c>
      <c r="LL4" s="55">
        <f>SUMIFS(Accounts!$AQ:$AQ,Accounts!$B:$B,"none",Accounts!$AS:$AS, "Communications, Entertainment and Media",Accounts!$E:$E,"QBDT")</f>
        <v>0</v>
      </c>
      <c r="LM4" s="34" t="e">
        <f>((LM22+LM25)/((LM21*$C$2)+(0.5*LM24*$C$2)))*$C$2</f>
        <v>#VALUE!</v>
      </c>
      <c r="LN4" s="39">
        <f>COUNTIFS(Accounts!$AS:$AS, "IT and computer related",Accounts!$B:$B,"none",Accounts!$E:$E,"QBDT")</f>
        <v>0</v>
      </c>
      <c r="LO4" s="33">
        <f>COUNTIFS(Accounts!$AS:$AS, "IT and computer related",Accounts!$B:$B,"Customer",Accounts!$E:$E,"QBDT")</f>
        <v>0</v>
      </c>
      <c r="LP4" s="37">
        <f>SUMIFS(Accounts!$I:$I,Accounts!$AS:$AS, "IT and computer related",Accounts!$E:$E,"QBDT")</f>
        <v>0</v>
      </c>
      <c r="LQ4" s="37">
        <f>SUMIFS(Accounts!$N:$N,Accounts!$AS:$AS, "IT and computer related",Accounts!$E:$E,"QBDT")</f>
        <v>0</v>
      </c>
      <c r="LR4" s="37" t="e">
        <f>LP4/(LO4+LM24)</f>
        <v>#DIV/0!</v>
      </c>
      <c r="LS4" s="37" t="e">
        <f>(LP4+LQ4)/(LO4+LM24)</f>
        <v>#DIV/0!</v>
      </c>
      <c r="LT4" s="37" t="e">
        <f>LM20*LR4</f>
        <v>#VALUE!</v>
      </c>
      <c r="LU4" s="37">
        <f>IFERROR(AVERAGEIFS(Accounts!$AY:$AY,Accounts!$AS:$AS, "IT and computer related",Accounts!$B:$B,"Customer",Accounts!$AY:$AY,"&gt;0",Accounts!$E:$E,"QBDT"),0)</f>
        <v>0</v>
      </c>
      <c r="LV4" s="33">
        <f>IFERROR(AVERAGEIFS(Accounts!$AX:$AX,Accounts!$AS:$AS, "IT and computer related",Accounts!$B:$B,"Customer",Accounts!$AX:$AX,"&gt;0",Accounts!$E:$E,"QBDT"),0)</f>
        <v>0</v>
      </c>
      <c r="LW4" s="37">
        <f>IFERROR(AVERAGEIFS(Accounts!$AY:$AY,Accounts!$AS:$AS,"IT and computer related",Accounts!$B:$B,"none",Accounts!$AY:$AY,"&gt;0",Accounts!$E:$E,"QBDT"),0)</f>
        <v>0</v>
      </c>
      <c r="LX4" s="33">
        <f>IFERROR(AVERAGEIFS(Accounts!$AX:$AX,Accounts!$AS:$AS,"IT and computer related",Accounts!$B:$B,"none",Accounts!$AX:$AX,"&gt;0",Accounts!$E:$E,"QBDT"),0)</f>
        <v>0</v>
      </c>
      <c r="LY4" s="55">
        <f>SUMIFS(Accounts!$AA:$AA,Accounts!$B:$B,"Customer",Accounts!$AS:$AS, "IT and computer related",Accounts!$E:$E,"QBDT") + SUMIFS(Accounts!$AH:$AH,Accounts!$B:$B,"Customer",Accounts!$AS:$AS, "IT and computer related",Accounts!$E:$E,"QBDT") + SUMIFS(Accounts!$AJ:$AJ,Accounts!$B:$B,"Customer",Accounts!$AS:$AS, "IT and computer related",Accounts!$E:$E,"QBDT") + SUMIFS(Accounts!$AI:$AI,Accounts!$B:$B,"Customer",Accounts!$AS:$AS, "IT and computer related",Accounts!$E:$E,"QBDT") + SUMIFS(Accounts!$AO:$AO,Accounts!$B:$B,"Customer",Accounts!$AS:$AS, "IT and computer related",Accounts!$E:$E,"QBDT")</f>
        <v>0</v>
      </c>
      <c r="LZ4" s="55">
        <f>(SUMIFS(Accounts!$AC:$AC,Accounts!$B:$B,"Customer",Accounts!$AS:$AS, "IT and computer related",Accounts!$E:$E,"QBDT")+SUMIFS(Accounts!$AF:$AF,Accounts!$B:$B,"Customer",Accounts!$AS:$AS, "IT and computer related",Accounts!$E:$E,"QBDT")+SUMIFS(Accounts!$AK:$AK,Accounts!$B:$B,"Customer",Accounts!$AS:$AS, "IT and computer related",Accounts!$E:$E,"QBDT"))</f>
        <v>0</v>
      </c>
      <c r="MA4" s="55">
        <f>SUMIFS(Accounts!$AB:$AB,Accounts!$B:$B,"Customer",Accounts!$AS:$AS, "IT and computer related",Accounts!$E:$E,"QBDT")</f>
        <v>0</v>
      </c>
      <c r="MB4" s="55">
        <f>SUMIFS(Accounts!$AD:$AD,Accounts!$B:$B,"Customer",Accounts!$AS:$AS, "IT and computer related",Accounts!$E:$E,"QBDT")+SUMIFS(Accounts!$AM:$AM,Accounts!$B:$B,"Customer",Accounts!$AS:$AS, "IT and computer related",Accounts!$E:$E,"QBDT")+SUMIFS(Accounts!$AN:$AN,Accounts!$B:$B,"Customer",Accounts!$AS:$AS, "IT and computer related",Accounts!$E:$E,"QBDT")</f>
        <v>0</v>
      </c>
      <c r="MC4" s="55">
        <f>SUMIFS(Accounts!$AE:$AE,Accounts!$B:$B,"Customer",Accounts!$AS:$AS, "IT and computer related",Accounts!$E:$E,"QBDT") + SUMIFS(Accounts!$AP:$AP,Accounts!$B:$B,"Customer",Accounts!$AS:$AS, "IT and computer related",Accounts!$E:$E,"QBDT")</f>
        <v>0</v>
      </c>
      <c r="MD4" s="55">
        <f>SUMIFS(Accounts!$Z:$Z,Accounts!$B:$B,"Customer",Accounts!$AS:$AS, "IT and computer related",Accounts!$E:$E,"QBDT")</f>
        <v>0</v>
      </c>
      <c r="ME4" s="55">
        <f>SUMIFS(Accounts!$AG:$AG,Accounts!$B:$B,"Customer",Accounts!$AS:$AS, "IT and computer related",Accounts!$E:$E,"QBDT") + SUMIFS(Accounts!$AL:$AL,Accounts!$B:$B,"Customer",Accounts!$AS:$AS, "IT and computer related",Accounts!$E:$E,"QBDT")</f>
        <v>0</v>
      </c>
      <c r="MF4" s="55">
        <f>SUMIFS(Accounts!$AQ:$AQ,Accounts!$B:$B,"Customer",Accounts!$AS:$AS, "IT and computer related",Accounts!$E:$E,"QBDT")</f>
        <v>0</v>
      </c>
      <c r="MG4" s="55">
        <f>SUMIFS(Accounts!$AA:$AA,Accounts!$B:$B,"none",Accounts!$AS:$AS, "IT and computer related",Accounts!$E:$E,"QBDT") + SUMIFS(Accounts!$AH:$AH,Accounts!$B:$B,"none",Accounts!$AS:$AS, "IT and computer related",Accounts!$E:$E,"QBDT") + SUMIFS(Accounts!$AJ:$AJ,Accounts!$B:$B,"none",Accounts!$AS:$AS, "IT and computer related",Accounts!$E:$E,"QBDT") + SUMIFS(Accounts!$AI:$AI,Accounts!$B:$B,"none",Accounts!$AS:$AS, "IT and computer related",Accounts!$E:$E,"QBDT") + SUMIFS(Accounts!$AO:$AO,Accounts!$B:$B,"none",Accounts!$AS:$AS, "IT and computer related",Accounts!$E:$E,"QBDT")</f>
        <v>0</v>
      </c>
      <c r="MH4" s="55">
        <f>(SUMIFS(Accounts!$AC:$AC,Accounts!$B:$B,"none",Accounts!$AS:$AS, "IT and computer related",Accounts!$E:$E,"QBDT")+SUMIFS(Accounts!$AF:$AF,Accounts!$B:$B,"none",Accounts!$AS:$AS, "IT and computer related",Accounts!$E:$E,"QBDT")+SUMIFS(Accounts!$AK:$AK,Accounts!$B:$B,"none",Accounts!$AS:$AS, "IT and computer related",Accounts!$E:$E,"QBDT"))</f>
        <v>0</v>
      </c>
      <c r="MI4" s="55">
        <f>SUMIFS(Accounts!$AB:$AB,Accounts!$B:$B,"none",Accounts!$AS:$AS, "IT and computer related",Accounts!$E:$E,"QBDT")</f>
        <v>0</v>
      </c>
      <c r="MJ4" s="55">
        <f>SUMIFS(Accounts!$AD:$AD,Accounts!$B:$B,"none",Accounts!$AS:$AS, "IT and computer related",Accounts!$E:$E,"QBDT")+SUMIFS(Accounts!$AM:$AM,Accounts!$B:$B,"none",Accounts!$AS:$AS, "IT and computer related",Accounts!$E:$E,"QBDT")+SUMIFS(Accounts!$AN:$AN,Accounts!$B:$B,"none",Accounts!$AS:$AS, "IT and computer related",Accounts!$E:$E,"QBDT")</f>
        <v>0</v>
      </c>
      <c r="MK4" s="39">
        <f>SUMIFS(Accounts!$AE:$AE,Accounts!$B:$B,"none",Accounts!$AS:$AS, "IT and computer related",Accounts!$E:$E,"QBDT") + SUMIFS(Accounts!$AP:$AP,Accounts!$B:$B,"none",Accounts!$AS:$AS, "IT and computer related",Accounts!$E:$E,"QBDT")</f>
        <v>0</v>
      </c>
      <c r="ML4" s="55">
        <f>SUMIFS(Accounts!$Z:$Z,Accounts!$B:$B,"none",Accounts!$AS:$AS, "IT and computer related",Accounts!$E:$E,"QBDT")</f>
        <v>0</v>
      </c>
      <c r="MM4" s="39">
        <f>SUMIFS(Accounts!$AG:$AG,Accounts!$B:$B,"none",Accounts!$AS:$AS, "IT and computer related",Accounts!$E:$E,"QBDT") + SUMIFS(Accounts!$AL:$AL,Accounts!$B:$B,"none",Accounts!$AS:$AS, "IT and computer related",Accounts!$E:$E,"QBDT")</f>
        <v>0</v>
      </c>
      <c r="MN4" s="55">
        <f>SUMIFS(Accounts!$AQ:$AQ,Accounts!$B:$B,"none",Accounts!$AS:$AS, "IT and computer related",Accounts!$E:$E,"QBDT")</f>
        <v>0</v>
      </c>
      <c r="MO4" s="34" t="e">
        <f>((MO22+MO25)/((MO21*$C$2)+(0.5*MO24*$C$2)))*$C$2</f>
        <v>#VALUE!</v>
      </c>
      <c r="MP4" s="39">
        <f>COUNTIFS(Accounts!$AS:$AS, {"General service based","General"},Accounts!$B:$B,"none",Accounts!$E:$E,"QBDT")</f>
        <v>0</v>
      </c>
      <c r="MQ4" s="33">
        <f>COUNTIFS(Accounts!$AS:$AS, {"General service based","General"},Accounts!$B:$B,"Customer",Accounts!$E:$E,"QBDT")</f>
        <v>0</v>
      </c>
      <c r="MR4" s="37">
        <f>SUMIFS(Accounts!$I:$I,Accounts!$AS:$AS, {"General service based","General"},Accounts!$E:$E,"QBDT")</f>
        <v>0</v>
      </c>
      <c r="MS4" s="37">
        <f>SUMIFS(Accounts!$N:$N,Accounts!$AS:$AS, {"General service based","General"},Accounts!$E:$E,"QBDT")</f>
        <v>0</v>
      </c>
      <c r="MT4" s="37" t="e">
        <f>MR4/(MQ4+MO24)</f>
        <v>#DIV/0!</v>
      </c>
      <c r="MU4" s="37" t="e">
        <f>(MR4+MS4)/(MQ4+MO24)</f>
        <v>#DIV/0!</v>
      </c>
      <c r="MV4" s="37" t="e">
        <f>MO20*MT4</f>
        <v>#VALUE!</v>
      </c>
      <c r="MW4" s="37">
        <f>IFERROR(AVERAGEIFS(Accounts!$AY:$AY,Accounts!$AS:$AS, {"General service based","General"},Accounts!$B:$B,"Customer",Accounts!$AY:$AY,"&gt;0",Accounts!$E:$E,"QBDT"),0)</f>
        <v>0</v>
      </c>
      <c r="MX4" s="33">
        <f>IFERROR(AVERAGEIFS(Accounts!$AX:$AX,Accounts!$AS:$AS, {"General service based","General"},Accounts!$B:$B,"Customer",Accounts!$AX:$AX,"&gt;0",Accounts!$E:$E,"QBDT"),0)</f>
        <v>0</v>
      </c>
      <c r="MY4" s="37">
        <f>IFERROR(AVERAGEIFS(Accounts!$AY:$AY,Accounts!$AS:$AS,{"General service based","General"},Accounts!$B:$B,"none",Accounts!$AY:$AY,"&gt;0",Accounts!$E:$E,"QBDT"),0)</f>
        <v>0</v>
      </c>
      <c r="MZ4" s="33">
        <f>IFERROR(AVERAGEIFS(Accounts!$AX:$AX,Accounts!$AS:$AS,{"General service based","General"},Accounts!$B:$B,"none",Accounts!$AX:$AX,"&gt;0",Accounts!$E:$E,"QBDT"),0)</f>
        <v>0</v>
      </c>
      <c r="NA4" s="55">
        <f>SUMIFS(Accounts!$AA:$AA,Accounts!$B:$B,"Customer",Accounts!$AS:$AS, {"General service based","General"},Accounts!$E:$E,"QBDT") + SUMIFS(Accounts!$AH:$AH,Accounts!$B:$B,"Customer",Accounts!$AS:$AS, {"General service based","General"},Accounts!$E:$E,"QBDT") + SUMIFS(Accounts!$AJ:$AJ,Accounts!$B:$B,"Customer",Accounts!$AS:$AS, {"General service based","General"},Accounts!$E:$E,"QBDT") + SUMIFS(Accounts!$AI:$AI,Accounts!$B:$B,"Customer",Accounts!$AS:$AS, {"General service based","General"},Accounts!$E:$E,"QBDT") + SUMIFS(Accounts!$AO:$AO,Accounts!$B:$B,"Customer",Accounts!$AS:$AS, {"General service based","General"},Accounts!$E:$E,"QBDT")</f>
        <v>0</v>
      </c>
      <c r="NB4" s="55">
        <f>(SUMIFS(Accounts!$AC:$AC,Accounts!$B:$B,"Customer",Accounts!$AS:$AS, {"General service based","General"},Accounts!$E:$E,"QBDT")+SUMIFS(Accounts!$AF:$AF,Accounts!$B:$B,"Customer",Accounts!$AS:$AS, {"General service based","General"},Accounts!$E:$E,"QBDT")+SUMIFS(Accounts!$AK:$AK,Accounts!$B:$B,"Customer",Accounts!$AS:$AS, {"General service based","General"},Accounts!$E:$E,"QBDT"))</f>
        <v>0</v>
      </c>
      <c r="NC4" s="55">
        <f>SUMIFS(Accounts!$AB:$AB,Accounts!$B:$B,"Customer",Accounts!$AS:$AS, {"General service based","General"},Accounts!$E:$E,"QBDT")</f>
        <v>0</v>
      </c>
      <c r="ND4" s="55">
        <f>SUMIFS(Accounts!$AD:$AD,Accounts!$B:$B,"Customer",Accounts!$AS:$AS, {"General service based","General"},Accounts!$E:$E,"QBDT")+SUMIFS(Accounts!$AM:$AM,Accounts!$B:$B,"Customer",Accounts!$AS:$AS, {"General service based","General"},Accounts!$E:$E,"QBDT")+SUMIFS(Accounts!$AN:$AN,Accounts!$B:$B,"Customer",Accounts!$AS:$AS, {"General service based","General"},Accounts!$E:$E,"QBDT")</f>
        <v>0</v>
      </c>
      <c r="NE4" s="55">
        <f>SUMIFS(Accounts!$AE:$AE,Accounts!$B:$B,"Customer",Accounts!$AS:$AS, {"General service based","General"},Accounts!$E:$E,"QBDT") + SUMIFS(Accounts!$AP:$AP,Accounts!$B:$B,"Customer",Accounts!$AS:$AS, {"General service based","General"},Accounts!$E:$E,"QBDT")</f>
        <v>0</v>
      </c>
      <c r="NF4" s="55">
        <f>SUMIFS(Accounts!$Z:$Z,Accounts!$B:$B,"Customer",Accounts!$AS:$AS, {"General service based","General"},Accounts!$E:$E,"QBDT")</f>
        <v>0</v>
      </c>
      <c r="NG4" s="55">
        <f>SUMIFS(Accounts!$AG:$AG,Accounts!$B:$B,"Customer",Accounts!$AS:$AS, {"General service based","General"},Accounts!$E:$E,"QBDT") + SUMIFS(Accounts!$AL:$AL,Accounts!$B:$B,"Customer",Accounts!$AS:$AS, {"General service based","General"},Accounts!$E:$E,"QBDT")</f>
        <v>0</v>
      </c>
      <c r="NH4" s="55">
        <f>SUMIFS(Accounts!$AQ:$AQ,Accounts!$B:$B,"Customer",Accounts!$AS:$AS, {"General service based","General"},Accounts!$E:$E,"QBDT")</f>
        <v>0</v>
      </c>
      <c r="NI4" s="55">
        <f>SUMIFS(Accounts!$AA:$AA,Accounts!$B:$B,"none",Accounts!$AS:$AS, {"General service based","General"},Accounts!$E:$E,"QBDT") + SUMIFS(Accounts!$AH:$AH,Accounts!$B:$B,"none",Accounts!$AS:$AS, {"General service based","General"},Accounts!$E:$E,"QBDT") + SUMIFS(Accounts!$AJ:$AJ,Accounts!$B:$B,"none",Accounts!$AS:$AS, {"General service based","General"},Accounts!$E:$E,"QBDT") + SUMIFS(Accounts!$AI:$AI,Accounts!$B:$B,"none",Accounts!$AS:$AS, {"General service based","General"},Accounts!$E:$E,"QBDT") + SUMIFS(Accounts!$AO:$AO,Accounts!$B:$B,"none",Accounts!$AS:$AS, {"General service based","General"},Accounts!$E:$E,"QBDT")</f>
        <v>0</v>
      </c>
      <c r="NJ4" s="55">
        <f>(SUMIFS(Accounts!$AC:$AC,Accounts!$B:$B,"none",Accounts!$AS:$AS, {"General service based","General"},Accounts!$E:$E,"QBDT")+SUMIFS(Accounts!$AF:$AF,Accounts!$B:$B,"none",Accounts!$AS:$AS, {"General service based","General"},Accounts!$E:$E,"QBDT")+SUMIFS(Accounts!$AK:$AK,Accounts!$B:$B,"none",Accounts!$AS:$AS, {"General service based","General"},Accounts!$E:$E,"QBDT"))</f>
        <v>0</v>
      </c>
      <c r="NK4" s="55">
        <f>SUMIFS(Accounts!$AB:$AB,Accounts!$B:$B,"none",Accounts!$AS:$AS, {"General service based","General"},Accounts!$E:$E,"QBDT")</f>
        <v>0</v>
      </c>
      <c r="NL4" s="55">
        <f>SUMIFS(Accounts!$AD:$AD,Accounts!$B:$B,"none",Accounts!$AS:$AS, {"General service based","General"},Accounts!$E:$E,"QBDT")+SUMIFS(Accounts!$AM:$AM,Accounts!$B:$B,"none",Accounts!$AS:$AS, {"General service based","General"},Accounts!$E:$E,"QBDT")+SUMIFS(Accounts!$AN:$AN,Accounts!$B:$B,"none",Accounts!$AS:$AS, {"General service based","General"},Accounts!$E:$E,"QBDT")</f>
        <v>0</v>
      </c>
      <c r="NM4" s="39">
        <f>SUMIFS(Accounts!$AE:$AE,Accounts!$B:$B,"none",Accounts!$AS:$AS, {"General service based","General"},Accounts!$E:$E,"QBDT") + SUMIFS(Accounts!$AP:$AP,Accounts!$B:$B,"none",Accounts!$AS:$AS, {"General service based","General"},Accounts!$E:$E,"QBDT")</f>
        <v>0</v>
      </c>
      <c r="NN4" s="55">
        <f>SUMIFS(Accounts!$Z:$Z,Accounts!$B:$B,"none",Accounts!$AS:$AS, {"General service based","General"},Accounts!$E:$E,"QBDT")</f>
        <v>0</v>
      </c>
      <c r="NO4" s="39">
        <f>SUMIFS(Accounts!$AG:$AG,Accounts!$B:$B,"none",Accounts!$AS:$AS, {"General service based","General"},Accounts!$E:$E,"QBDT") + SUMIFS(Accounts!$AL:$AL,Accounts!$B:$B,"none",Accounts!$AS:$AS, {"General service based","General"},Accounts!$E:$E,"QBDT")</f>
        <v>0</v>
      </c>
      <c r="NP4" s="55">
        <f>SUMIFS(Accounts!$AQ:$AQ,Accounts!$B:$B,"none",Accounts!$AS:$AS, {"General service based","General"},Accounts!$E:$E,"QBDT")</f>
        <v>0</v>
      </c>
      <c r="NQ4" s="34" t="e">
        <f>((NQ22+NQ25)/((NQ21*$C$2)+(0.5*NQ24*$C$2)))*$C$2</f>
        <v>#VALUE!</v>
      </c>
      <c r="NR4" s="39">
        <f>COUNTIFS(Accounts!$AS:$AS, "Other",Accounts!$B:$B,"none",Accounts!$E:$E,"QBDT")</f>
        <v>0</v>
      </c>
      <c r="NS4" s="33">
        <f>COUNTIFS(Accounts!$AS:$AS, "Other",Accounts!$B:$B,"Customer",Accounts!$E:$E,"QBDT")</f>
        <v>0</v>
      </c>
      <c r="NT4" s="37">
        <f>SUMIFS(Accounts!$I:$I,Accounts!$AS:$AS, "Other",Accounts!$E:$E,"QBDT")</f>
        <v>0</v>
      </c>
      <c r="NU4" s="37">
        <f>SUMIFS(Accounts!$N:$N,Accounts!$AS:$AS, "Other",Accounts!$E:$E,"QBDT")</f>
        <v>0</v>
      </c>
      <c r="NV4" s="37" t="e">
        <f>NT4/(NS4+NQ24)</f>
        <v>#DIV/0!</v>
      </c>
      <c r="NW4" s="37" t="e">
        <f>(NT4+NU4)/(NS4+NQ24)</f>
        <v>#DIV/0!</v>
      </c>
      <c r="NX4" s="37" t="e">
        <f>NQ20*NV4</f>
        <v>#VALUE!</v>
      </c>
      <c r="NY4" s="37">
        <f>IFERROR(AVERAGEIFS(Accounts!$AY:$AY,Accounts!$AS:$AS, "Other",Accounts!$B:$B,"Customer",Accounts!$AY:$AY,"&gt;0",Accounts!$E:$E,"QBDT"),0)</f>
        <v>0</v>
      </c>
      <c r="NZ4" s="33">
        <f>IFERROR(AVERAGEIFS(Accounts!$AX:$AX,Accounts!$AS:$AS, "Other",Accounts!$B:$B,"Customer",Accounts!$AX:$AX,"&gt;0",Accounts!$E:$E,"QBDT"),0)</f>
        <v>0</v>
      </c>
      <c r="OA4" s="37">
        <f>IFERROR(AVERAGEIFS(Accounts!$AY:$AY,Accounts!$AS:$AS,"Other",Accounts!$B:$B,"none",Accounts!$AY:$AY,"&gt;0",Accounts!$E:$E,"QBDT"),0)</f>
        <v>0</v>
      </c>
      <c r="OB4" s="33">
        <f>IFERROR(AVERAGEIFS(Accounts!$AX:$AX,Accounts!$AS:$AS,"Other",Accounts!$B:$B,"none",Accounts!$AX:$AX,"&gt;0",Accounts!$E:$E,"QBDT"),0)</f>
        <v>0</v>
      </c>
      <c r="OC4" s="55">
        <f>SUMIFS(Accounts!$AA:$AA,Accounts!$B:$B,"Customer",Accounts!$AS:$AS, "Other",Accounts!$E:$E,"QBDT") + SUMIFS(Accounts!$AH:$AH,Accounts!$B:$B,"Customer",Accounts!$AS:$AS, "Other",Accounts!$E:$E,"QBDT") + SUMIFS(Accounts!$AJ:$AJ,Accounts!$B:$B,"Customer",Accounts!$AS:$AS, "Other",Accounts!$E:$E,"QBDT") + SUMIFS(Accounts!$AI:$AI,Accounts!$B:$B,"Customer",Accounts!$AS:$AS, "Other",Accounts!$E:$E,"QBDT") + SUMIFS(Accounts!$AO:$AO,Accounts!$B:$B,"Customer",Accounts!$AS:$AS, "Other",Accounts!$E:$E,"QBDT")</f>
        <v>0</v>
      </c>
      <c r="OD4" s="55">
        <f>(SUMIFS(Accounts!$AC:$AC,Accounts!$B:$B,"Customer",Accounts!$AS:$AS, "Other",Accounts!$E:$E,"QBDT")+SUMIFS(Accounts!$AF:$AF,Accounts!$B:$B,"Customer",Accounts!$AS:$AS, "Other",Accounts!$E:$E,"QBDT")+SUMIFS(Accounts!$AK:$AK,Accounts!$B:$B,"Customer",Accounts!$AS:$AS, "Other",Accounts!$E:$E,"QBDT"))</f>
        <v>0</v>
      </c>
      <c r="OE4" s="55">
        <f>SUMIFS(Accounts!$AB:$AB,Accounts!$B:$B,"Customer",Accounts!$AS:$AS, "Other",Accounts!$E:$E,"QBDT")</f>
        <v>0</v>
      </c>
      <c r="OF4" s="55">
        <f>SUMIFS(Accounts!$AD:$AD,Accounts!$B:$B,"Customer",Accounts!$AS:$AS, "Other",Accounts!$E:$E,"QBDT")+SUMIFS(Accounts!$AM:$AM,Accounts!$B:$B,"Customer",Accounts!$AS:$AS, "Other",Accounts!$E:$E,"QBDT")+SUMIFS(Accounts!$AN:$AN,Accounts!$B:$B,"Customer",Accounts!$AS:$AS, "Other",Accounts!$E:$E,"QBDT")</f>
        <v>0</v>
      </c>
      <c r="OG4" s="55">
        <f>SUMIFS(Accounts!$AE:$AE,Accounts!$B:$B,"Customer",Accounts!$AS:$AS, "Other",Accounts!$E:$E,"QBDT") + SUMIFS(Accounts!$AP:$AP,Accounts!$B:$B,"Customer",Accounts!$AS:$AS, "Other",Accounts!$E:$E,"QBDT")</f>
        <v>0</v>
      </c>
      <c r="OH4" s="55">
        <f>SUMIFS(Accounts!$Z:$Z,Accounts!$B:$B,"Customer",Accounts!$AS:$AS, "Other",Accounts!$E:$E,"QBDT")</f>
        <v>0</v>
      </c>
      <c r="OI4" s="55">
        <f>SUMIFS(Accounts!$AG:$AG,Accounts!$B:$B,"Customer",Accounts!$AS:$AS, "Other",Accounts!$E:$E,"QBDT") + SUMIFS(Accounts!$AL:$AL,Accounts!$B:$B,"Customer",Accounts!$AS:$AS, "Other",Accounts!$E:$E,"QBDT")</f>
        <v>0</v>
      </c>
      <c r="OJ4" s="55">
        <f>SUMIFS(Accounts!$AQ:$AQ,Accounts!$B:$B,"Customer",Accounts!$AS:$AS, "Other",Accounts!$E:$E,"QBDT")</f>
        <v>0</v>
      </c>
      <c r="OK4" s="55">
        <f>SUMIFS(Accounts!$AA:$AA,Accounts!$B:$B,"none",Accounts!$AS:$AS, "Other",Accounts!$E:$E,"QBDT") + SUMIFS(Accounts!$AH:$AH,Accounts!$B:$B,"none",Accounts!$AS:$AS, "Other",Accounts!$E:$E,"QBDT") + SUMIFS(Accounts!$AJ:$AJ,Accounts!$B:$B,"none",Accounts!$AS:$AS, "Other",Accounts!$E:$E,"QBDT") + SUMIFS(Accounts!$AI:$AI,Accounts!$B:$B,"none",Accounts!$AS:$AS, "Other",Accounts!$E:$E,"QBDT") + SUMIFS(Accounts!$AO:$AO,Accounts!$B:$B,"none",Accounts!$AS:$AS, "Other",Accounts!$E:$E,"QBDT")</f>
        <v>0</v>
      </c>
      <c r="OL4" s="55">
        <f>(SUMIFS(Accounts!$AC:$AC,Accounts!$B:$B,"none",Accounts!$AS:$AS, "Other",Accounts!$E:$E,"QBDT")+SUMIFS(Accounts!$AF:$AF,Accounts!$B:$B,"none",Accounts!$AS:$AS, "Other",Accounts!$E:$E,"QBDT")+SUMIFS(Accounts!$AK:$AK,Accounts!$B:$B,"none",Accounts!$AS:$AS, "Other",Accounts!$E:$E,"QBDT"))</f>
        <v>0</v>
      </c>
      <c r="OM4" s="55">
        <f>SUMIFS(Accounts!$AB:$AB,Accounts!$B:$B,"none",Accounts!$AS:$AS, "Other",Accounts!$E:$E,"QBDT")</f>
        <v>0</v>
      </c>
      <c r="ON4" s="55">
        <f>SUMIFS(Accounts!$AD:$AD,Accounts!$B:$B,"none",Accounts!$AS:$AS, "Other",Accounts!$E:$E,"QBDT")+SUMIFS(Accounts!$AM:$AM,Accounts!$B:$B,"none",Accounts!$AS:$AS, "Other",Accounts!$E:$E,"QBDT")+SUMIFS(Accounts!$AN:$AN,Accounts!$B:$B,"none",Accounts!$AS:$AS, "Other",Accounts!$E:$E,"QBDT")</f>
        <v>0</v>
      </c>
      <c r="OO4" s="39">
        <f>SUMIFS(Accounts!$AE:$AE,Accounts!$B:$B,"none",Accounts!$AS:$AS, "Other",Accounts!$E:$E,"QBDT") + SUMIFS(Accounts!$AP:$AP,Accounts!$B:$B,"none",Accounts!$AS:$AS, "Other",Accounts!$E:$E,"QBDT")</f>
        <v>0</v>
      </c>
      <c r="OP4" s="55">
        <f>SUMIFS(Accounts!$Z:$Z,Accounts!$B:$B,"none",Accounts!$AS:$AS, "Other",Accounts!$E:$E,"QBDT")</f>
        <v>0</v>
      </c>
      <c r="OQ4" s="39">
        <f>SUMIFS(Accounts!$AG:$AG,Accounts!$B:$B,"none",Accounts!$AS:$AS, "Other",Accounts!$E:$E,"QBDT") + SUMIFS(Accounts!$AL:$AL,Accounts!$B:$B,"none",Accounts!$AS:$AS, "Other",Accounts!$E:$E,"QBDT")</f>
        <v>0</v>
      </c>
      <c r="OR4" s="55">
        <f>SUMIFS(Accounts!$AQ:$AQ,Accounts!$B:$B,"none",Accounts!$AS:$AS, "Other",Accounts!$E:$E,"QBDT")</f>
        <v>0</v>
      </c>
      <c r="OS4" s="34" t="e">
        <f>((OS22+OS25)/((OS21*$C$2)+(0.5*OS24*$C$2)))*$C$2</f>
        <v>#VALUE!</v>
      </c>
      <c r="OT4" s="39">
        <f>COUNTIFS(Accounts!$AS:$AS, "Accounting and Bookkeeping",Accounts!$B:$B,"none",Accounts!$E:$E,"QBDT")</f>
        <v>0</v>
      </c>
      <c r="OU4" s="33">
        <f>COUNTIFS(Accounts!$AS:$AS, "Accounting and Bookkeeping",Accounts!$B:$B,"Customer",Accounts!$E:$E,"QBDT")</f>
        <v>1</v>
      </c>
      <c r="OV4" s="37">
        <f>SUMIFS(Accounts!$I:$I,Accounts!$AS:$AS, "Accounting and Bookkeeping",Accounts!$E:$E,"QBDT")</f>
        <v>0</v>
      </c>
      <c r="OW4" s="37">
        <f>SUMIFS(Accounts!$N:$N,Accounts!$AS:$AS, "Accounting and Bookkeeping",Accounts!$E:$E,"QBDT")</f>
        <v>0</v>
      </c>
      <c r="OX4" s="37">
        <f>OV4/(OU4+OS24)</f>
        <v>0</v>
      </c>
      <c r="OY4" s="37">
        <f>(OV4+OW4)/(OU4+OS24)</f>
        <v>0</v>
      </c>
      <c r="OZ4" s="37" t="e">
        <f>OS20*OX4</f>
        <v>#VALUE!</v>
      </c>
      <c r="PA4" s="37">
        <f>IFERROR(AVERAGEIFS(Accounts!$AY:$AY,Accounts!$AS:$AS, "Accounting and Bookkeeping",Accounts!$B:$B,"Customer",Accounts!$AY:$AY,"&gt;0",Accounts!$E:$E,"QBDT"),0)</f>
        <v>0</v>
      </c>
      <c r="PB4" s="33">
        <f>IFERROR(AVERAGEIFS(Accounts!$AX:$AX,Accounts!$AS:$AS, "Accounting and Bookkeeping",Accounts!$B:$B,"Customer",Accounts!$AX:$AX,"&gt;0",Accounts!$E:$E,"QBDT"),0)</f>
        <v>0</v>
      </c>
      <c r="PC4" s="37">
        <f>IFERROR(AVERAGEIFS(Accounts!$AY:$AY,Accounts!$AS:$AS,"Accounting and Bookkeeping",Accounts!$B:$B,"none",Accounts!$AY:$AY,"&gt;0",Accounts!$E:$E,"QBDT"),0)</f>
        <v>0</v>
      </c>
      <c r="PD4" s="33">
        <f>IFERROR(AVERAGEIFS(Accounts!$AX:$AX,Accounts!$AS:$AS,"Accounting and Bookkeeping",Accounts!$B:$B,"none",Accounts!$AX:$AX,"&gt;0",Accounts!$E:$E,"QBDT"),0)</f>
        <v>0</v>
      </c>
      <c r="PE4" s="55">
        <f>SUMIFS(Accounts!$AA:$AA,Accounts!$B:$B,"Customer",Accounts!$AS:$AS, "Accounting and Bookkeeping",Accounts!$E:$E,"QBDT") + SUMIFS(Accounts!$AH:$AH,Accounts!$B:$B,"Customer",Accounts!$AS:$AS, "Accounting and Bookkeeping",Accounts!$E:$E,"QBDT") + SUMIFS(Accounts!$AJ:$AJ,Accounts!$B:$B,"Customer",Accounts!$AS:$AS, "Accounting and Bookkeeping",Accounts!$E:$E,"QBDT") + SUMIFS(Accounts!$AI:$AI,Accounts!$B:$B,"Customer",Accounts!$AS:$AS, "Accounting and Bookkeeping",Accounts!$E:$E,"QBDT") + SUMIFS(Accounts!$AO:$AO,Accounts!$B:$B,"Customer",Accounts!$AS:$AS, "Accounting and Bookkeeping",Accounts!$E:$E,"QBDT")</f>
        <v>0</v>
      </c>
      <c r="PF4" s="55">
        <f>(SUMIFS(Accounts!$AC:$AC,Accounts!$B:$B,"Customer",Accounts!$AS:$AS, "Accounting and Bookkeeping",Accounts!$E:$E,"QBDT")+SUMIFS(Accounts!$AF:$AF,Accounts!$B:$B,"Customer",Accounts!$AS:$AS, "Accounting and Bookkeeping",Accounts!$E:$E,"QBDT")+SUMIFS(Accounts!$AK:$AK,Accounts!$B:$B,"Customer",Accounts!$AS:$AS, "Accounting and Bookkeeping",Accounts!$E:$E,"QBDT"))</f>
        <v>0</v>
      </c>
      <c r="PG4" s="55">
        <f>SUMIFS(Accounts!$AB:$AB,Accounts!$B:$B,"Customer",Accounts!$AS:$AS, "Accounting and Bookkeeping",Accounts!$E:$E,"QBDT")</f>
        <v>0</v>
      </c>
      <c r="PH4" s="55">
        <f>SUMIFS(Accounts!$AD:$AD,Accounts!$B:$B,"Customer",Accounts!$AS:$AS, "Accounting and Bookkeeping",Accounts!$E:$E,"QBDT")+SUMIFS(Accounts!$AM:$AM,Accounts!$B:$B,"Customer",Accounts!$AS:$AS, "Accounting and Bookkeeping",Accounts!$E:$E,"QBDT")+SUMIFS(Accounts!$AN:$AN,Accounts!$B:$B,"Customer",Accounts!$AS:$AS, "Accounting and Bookkeeping",Accounts!$E:$E,"QBDT")</f>
        <v>0</v>
      </c>
      <c r="PI4" s="55">
        <f>SUMIFS(Accounts!$AE:$AE,Accounts!$B:$B,"Customer",Accounts!$AS:$AS, "Accounting and Bookkeeping",Accounts!$E:$E,"QBDT") + SUMIFS(Accounts!$AP:$AP,Accounts!$B:$B,"Customer",Accounts!$AS:$AS, "Accounting and Bookkeeping",Accounts!$E:$E,"QBDT")</f>
        <v>0</v>
      </c>
      <c r="PJ4" s="55">
        <f>SUMIFS(Accounts!$Z:$Z,Accounts!$B:$B,"Customer",Accounts!$AS:$AS, "Accounting and Bookkeeping",Accounts!$E:$E,"QBDT")</f>
        <v>0</v>
      </c>
      <c r="PK4" s="55">
        <f>SUMIFS(Accounts!$AG:$AG,Accounts!$B:$B,"Customer",Accounts!$AS:$AS, "Accounting and Bookkeeping",Accounts!$E:$E,"QBDT") + SUMIFS(Accounts!$AL:$AL,Accounts!$B:$B,"Customer",Accounts!$AS:$AS, "Accounting and Bookkeeping",Accounts!$E:$E,"QBDT")</f>
        <v>0</v>
      </c>
      <c r="PL4" s="55">
        <f>SUMIFS(Accounts!$AQ:$AQ,Accounts!$B:$B,"Customer",Accounts!$AS:$AS, "Accounting and Bookkeeping",Accounts!$E:$E,"QBDT")</f>
        <v>1</v>
      </c>
      <c r="PM4" s="55">
        <f>SUMIFS(Accounts!$AA:$AA,Accounts!$B:$B,"none",Accounts!$AS:$AS, "Accounting and Bookkeeping",Accounts!$E:$E,"QBDT") + SUMIFS(Accounts!$AH:$AH,Accounts!$B:$B,"none",Accounts!$AS:$AS, "Accounting and Bookkeeping",Accounts!$E:$E,"QBDT") + SUMIFS(Accounts!$AJ:$AJ,Accounts!$B:$B,"none",Accounts!$AS:$AS, "Accounting and Bookkeeping",Accounts!$E:$E,"QBDT") + SUMIFS(Accounts!$AI:$AI,Accounts!$B:$B,"none",Accounts!$AS:$AS, "Accounting and Bookkeeping",Accounts!$E:$E,"QBDT") + SUMIFS(Accounts!$AO:$AO,Accounts!$B:$B,"none",Accounts!$AS:$AS, "Accounting and Bookkeeping",Accounts!$E:$E,"QBDT")</f>
        <v>0</v>
      </c>
      <c r="PN4" s="55">
        <f>(SUMIFS(Accounts!$AC:$AC,Accounts!$B:$B,"none",Accounts!$AS:$AS, "Accounting and Bookkeeping",Accounts!$E:$E,"QBDT")+SUMIFS(Accounts!$AF:$AF,Accounts!$B:$B,"none",Accounts!$AS:$AS, "Accounting and Bookkeeping",Accounts!$E:$E,"QBDT")+SUMIFS(Accounts!$AK:$AK,Accounts!$B:$B,"none",Accounts!$AS:$AS, "Accounting and Bookkeeping",Accounts!$E:$E,"QBDT"))</f>
        <v>0</v>
      </c>
      <c r="PO4" s="55">
        <f>SUMIFS(Accounts!$AB:$AB,Accounts!$B:$B,"none",Accounts!$AS:$AS, "Accounting and Bookkeeping",Accounts!$E:$E,"QBDT")</f>
        <v>0</v>
      </c>
      <c r="PP4" s="55">
        <f>SUMIFS(Accounts!$AD:$AD,Accounts!$B:$B,"none",Accounts!$AS:$AS, "Accounting and Bookkeeping",Accounts!$E:$E,"QBDT")+SUMIFS(Accounts!$AM:$AM,Accounts!$B:$B,"none",Accounts!$AS:$AS, "Accounting and Bookkeeping",Accounts!$E:$E,"QBDT")+SUMIFS(Accounts!$AN:$AN,Accounts!$B:$B,"none",Accounts!$AS:$AS, "Accounting and Bookkeeping",Accounts!$E:$E,"QBDT")</f>
        <v>0</v>
      </c>
      <c r="PQ4" s="39">
        <f>SUMIFS(Accounts!$AE:$AE,Accounts!$B:$B,"none",Accounts!$AS:$AS, "Accounting and Bookkeeping",Accounts!$E:$E,"QBDT") + SUMIFS(Accounts!$AP:$AP,Accounts!$B:$B,"none",Accounts!$AS:$AS, "Accounting and Bookkeeping",Accounts!$E:$E,"QBDT")</f>
        <v>0</v>
      </c>
      <c r="PR4" s="55">
        <f>SUMIFS(Accounts!$Z:$Z,Accounts!$B:$B,"none",Accounts!$AS:$AS, "Accounting and Bookkeeping",Accounts!$E:$E,"QBDT")</f>
        <v>0</v>
      </c>
      <c r="PS4" s="39">
        <f>SUMIFS(Accounts!$AG:$AG,Accounts!$B:$B,"none",Accounts!$AS:$AS, "Accounting and Bookkeeping",Accounts!$E:$E,"QBDT") + SUMIFS(Accounts!$AL:$AL,Accounts!$B:$B,"none",Accounts!$AS:$AS, "Accounting and Bookkeeping",Accounts!$E:$E,"QBDT")</f>
        <v>0</v>
      </c>
      <c r="PT4" s="55">
        <f>SUMIFS(Accounts!$AQ:$AQ,Accounts!$B:$B,"none",Accounts!$AS:$AS, "Accounting and Bookkeeping",Accounts!$E:$E,"QBDT")</f>
        <v>0</v>
      </c>
    </row>
    <row r="5" spans="1:436" s="31" customFormat="1" ht="16" x14ac:dyDescent="0.2">
      <c r="B5" s="32"/>
      <c r="C5" s="33"/>
    </row>
    <row r="6" spans="1:436" s="40" customFormat="1" ht="16" x14ac:dyDescent="0.2">
      <c r="B6" s="41"/>
      <c r="C6" s="42"/>
      <c r="S6" s="43"/>
      <c r="T6" s="43"/>
      <c r="AZ6" s="54" t="s">
        <v>71</v>
      </c>
      <c r="BA6" s="43" t="s">
        <v>175</v>
      </c>
      <c r="BC6" s="44" t="e">
        <f t="shared" ref="BC6:BL6" si="3">IF(BC2&lt;0.005,120,1/BC2)</f>
        <v>#VALUE!</v>
      </c>
      <c r="BD6" s="44" t="e">
        <f t="shared" si="3"/>
        <v>#VALUE!</v>
      </c>
      <c r="BE6" s="44" t="e">
        <f t="shared" si="3"/>
        <v>#VALUE!</v>
      </c>
      <c r="BF6" s="44" t="e">
        <f t="shared" si="3"/>
        <v>#VALUE!</v>
      </c>
      <c r="BG6" s="44" t="e">
        <f t="shared" si="3"/>
        <v>#VALUE!</v>
      </c>
      <c r="BH6" s="44" t="e">
        <f t="shared" si="3"/>
        <v>#VALUE!</v>
      </c>
      <c r="BI6" s="44" t="e">
        <f t="shared" si="3"/>
        <v>#VALUE!</v>
      </c>
      <c r="BJ6" s="44" t="e">
        <f t="shared" si="3"/>
        <v>#VALUE!</v>
      </c>
      <c r="BK6" s="44" t="e">
        <f t="shared" si="3"/>
        <v>#VALUE!</v>
      </c>
      <c r="BL6" s="44" t="e">
        <f t="shared" si="3"/>
        <v>#VALUE!</v>
      </c>
      <c r="CJ6" s="43"/>
      <c r="CQ6" s="44"/>
      <c r="CR6" s="44"/>
      <c r="CS6" s="53"/>
      <c r="CT6" s="43"/>
      <c r="CU6" s="53" t="s">
        <v>71</v>
      </c>
      <c r="CV6" s="43" t="s">
        <v>175</v>
      </c>
      <c r="CW6" s="44" t="e">
        <f>IF(CW$2=0,120,1/CW$2)</f>
        <v>#VALUE!</v>
      </c>
      <c r="DV6" s="53"/>
      <c r="DW6" s="53" t="s">
        <v>71</v>
      </c>
      <c r="DX6" s="43" t="s">
        <v>175</v>
      </c>
      <c r="DY6" s="44" t="e">
        <f>IF(DY$2=0,120,1/DY$2)</f>
        <v>#VALUE!</v>
      </c>
      <c r="EX6" s="53"/>
      <c r="EY6" s="53" t="s">
        <v>71</v>
      </c>
      <c r="EZ6" s="43" t="s">
        <v>175</v>
      </c>
      <c r="FA6" s="44" t="e">
        <f>IF(FA$2=0,120,1/FA$2)</f>
        <v>#VALUE!</v>
      </c>
      <c r="FZ6" s="53"/>
      <c r="GA6" s="53" t="s">
        <v>71</v>
      </c>
      <c r="GB6" s="43" t="s">
        <v>175</v>
      </c>
      <c r="GC6" s="44" t="e">
        <f>IF(GC$2=0,120,1/GC$2)</f>
        <v>#VALUE!</v>
      </c>
      <c r="HB6" s="53"/>
      <c r="HC6" s="53" t="s">
        <v>71</v>
      </c>
      <c r="HD6" s="43" t="s">
        <v>175</v>
      </c>
      <c r="HE6" s="44" t="e">
        <f>IF(HE$2=0,120,1/HE$2)</f>
        <v>#VALUE!</v>
      </c>
      <c r="ID6" s="53"/>
      <c r="IE6" s="53" t="s">
        <v>71</v>
      </c>
      <c r="IF6" s="43" t="s">
        <v>175</v>
      </c>
      <c r="IG6" s="44" t="e">
        <f>IF(IG$2=0,120,1/IG$2)</f>
        <v>#VALUE!</v>
      </c>
      <c r="JF6" s="53"/>
      <c r="JG6" s="53" t="s">
        <v>71</v>
      </c>
      <c r="JH6" s="43" t="s">
        <v>175</v>
      </c>
      <c r="JI6" s="44" t="e">
        <f>IF(JI$2=0,120,1/JI$2)</f>
        <v>#VALUE!</v>
      </c>
      <c r="KH6" s="53"/>
      <c r="KI6" s="53" t="s">
        <v>71</v>
      </c>
      <c r="KJ6" s="43" t="s">
        <v>175</v>
      </c>
      <c r="KK6" s="44" t="e">
        <f>IF(KK$2=0,120,1/KK$2)</f>
        <v>#VALUE!</v>
      </c>
      <c r="LJ6" s="53"/>
      <c r="LK6" s="53" t="s">
        <v>71</v>
      </c>
      <c r="LL6" s="43" t="s">
        <v>175</v>
      </c>
      <c r="LM6" s="44" t="e">
        <f>IF(LM$2=0,120,1/LM$2)</f>
        <v>#VALUE!</v>
      </c>
      <c r="ML6" s="53"/>
      <c r="MM6" s="53" t="s">
        <v>71</v>
      </c>
      <c r="MN6" s="43" t="s">
        <v>175</v>
      </c>
      <c r="MO6" s="44" t="e">
        <f>IF(MO$2=0,120,1/MO$2)</f>
        <v>#VALUE!</v>
      </c>
      <c r="NN6" s="53"/>
      <c r="NO6" s="53" t="s">
        <v>71</v>
      </c>
      <c r="NP6" s="43" t="s">
        <v>175</v>
      </c>
      <c r="NQ6" s="44" t="e">
        <f>IF(NQ$2=0,120,1/NQ$2)</f>
        <v>#VALUE!</v>
      </c>
      <c r="OP6" s="53"/>
      <c r="OQ6" s="53" t="s">
        <v>71</v>
      </c>
      <c r="OR6" s="43" t="s">
        <v>175</v>
      </c>
      <c r="OS6" s="44" t="e">
        <f>IF(OS$2=0,120,1/OS$2)</f>
        <v>#VALUE!</v>
      </c>
      <c r="PR6" s="53"/>
      <c r="PS6" s="53"/>
      <c r="PT6" s="43"/>
    </row>
    <row r="7" spans="1:436" s="40" customFormat="1" ht="16" x14ac:dyDescent="0.2">
      <c r="B7" s="45" t="s">
        <v>274</v>
      </c>
      <c r="C7" s="46" t="e">
        <f>YEAR(B2)</f>
        <v>#VALUE!</v>
      </c>
      <c r="S7" s="43"/>
      <c r="T7" s="43"/>
      <c r="AZ7" s="54" t="s">
        <v>71</v>
      </c>
      <c r="BA7" s="43" t="s">
        <v>166</v>
      </c>
      <c r="BC7" s="44">
        <f>COUNTIF(Accounts!$B:$B,"Customer")</f>
        <v>1</v>
      </c>
      <c r="BD7" s="58">
        <f>SUMIFS(Accounts!$AA:$AA,Accounts!$B:$B,"Customer") + SUMIFS(Accounts!$AH:$AH,Accounts!$B:$B,"Customer") + SUMIFS(Accounts!$AJ:$AJ,Accounts!$B:$B,"Customer") + SUMIFS(Accounts!$AI:$AI,Accounts!$B:$B,"Customer") + SUMIFS(Accounts!$AO:$AO,Accounts!$B:$B,"Customer")</f>
        <v>0</v>
      </c>
      <c r="BE7" s="58">
        <f>(SUMIFS(Accounts!$AC:$AC,Accounts!$B:$B,"Customer")+SUMIFS(Accounts!$AF:$AF,Accounts!$B:$B,"Customer")+SUMIFS(Accounts!$AK:$AK,Accounts!$B:$B,"Customer"))</f>
        <v>0</v>
      </c>
      <c r="BF7" s="58">
        <f>SUMIFS(Accounts!$AB:$AB,Accounts!$B:$B,"Customer")</f>
        <v>0</v>
      </c>
      <c r="BG7" s="58">
        <f>SUMIFS(Accounts!$AD:$AD,Accounts!$B:$B,"Customer")+SUMIFS(Accounts!$AM:$AM,Accounts!$B:$B,"Customer")+SUMIFS(Accounts!$AN:$AN,Accounts!$B:$B,"Customer")</f>
        <v>0</v>
      </c>
      <c r="BH7" s="58">
        <f>SUMIFS(Accounts!$AE:$AE,Accounts!$B:$B,"Customer") + SUMIFS(Accounts!$AP:$AP,Accounts!$B:$B,"Customer")+SUMIFS(Accounts!$Z:$Z,Accounts!$B:$B,"Customer")+SUMIFS(Accounts!$AG:$AG,Accounts!$B:$B,"Customer") + SUMIFS(Accounts!$AL:$AL,Accounts!$B:$B,"Customer")</f>
        <v>0</v>
      </c>
      <c r="BI7" s="58">
        <f>SUMIFS(Accounts!$AE:$AE,Accounts!$B:$B,"Customer") + SUMIFS(Accounts!$AP:$AP,Accounts!$B:$B,"Customer")</f>
        <v>0</v>
      </c>
      <c r="BJ7" s="58">
        <f>SUMIFS(Accounts!$Z:$Z,Accounts!$B:$B,"Customer")</f>
        <v>0</v>
      </c>
      <c r="BK7" s="58">
        <f>SUMIFS(Accounts!$AG:$AG,Accounts!$B:$B,"Customer") + SUMIFS(Accounts!$AL:$AL,Accounts!$B:$B,"Customer")</f>
        <v>0</v>
      </c>
      <c r="BL7" s="58">
        <f>SUMIFS(Accounts!$AQ:$AQ,Accounts!$B:$B,"Customer")</f>
        <v>1</v>
      </c>
      <c r="CJ7" s="43"/>
      <c r="CM7" s="44"/>
      <c r="CS7" s="53"/>
      <c r="CT7" s="43"/>
      <c r="CU7" s="53" t="s">
        <v>71</v>
      </c>
      <c r="CV7" s="43" t="s">
        <v>166</v>
      </c>
      <c r="CW7" s="44">
        <f>COUNTIFS(Accounts!$AS:$AS, "Manufacturing (MWD)",Accounts!$B:$B,"Customer")</f>
        <v>0</v>
      </c>
      <c r="DV7" s="53"/>
      <c r="DW7" s="53" t="s">
        <v>71</v>
      </c>
      <c r="DX7" s="43" t="s">
        <v>166</v>
      </c>
      <c r="DY7" s="44">
        <f>COUNTIFS(Accounts!$AS:$AS, "Wholesale and distribution services (MWD)",Accounts!$B:$B,"Customer")</f>
        <v>0</v>
      </c>
      <c r="EX7" s="53"/>
      <c r="EY7" s="53" t="s">
        <v>71</v>
      </c>
      <c r="EZ7" s="43" t="s">
        <v>166</v>
      </c>
      <c r="FA7" s="44">
        <f>COUNTIFS(Accounts!$AS:$AS, "Construction",Accounts!$B:$B,"Customer")</f>
        <v>0</v>
      </c>
      <c r="FZ7" s="53"/>
      <c r="GA7" s="53" t="s">
        <v>71</v>
      </c>
      <c r="GB7" s="43" t="s">
        <v>166</v>
      </c>
      <c r="GC7" s="44">
        <f>COUNTIFS(Accounts!$AS:$AS, "Field Services",Accounts!$B:$B,"Customer")</f>
        <v>0</v>
      </c>
      <c r="HB7" s="53"/>
      <c r="HC7" s="53" t="s">
        <v>71</v>
      </c>
      <c r="HD7" s="43" t="s">
        <v>166</v>
      </c>
      <c r="HE7" s="44">
        <f>COUNTIFS(Accounts!$AS:$AS, "Consulting and Professional Services",Accounts!$B:$B,"Customer")</f>
        <v>0</v>
      </c>
      <c r="ID7" s="53"/>
      <c r="IE7" s="53" t="s">
        <v>71</v>
      </c>
      <c r="IF7" s="43" t="s">
        <v>166</v>
      </c>
      <c r="IG7" s="44">
        <f>COUNTIFS(Accounts!$AS:$AS, "Retail",Accounts!$B:$B,"Customer")</f>
        <v>0</v>
      </c>
      <c r="JF7" s="53"/>
      <c r="JG7" s="53" t="s">
        <v>71</v>
      </c>
      <c r="JH7" s="43" t="s">
        <v>166</v>
      </c>
      <c r="JI7" s="44">
        <f>COUNTIFS(Accounts!$AS:$AS, "Non-profit, govt or religious organization",Accounts!$B:$B,"Customer")</f>
        <v>0</v>
      </c>
      <c r="KH7" s="53"/>
      <c r="KI7" s="53" t="s">
        <v>71</v>
      </c>
      <c r="KJ7" s="43" t="s">
        <v>166</v>
      </c>
      <c r="KK7" s="44">
        <f>COUNTIFS(Accounts!$AS:$AS, "Communications, Entertainment and Media",Accounts!$B:$B,"Customer")</f>
        <v>0</v>
      </c>
      <c r="LJ7" s="53"/>
      <c r="LK7" s="53" t="s">
        <v>71</v>
      </c>
      <c r="LL7" s="43" t="s">
        <v>166</v>
      </c>
      <c r="LM7" s="44">
        <f>COUNTIFS(Accounts!$AS:$AS, "IT and computer related",Accounts!$B:$B,"Customer")</f>
        <v>0</v>
      </c>
      <c r="ML7" s="53"/>
      <c r="MM7" s="53" t="s">
        <v>71</v>
      </c>
      <c r="MN7" s="43" t="s">
        <v>166</v>
      </c>
      <c r="MO7" s="44">
        <f>COUNTIFS(Accounts!$AS:$AS, {"General service based","General"},Accounts!$B:$B,"Customer")</f>
        <v>0</v>
      </c>
      <c r="NN7" s="53"/>
      <c r="NO7" s="53" t="s">
        <v>71</v>
      </c>
      <c r="NP7" s="43" t="s">
        <v>166</v>
      </c>
      <c r="NQ7" s="44">
        <f>COUNTIFS(Accounts!$AS:$AS, "Other",Accounts!$B:$B,"Customer")</f>
        <v>0</v>
      </c>
      <c r="OP7" s="53"/>
      <c r="OQ7" s="53" t="s">
        <v>71</v>
      </c>
      <c r="OR7" s="43" t="s">
        <v>166</v>
      </c>
      <c r="OS7" s="44">
        <f>COUNTIFS(Accounts!$AS:$AS, "Accounting and Bookkeeping",Accounts!$B:$B,"Customer")</f>
        <v>1</v>
      </c>
      <c r="PR7" s="53"/>
      <c r="PS7" s="53"/>
      <c r="PT7" s="43"/>
    </row>
    <row r="8" spans="1:436" s="40" customFormat="1" ht="16" x14ac:dyDescent="0.2">
      <c r="B8" s="47" t="s">
        <v>275</v>
      </c>
      <c r="C8" s="46" t="e">
        <f>MONTH(B2)</f>
        <v>#VALUE!</v>
      </c>
      <c r="J8" s="48"/>
      <c r="S8" s="43"/>
      <c r="T8" s="43"/>
      <c r="AZ8" s="54" t="s">
        <v>71</v>
      </c>
      <c r="BA8" s="43" t="s">
        <v>168</v>
      </c>
      <c r="BC8" s="44">
        <f>COUNTIFS(Accounts!$B:$B,"Customer",Accounts!$C:$C,"Lost")</f>
        <v>0</v>
      </c>
      <c r="BD8" s="58">
        <f>SUMIFS(Accounts!$AA:$AA,Accounts!$B:$B,"Customer",Accounts!$C:$C,"Lost") + SUMIFS(Accounts!$AH:$AH,Accounts!$B:$B,"Customer",Accounts!$C:$C,"Lost") + SUMIFS(Accounts!$AJ:$AJ,Accounts!$B:$B,"Customer",Accounts!$C:$C,"Lost") + SUMIFS(Accounts!$AI:$AI,Accounts!$B:$B,"Customer",Accounts!$C:$C,"Lost") + SUMIFS(Accounts!$AO:$AO,Accounts!$B:$B,"Customer",Accounts!$C:$C,"Lost")</f>
        <v>0</v>
      </c>
      <c r="BE8" s="58">
        <f>(SUMIFS(Accounts!$AC:$AC,Accounts!$B:$B,"Customer",Accounts!$C:$C,"Lost")+SUMIFS(Accounts!$AF:$AF,Accounts!$B:$B,"Customer",Accounts!$C:$C,"Lost")+SUMIFS(Accounts!$AK:$AK,Accounts!$B:$B,"Customer",Accounts!$C:$C,"Lost"))</f>
        <v>0</v>
      </c>
      <c r="BF8" s="58">
        <f>SUMIFS(Accounts!$AB:$AB,Accounts!$B:$B,"Customer",Accounts!$C:$C,"Lost")</f>
        <v>0</v>
      </c>
      <c r="BG8" s="58">
        <f>SUMIFS(Accounts!$AD:$AD,Accounts!$B:$B,"Customer",Accounts!$C:$C,"Lost")+SUMIFS(Accounts!$AM:$AM,Accounts!$B:$B,"Customer",Accounts!$C:$C,"Lost")+SUMIFS(Accounts!$AN:$AN,Accounts!$B:$B,"Customer",Accounts!$C:$C,"Lost")</f>
        <v>0</v>
      </c>
      <c r="BH8" s="58">
        <f>SUMIFS(Accounts!$AE:$AE,Accounts!$B:$B,"Customer",Accounts!$C:$C,"Lost") + SUMIFS(Accounts!$AP:$AP,Accounts!$B:$B,"Customer",Accounts!$C:$C,"Lost")+SUMIFS(Accounts!$Z:$Z,Accounts!$B:$B,"Customer",Accounts!$C:$C,"Lost")+SUMIFS(Accounts!$AG:$AG,Accounts!$B:$B,"Customer",Accounts!$C:$C,"Lost") + SUMIFS(Accounts!$AL:$AL,Accounts!$B:$B,"Customer",Accounts!$C:$C,"Lost")</f>
        <v>0</v>
      </c>
      <c r="BI8" s="58">
        <f>SUMIFS(Accounts!$AE:$AE,Accounts!$B:$B,"Customer",Accounts!$C:$C,"Lost") + SUMIFS(Accounts!$AP:$AP,Accounts!$B:$B,"Customer",Accounts!$C:$C,"Lost")</f>
        <v>0</v>
      </c>
      <c r="BJ8" s="58">
        <f>SUMIFS(Accounts!$Z:$Z,Accounts!$B:$B,"Customer",Accounts!$C:$C,"Lost")</f>
        <v>0</v>
      </c>
      <c r="BK8" s="58">
        <f>SUMIFS(Accounts!$AG:$AG,Accounts!$B:$B,"Customer",Accounts!$C:$C,"Lost") + SUMIFS(Accounts!$AL:$AL,Accounts!$B:$B,"Customer",Accounts!$C:$C,"Lost")</f>
        <v>0</v>
      </c>
      <c r="BL8" s="58">
        <f>SUMIFS(Accounts!$AQ:$AQ,Accounts!$B:$B,"Customer",Accounts!$C:$C,"Lost")</f>
        <v>0</v>
      </c>
      <c r="CJ8" s="43"/>
      <c r="CS8" s="53"/>
      <c r="CT8" s="43"/>
      <c r="CU8" s="53" t="s">
        <v>71</v>
      </c>
      <c r="CV8" s="43" t="s">
        <v>168</v>
      </c>
      <c r="CW8" s="44">
        <f>COUNTIFS(Accounts!$AS:$AS, "Manufacturing (MWD)",Accounts!$B:$B,"Customer",Accounts!$C:$C,"Lost")</f>
        <v>0</v>
      </c>
      <c r="DV8" s="53"/>
      <c r="DW8" s="53" t="s">
        <v>71</v>
      </c>
      <c r="DX8" s="43" t="s">
        <v>168</v>
      </c>
      <c r="DY8" s="44">
        <f>COUNTIFS(Accounts!$AS:$AS, "Wholesale and distribution services (MWD)",Accounts!$B:$B,"Customer",Accounts!$C:$C,"Lost")</f>
        <v>0</v>
      </c>
      <c r="EX8" s="53"/>
      <c r="EY8" s="53" t="s">
        <v>71</v>
      </c>
      <c r="EZ8" s="43" t="s">
        <v>168</v>
      </c>
      <c r="FA8" s="44">
        <f>COUNTIFS(Accounts!$AS:$AS, "Construction",Accounts!$B:$B,"Customer",Accounts!$C:$C,"Lost")</f>
        <v>0</v>
      </c>
      <c r="FZ8" s="53"/>
      <c r="GA8" s="53" t="s">
        <v>71</v>
      </c>
      <c r="GB8" s="43" t="s">
        <v>168</v>
      </c>
      <c r="GC8" s="44">
        <f>COUNTIFS(Accounts!$AS:$AS, "Field Services",Accounts!$B:$B,"Customer",Accounts!$C:$C,"Lost")</f>
        <v>0</v>
      </c>
      <c r="HB8" s="53"/>
      <c r="HC8" s="53" t="s">
        <v>71</v>
      </c>
      <c r="HD8" s="43" t="s">
        <v>168</v>
      </c>
      <c r="HE8" s="44">
        <f>COUNTIFS(Accounts!$AS:$AS, "Consulting and Professional Services",Accounts!$B:$B,"Customer",Accounts!$C:$C,"Lost")</f>
        <v>0</v>
      </c>
      <c r="ID8" s="53"/>
      <c r="IE8" s="53" t="s">
        <v>71</v>
      </c>
      <c r="IF8" s="43" t="s">
        <v>168</v>
      </c>
      <c r="IG8" s="44">
        <f>COUNTIFS(Accounts!$AS:$AS, "Retail",Accounts!$B:$B,"Customer",Accounts!$C:$C,"Lost")</f>
        <v>0</v>
      </c>
      <c r="JF8" s="53"/>
      <c r="JG8" s="53" t="s">
        <v>71</v>
      </c>
      <c r="JH8" s="43" t="s">
        <v>168</v>
      </c>
      <c r="JI8" s="44">
        <f>COUNTIFS(Accounts!$AS:$AS, "Non-profit, govt or religious organization",Accounts!$B:$B,"Customer",Accounts!$C:$C,"Lost")</f>
        <v>0</v>
      </c>
      <c r="KH8" s="53"/>
      <c r="KI8" s="53" t="s">
        <v>71</v>
      </c>
      <c r="KJ8" s="43" t="s">
        <v>168</v>
      </c>
      <c r="KK8" s="44">
        <f>COUNTIFS(Accounts!$AS:$AS, "Communications, Entertainment and Media",Accounts!$B:$B,"Customer",Accounts!$C:$C,"Lost")</f>
        <v>0</v>
      </c>
      <c r="LJ8" s="53"/>
      <c r="LK8" s="53" t="s">
        <v>71</v>
      </c>
      <c r="LL8" s="43" t="s">
        <v>168</v>
      </c>
      <c r="LM8" s="44">
        <f>COUNTIFS(Accounts!$AS:$AS, "IT and computer related",Accounts!$B:$B,"Customer",Accounts!$C:$C,"Lost")</f>
        <v>0</v>
      </c>
      <c r="ML8" s="53"/>
      <c r="MM8" s="53" t="s">
        <v>71</v>
      </c>
      <c r="MN8" s="43" t="s">
        <v>168</v>
      </c>
      <c r="MO8" s="44">
        <f>COUNTIFS(Accounts!$AS:$AS, {"General service based","General"},Accounts!$B:$B,"Customer",Accounts!$C:$C,"Lost")</f>
        <v>0</v>
      </c>
      <c r="NN8" s="53"/>
      <c r="NO8" s="53" t="s">
        <v>71</v>
      </c>
      <c r="NP8" s="43" t="s">
        <v>168</v>
      </c>
      <c r="NQ8" s="44">
        <f>COUNTIFS(Accounts!$AS:$AS, "Other",Accounts!$B:$B,"Customer",Accounts!$C:$C,"Lost")</f>
        <v>0</v>
      </c>
      <c r="OP8" s="53"/>
      <c r="OQ8" s="53" t="s">
        <v>71</v>
      </c>
      <c r="OR8" s="43" t="s">
        <v>168</v>
      </c>
      <c r="OS8" s="44">
        <f>COUNTIFS(Accounts!$AS:$AS, "Accounting and Bookkeeping",Accounts!$B:$B,"Customer",Accounts!$C:$C,"Lost")</f>
        <v>0</v>
      </c>
      <c r="PR8" s="53"/>
      <c r="PS8" s="53"/>
      <c r="PT8" s="43"/>
    </row>
    <row r="9" spans="1:436" s="40" customFormat="1" ht="16" x14ac:dyDescent="0.2">
      <c r="B9" s="43" t="s">
        <v>276</v>
      </c>
      <c r="C9" s="42" t="e">
        <f>EOMONTH($B$2,-1)</f>
        <v>#VALUE!</v>
      </c>
      <c r="J9" s="48"/>
      <c r="S9" s="43"/>
      <c r="T9" s="43"/>
      <c r="AZ9" s="54" t="s">
        <v>71</v>
      </c>
      <c r="BA9" s="43" t="s">
        <v>167</v>
      </c>
      <c r="BC9" s="44">
        <f>COUNTIF(Accounts!$C:$C,"Customer")</f>
        <v>1</v>
      </c>
      <c r="BD9" s="58">
        <f>SUMIFS(Accounts!$AA:$AA,Accounts!$C:$C,"Customer") + SUMIFS(Accounts!$AH:$AH,Accounts!$C:$C,"Customer") + SUMIFS(Accounts!$AJ:$AJ,Accounts!$C:$C,"Customer") + SUMIFS(Accounts!$AI:$AI,Accounts!$C:$C,"Customer") + SUMIFS(Accounts!$AO:$AO,Accounts!$C:$C,"Customer")</f>
        <v>0</v>
      </c>
      <c r="BE9" s="58">
        <f>(SUMIFS(Accounts!$AC:$AC,Accounts!$C:$C,"Customer")+SUMIFS(Accounts!$AF:$AF,Accounts!$C:$C,"Customer")+SUMIFS(Accounts!$AK:$AK,Accounts!$C:$C,"Customer"))</f>
        <v>0</v>
      </c>
      <c r="BF9" s="58">
        <f>SUMIFS(Accounts!$AB:$AB,Accounts!$C:$C,"Customer")</f>
        <v>0</v>
      </c>
      <c r="BG9" s="58">
        <f>SUMIFS(Accounts!$AD:$AD,Accounts!$C:$C,"Customer")+SUMIFS(Accounts!$AM:$AM,Accounts!$C:$C,"Customer")+SUMIFS(Accounts!$AN:$AN,Accounts!$C:$C,"Customer")</f>
        <v>0</v>
      </c>
      <c r="BH9" s="58">
        <f>SUMIFS(Accounts!$AE:$AE,Accounts!$C:$C,"Customer") + SUMIFS(Accounts!$AP:$AP,Accounts!$C:$C,"Customer")+SUMIFS(Accounts!$Z:$Z,Accounts!$C:$C,"Customer")+SUMIFS(Accounts!$AG:$AG,Accounts!$C:$C,"Customer") + SUMIFS(Accounts!$AL:$AL,Accounts!$C:$C,"Customer")</f>
        <v>0</v>
      </c>
      <c r="BI9" s="58">
        <f>SUMIFS(Accounts!$AE:$AE,Accounts!$C:$C,"Customer") + SUMIFS(Accounts!$AP:$AP,Accounts!$C:$C,"Customer")</f>
        <v>0</v>
      </c>
      <c r="BJ9" s="58">
        <f>SUMIFS(Accounts!$Z:$Z,Accounts!$C:$C,"Customer")</f>
        <v>0</v>
      </c>
      <c r="BK9" s="58">
        <f>SUMIFS(Accounts!$AG:$AG,Accounts!$C:$C,"Customer") + SUMIFS(Accounts!$AL:$AL,Accounts!$C:$C,"Customer")</f>
        <v>0</v>
      </c>
      <c r="BL9" s="58">
        <f>SUMIFS(Accounts!$AQ:$AQ,Accounts!$C:$C,"Customer")</f>
        <v>1</v>
      </c>
      <c r="CJ9" s="43"/>
      <c r="CM9" s="44"/>
      <c r="CS9" s="53"/>
      <c r="CT9" s="43"/>
      <c r="CU9" s="53" t="s">
        <v>71</v>
      </c>
      <c r="CV9" s="43" t="s">
        <v>167</v>
      </c>
      <c r="CW9" s="44">
        <f>COUNTIFS(Accounts!$AS:$AS, "Manufacturing (MWD)",Accounts!$C:$C,"Customer")</f>
        <v>0</v>
      </c>
      <c r="DV9" s="53"/>
      <c r="DW9" s="53" t="s">
        <v>71</v>
      </c>
      <c r="DX9" s="43" t="s">
        <v>167</v>
      </c>
      <c r="DY9" s="44">
        <f>COUNTIFS(Accounts!$AS:$AS, "Wholesale and distribution services (MWD)",Accounts!$C:$C,"Customer")</f>
        <v>0</v>
      </c>
      <c r="EX9" s="53"/>
      <c r="EY9" s="53" t="s">
        <v>71</v>
      </c>
      <c r="EZ9" s="43" t="s">
        <v>167</v>
      </c>
      <c r="FA9" s="44">
        <f>COUNTIFS(Accounts!$AS:$AS, "Construction",Accounts!$C:$C,"Customer")</f>
        <v>0</v>
      </c>
      <c r="FZ9" s="53"/>
      <c r="GA9" s="53" t="s">
        <v>71</v>
      </c>
      <c r="GB9" s="43" t="s">
        <v>167</v>
      </c>
      <c r="GC9" s="44">
        <f>COUNTIFS(Accounts!$AS:$AS, "Field Services",Accounts!$C:$C,"Customer")</f>
        <v>0</v>
      </c>
      <c r="HB9" s="53"/>
      <c r="HC9" s="53" t="s">
        <v>71</v>
      </c>
      <c r="HD9" s="43" t="s">
        <v>167</v>
      </c>
      <c r="HE9" s="44">
        <f>COUNTIFS(Accounts!$AS:$AS, "Consulting and Professional Services",Accounts!$C:$C,"Customer")</f>
        <v>0</v>
      </c>
      <c r="ID9" s="53"/>
      <c r="IE9" s="53" t="s">
        <v>71</v>
      </c>
      <c r="IF9" s="43" t="s">
        <v>167</v>
      </c>
      <c r="IG9" s="44">
        <f>COUNTIFS(Accounts!$AS:$AS, "Retail",Accounts!$C:$C,"Customer")</f>
        <v>0</v>
      </c>
      <c r="JF9" s="53"/>
      <c r="JG9" s="53" t="s">
        <v>71</v>
      </c>
      <c r="JH9" s="43" t="s">
        <v>167</v>
      </c>
      <c r="JI9" s="44">
        <f>COUNTIFS(Accounts!$AS:$AS, "Non-profit, govt or religious organization",Accounts!$C:$C,"Customer")</f>
        <v>0</v>
      </c>
      <c r="KH9" s="53"/>
      <c r="KI9" s="53" t="s">
        <v>71</v>
      </c>
      <c r="KJ9" s="43" t="s">
        <v>167</v>
      </c>
      <c r="KK9" s="44">
        <f>COUNTIFS(Accounts!$AS:$AS, "Communications, Entertainment and Media",Accounts!$C:$C,"Customer")</f>
        <v>0</v>
      </c>
      <c r="LJ9" s="53"/>
      <c r="LK9" s="53" t="s">
        <v>71</v>
      </c>
      <c r="LL9" s="43" t="s">
        <v>167</v>
      </c>
      <c r="LM9" s="44">
        <f>COUNTIFS(Accounts!$AS:$AS, "IT and computer related",Accounts!$C:$C,"Customer")</f>
        <v>0</v>
      </c>
      <c r="ML9" s="53"/>
      <c r="MM9" s="53" t="s">
        <v>71</v>
      </c>
      <c r="MN9" s="43" t="s">
        <v>167</v>
      </c>
      <c r="MO9" s="44">
        <f>COUNTIFS(Accounts!$AS:$AS, {"General service based","General"},Accounts!$C:$C,"Customer")</f>
        <v>0</v>
      </c>
      <c r="NN9" s="53"/>
      <c r="NO9" s="53" t="s">
        <v>71</v>
      </c>
      <c r="NP9" s="43" t="s">
        <v>167</v>
      </c>
      <c r="NQ9" s="44">
        <f>COUNTIFS(Accounts!$AS:$AS, "Other",Accounts!$C:$C,"Customer")</f>
        <v>0</v>
      </c>
      <c r="OP9" s="53"/>
      <c r="OQ9" s="53" t="s">
        <v>71</v>
      </c>
      <c r="OR9" s="43" t="s">
        <v>167</v>
      </c>
      <c r="OS9" s="44">
        <f>COUNTIFS(Accounts!$AS:$AS, "Accounting and Bookkeeping",Accounts!$C:$C,"Customer")</f>
        <v>1</v>
      </c>
      <c r="PR9" s="53"/>
      <c r="PS9" s="53"/>
      <c r="PT9" s="43"/>
    </row>
    <row r="10" spans="1:436" s="40" customFormat="1" ht="16" x14ac:dyDescent="0.2">
      <c r="B10" s="47" t="s">
        <v>272</v>
      </c>
      <c r="C10" s="46" t="e">
        <f>YEAR(C9)</f>
        <v>#VALUE!</v>
      </c>
      <c r="S10" s="43"/>
      <c r="T10" s="43"/>
      <c r="AZ10" s="54" t="s">
        <v>71</v>
      </c>
      <c r="BA10" s="43" t="s">
        <v>169</v>
      </c>
      <c r="BC10" s="44">
        <f>SUMPRODUCT(COUNTIFS(Accounts!$B:$B,{"Trialer","none"},Accounts!$C:$C,"Customer"))</f>
        <v>0</v>
      </c>
      <c r="BD10" s="58">
        <f>SUMPRODUCT(SUMIFS(Accounts!$AA:$AA,Accounts!$B:$B,{"Trialer","none"},Accounts!$C:$C,"Customer") +
SUMIFS(Accounts!$AH:$AH,Accounts!$B:$B,{"Trialer","none"},Accounts!$C:$C,"Customer") +
SUMIFS(Accounts!$AJ:$AJ,Accounts!$B:$B,{"Trialer","none"},Accounts!$C:$C,"Customer") +
SUMIFS(Accounts!$AI:$AI,Accounts!$B:$B,{"Trialer","none"},Accounts!$C:$C,"Customer") +
SUMIFS(Accounts!$AO:$AO,Accounts!$B:$B,{"Trialer","none"},Accounts!$C:$C,"Customer"))</f>
        <v>0</v>
      </c>
      <c r="BE10" s="58">
        <f>SUMPRODUCT(SUM((SUMIFS(Accounts!$AC:$AC,Accounts!$B:$B,{"Trialer","none"},Accounts!$C:$C,"Customer"))+SUM(SUMIFS(Accounts!$AF:$AF,Accounts!$B:$B,{"Trialer","none"},Accounts!$C:$C,"Customer"))+SUM(SUMIFS(Accounts!$AK:$AK,Accounts!$B:$B,{"Trialer","none"},Accounts!$C:$C,"Customer"))))</f>
        <v>0</v>
      </c>
      <c r="BF10" s="58">
        <f>SUMPRODUCT(SUMIFS(Accounts!$AB:$AB,Accounts!$B:$B,{"Trialer","none"},Accounts!$C:$C,"Customer"))</f>
        <v>0</v>
      </c>
      <c r="BG10" s="58">
        <f>SUMPRODUCT(SUMIFS(Accounts!$AD:$AD,Accounts!$B:$B,{"Trialer","none"},Accounts!$C:$C,"Customer")+SUMIFS(Accounts!$AM:$AM,Accounts!$B:$B,{"Trialer","none"},Accounts!$C:$C,"Customer")+SUMIFS(Accounts!$AN:$AN,Accounts!$B:$B,{"Trialer","none"},Accounts!$C:$C,"Customer"))</f>
        <v>0</v>
      </c>
      <c r="BH10" s="58">
        <f>SUMPRODUCT(SUMIFS(Accounts!$AE:$AE,Accounts!$B:$B,{"Trialer","none"},Accounts!$C:$C,"Customer")+SUMIFS(Accounts!$AP:$AP,Accounts!$B:$B,{"Trialer","none"},Accounts!$C:$C,"Customer")+SUMIFS(Accounts!$Z:$Z,Accounts!$B:$B,{"Trialer","none"},Accounts!$C:$C,"Customer")+SUMIFS(Accounts!$AG:$AG,Accounts!$B:$B,{"Trialer","none"},Accounts!$C:$C,"Customer")+SUMIFS(Accounts!$AL:$AL,Accounts!$B:$B,{"Trialer","none"},Accounts!$C:$C,"Customer"))</f>
        <v>0</v>
      </c>
      <c r="BI10" s="58">
        <f>SUMPRODUCT(SUMIFS(Accounts!$AE:$AE,Accounts!$B:$B,{"Trialer","none"},Accounts!$C:$C,"Customer")+SUMIFS(Accounts!$AP:$AP,Accounts!$B:$B,{"Trialer","none"},Accounts!$C:$C,"Customer"))</f>
        <v>0</v>
      </c>
      <c r="BJ10" s="58">
        <f>SUMPRODUCT(SUMIFS(Accounts!$Z:$Z,Accounts!$B:$B,{"Trialer","none"},Accounts!$C:$C,"Customer"))</f>
        <v>0</v>
      </c>
      <c r="BK10" s="58">
        <f>SUMPRODUCT(SUMIFS(Accounts!$AG:$AG,Accounts!$B:$B,{"Trialer","none"},Accounts!$C:$C,"Customer") + SUMIFS(Accounts!$AL:$AL,Accounts!$B:$B,{"Trialer","none"},Accounts!$C:$C,"Customer"))</f>
        <v>0</v>
      </c>
      <c r="BL10" s="58">
        <f>SUMPRODUCT(SUMIFS(Accounts!$AQ:$AQ,Accounts!$B:$B,{"Trialer","none"},Accounts!$C:$C,"Customer"))</f>
        <v>0</v>
      </c>
      <c r="CJ10" s="43"/>
      <c r="CS10" s="53"/>
      <c r="CT10" s="43"/>
      <c r="CU10" s="53" t="s">
        <v>71</v>
      </c>
      <c r="CV10" s="43" t="s">
        <v>169</v>
      </c>
      <c r="CW10" s="44">
        <f>SUMPRODUCT(COUNTIFS(Accounts!$AS:$AS,"Manufacturing (MWD)",Accounts!$B:$B,{"Trialer","none"},Accounts!$C:$C,"Customer"))</f>
        <v>0</v>
      </c>
      <c r="DV10" s="53"/>
      <c r="DW10" s="53" t="s">
        <v>71</v>
      </c>
      <c r="DX10" s="43" t="s">
        <v>169</v>
      </c>
      <c r="DY10" s="44">
        <f>SUMPRODUCT(COUNTIFS(Accounts!$AS:$AS,"Wholesale and distribution services (MWD)",Accounts!$B:$B,{"Trialer","none"},Accounts!$C:$C,"Customer"))</f>
        <v>0</v>
      </c>
      <c r="EX10" s="53"/>
      <c r="EY10" s="53" t="s">
        <v>71</v>
      </c>
      <c r="EZ10" s="43" t="s">
        <v>169</v>
      </c>
      <c r="FA10" s="44">
        <f>SUMPRODUCT(COUNTIFS(Accounts!$AS:$AS,"Construction",Accounts!$B:$B,{"Trialer","none"},Accounts!$C:$C,"Customer"))</f>
        <v>0</v>
      </c>
      <c r="FZ10" s="53"/>
      <c r="GA10" s="53" t="s">
        <v>71</v>
      </c>
      <c r="GB10" s="43" t="s">
        <v>169</v>
      </c>
      <c r="GC10" s="44">
        <f>SUMPRODUCT(COUNTIFS(Accounts!$AS:$AS,"Field Services",Accounts!$B:$B,{"Trialer","none"},Accounts!$C:$C,"Customer"))</f>
        <v>0</v>
      </c>
      <c r="HB10" s="53"/>
      <c r="HC10" s="53" t="s">
        <v>71</v>
      </c>
      <c r="HD10" s="43" t="s">
        <v>169</v>
      </c>
      <c r="HE10" s="44">
        <f>SUMPRODUCT(COUNTIFS(Accounts!$AS:$AS,"Consulting and Professional Services",Accounts!$B:$B,{"Trialer","none"},Accounts!$C:$C,"Customer"))</f>
        <v>0</v>
      </c>
      <c r="ID10" s="53"/>
      <c r="IE10" s="53" t="s">
        <v>71</v>
      </c>
      <c r="IF10" s="43" t="s">
        <v>169</v>
      </c>
      <c r="IG10" s="44">
        <f>SUMPRODUCT(COUNTIFS(Accounts!$AS:$AS,"Retail",Accounts!$B:$B,{"Trialer","none"},Accounts!$C:$C,"Customer"))</f>
        <v>0</v>
      </c>
      <c r="JF10" s="53"/>
      <c r="JG10" s="53" t="s">
        <v>71</v>
      </c>
      <c r="JH10" s="43" t="s">
        <v>169</v>
      </c>
      <c r="JI10" s="44">
        <f>SUMPRODUCT(COUNTIFS(Accounts!$AS:$AS,"Non-profit, govt or religious organization",Accounts!$B:$B,{"Trialer","none"},Accounts!$C:$C,"Customer"))</f>
        <v>0</v>
      </c>
      <c r="KH10" s="53"/>
      <c r="KI10" s="53" t="s">
        <v>71</v>
      </c>
      <c r="KJ10" s="43" t="s">
        <v>169</v>
      </c>
      <c r="KK10" s="44">
        <f>SUMPRODUCT(COUNTIFS(Accounts!$AS:$AS,"Communications, Entertainment and Media",Accounts!$B:$B,{"Trialer","none"},Accounts!$C:$C,"Customer"))</f>
        <v>0</v>
      </c>
      <c r="LJ10" s="53"/>
      <c r="LK10" s="53" t="s">
        <v>71</v>
      </c>
      <c r="LL10" s="43" t="s">
        <v>169</v>
      </c>
      <c r="LM10" s="44">
        <f>SUMPRODUCT(COUNTIFS(Accounts!$AS:$AS,"IT and computer related",Accounts!$B:$B,{"Trialer","none"},Accounts!$C:$C,"Customer"))</f>
        <v>0</v>
      </c>
      <c r="ML10" s="53"/>
      <c r="MM10" s="53" t="s">
        <v>71</v>
      </c>
      <c r="MN10" s="43" t="s">
        <v>169</v>
      </c>
      <c r="MO10" s="44">
        <f>SUMPRODUCT(COUNTIFS(Accounts!$AS:$AS,{"General service based","General"},Accounts!$B:$B,{"Trialer","none"},Accounts!$C:$C,"Customer"))</f>
        <v>0</v>
      </c>
      <c r="NN10" s="53"/>
      <c r="NO10" s="53" t="s">
        <v>71</v>
      </c>
      <c r="NP10" s="43" t="s">
        <v>169</v>
      </c>
      <c r="NQ10" s="44">
        <f>SUMPRODUCT(COUNTIFS(Accounts!$AS:$AS,"Other",Accounts!$B:$B,{"Trialer","none"},Accounts!$C:$C,"Customer"))</f>
        <v>0</v>
      </c>
      <c r="OP10" s="53"/>
      <c r="OQ10" s="53" t="s">
        <v>71</v>
      </c>
      <c r="OR10" s="43" t="s">
        <v>169</v>
      </c>
      <c r="OS10" s="44">
        <f>SUMPRODUCT(COUNTIFS(Accounts!$AS:$AS,"Accounting and Bookkeeping",Accounts!$B:$B,{"Trialer","none"},Accounts!$C:$C,"Customer"))</f>
        <v>0</v>
      </c>
      <c r="PR10" s="53"/>
      <c r="PS10" s="53"/>
      <c r="PT10" s="43"/>
    </row>
    <row r="11" spans="1:436" s="40" customFormat="1" ht="16" x14ac:dyDescent="0.2">
      <c r="B11" s="47" t="s">
        <v>273</v>
      </c>
      <c r="C11" s="46" t="e">
        <f>MONTH(C9)</f>
        <v>#VALUE!</v>
      </c>
      <c r="S11" s="43"/>
      <c r="T11" s="43"/>
      <c r="AZ11" s="54" t="s">
        <v>71</v>
      </c>
      <c r="BA11" s="43" t="s">
        <v>170</v>
      </c>
      <c r="BC11" s="44">
        <f>SUMPRODUCT(COUNTIFS(Accounts!$B:$B,{"Trialer","none"},Accounts!$C:$C,"Lost"))</f>
        <v>0</v>
      </c>
      <c r="BD11" s="58">
        <f>SUMPRODUCT(SUMIFS(Accounts!$AA:$AA,Accounts!$B:$B,{"Trialer","none"},Accounts!$C:$C,"Lost") + SUMIFS(Accounts!$AH:$AH,Accounts!$B:$B,{"Trialer","none"},Accounts!$C:$C,"Lost") + SUMIFS(Accounts!$AJ:$AJ,Accounts!$B:$B,{"Trialer","none"},Accounts!$C:$C,"Lost") + SUMIFS(Accounts!$AI:$AI,Accounts!$B:$B,{"Trialer","none"},Accounts!$C:$C,"Lost") + SUMIFS(Accounts!$AO:$AO,Accounts!$B:$B,{"Trialer","none"},Accounts!$C:$C,"Lost"))</f>
        <v>0</v>
      </c>
      <c r="BE11" s="58">
        <f>SUMPRODUCT(SUMIFS(Accounts!$AC:$AC,Accounts!$B:$B,{"Trialer","none"},Accounts!$C:$C,"Lost")+SUMIFS(Accounts!$AF:$AF,Accounts!$B:$B,{"Trialer","none"},Accounts!$C:$C,"Lost")+SUMIFS(Accounts!$AK:$AK,Accounts!$B:$B,{"Trialer","none"},Accounts!$C:$C,"Lost"))</f>
        <v>0</v>
      </c>
      <c r="BF11" s="58">
        <f>SUMPRODUCT(SUMIFS(Accounts!$AB:$AB,Accounts!$B:$B,{"Trialer","none"},Accounts!$C:$C,"Lost"))</f>
        <v>0</v>
      </c>
      <c r="BG11" s="58">
        <f>SUMPRODUCT(SUMIFS(Accounts!$AD:$AD,Accounts!$B:$B,{"Trialer","none"},Accounts!$C:$C,"Lost")+SUMIFS(Accounts!$AM:$AM,Accounts!$B:$B,{"Trialer","none"},Accounts!$C:$C,"Lost")+SUMIFS(Accounts!$AN:$AN,Accounts!$B:$B,{"Trialer","none"},Accounts!$C:$C,"Lost"))</f>
        <v>0</v>
      </c>
      <c r="BH11" s="58">
        <f>SUMPRODUCT(SUMIFS(Accounts!$AE:$AE,Accounts!$B:$B,{"Trialer","none"},Accounts!$C:$C,"Lost")+SUMIFS(Accounts!$AP:$AP,Accounts!$B:$B,{"Trialer","none"},Accounts!$C:$C,"Lost")+SUMIFS(Accounts!$Z:$Z,Accounts!$B:$B,{"Trialer","none"},Accounts!$C:$C,"Lost")+SUMIFS(Accounts!$AG:$AG,Accounts!$B:$B,{"Trialer","none"},Accounts!$C:$C,"Lost")+SUMIFS(Accounts!$AL:$AL,Accounts!$B:$B,{"Trialer","none"},Accounts!$C:$C,"Lost"))</f>
        <v>0</v>
      </c>
      <c r="BI11" s="58">
        <f>SUMPRODUCT(SUMIFS(Accounts!$AE:$AE,Accounts!$B:$B,{"Trialer","none"},Accounts!$C:$C,"Lost")+SUMIFS(Accounts!$AP:$AP,Accounts!$B:$B,{"Trialer","none"},Accounts!$C:$C,"Lost"))</f>
        <v>0</v>
      </c>
      <c r="BJ11" s="58">
        <f>SUMPRODUCT(SUMIFS(Accounts!$Z:$Z,Accounts!$B:$B,{"Trialer","none"},Accounts!$C:$C,"Lost"))</f>
        <v>0</v>
      </c>
      <c r="BK11" s="58">
        <f>SUMPRODUCT(SUMIFS(Accounts!$AG:$AG,Accounts!$B:$B,{"Trialer","none"},Accounts!$C:$C,"Lost")+SUMIFS(Accounts!$AL:$AL,Accounts!$B:$B,{"Trialer","none"},Accounts!$C:$C,"Lost"))</f>
        <v>0</v>
      </c>
      <c r="BL11" s="58">
        <f>SUMPRODUCT(SUMIFS(Accounts!$AQ:$AQ,Accounts!$B:$B,{"Trialer","none"},Accounts!$C:$C,"Lost"))</f>
        <v>0</v>
      </c>
      <c r="CJ11" s="43"/>
      <c r="CS11" s="53"/>
      <c r="CT11" s="43"/>
      <c r="CU11" s="53" t="s">
        <v>71</v>
      </c>
      <c r="CV11" s="43" t="s">
        <v>170</v>
      </c>
      <c r="CW11" s="44">
        <f>SUMPRODUCT(COUNTIFS(Accounts!$AS:$AS,"Manufacturing (MWD)",Accounts!$B:$B,{"Trialer","none"},Accounts!$C:$C,"Lost"))</f>
        <v>0</v>
      </c>
      <c r="DV11" s="53"/>
      <c r="DW11" s="53" t="s">
        <v>71</v>
      </c>
      <c r="DX11" s="43" t="s">
        <v>170</v>
      </c>
      <c r="DY11" s="44">
        <f>SUMPRODUCT(COUNTIFS(Accounts!$AS:$AS,"Wholesale and distribution services (MWD)",Accounts!$B:$B,{"Trialer","none"},Accounts!$C:$C,"Lost"))</f>
        <v>0</v>
      </c>
      <c r="EX11" s="53"/>
      <c r="EY11" s="53" t="s">
        <v>71</v>
      </c>
      <c r="EZ11" s="43" t="s">
        <v>170</v>
      </c>
      <c r="FA11" s="44">
        <f>SUMPRODUCT(COUNTIFS(Accounts!$AS:$AS,"Construction",Accounts!$B:$B,{"Trialer","none"},Accounts!$C:$C,"Lost"))</f>
        <v>0</v>
      </c>
      <c r="FZ11" s="53"/>
      <c r="GA11" s="53" t="s">
        <v>71</v>
      </c>
      <c r="GB11" s="43" t="s">
        <v>170</v>
      </c>
      <c r="GC11" s="44">
        <f>SUMPRODUCT(COUNTIFS(Accounts!$AS:$AS,"Field Services",Accounts!$B:$B,{"Trialer","none"},Accounts!$C:$C,"Lost"))</f>
        <v>0</v>
      </c>
      <c r="HB11" s="53"/>
      <c r="HC11" s="53" t="s">
        <v>71</v>
      </c>
      <c r="HD11" s="43" t="s">
        <v>170</v>
      </c>
      <c r="HE11" s="44">
        <f>SUMPRODUCT(COUNTIFS(Accounts!$AS:$AS,"Consulting and Professional Services",Accounts!$B:$B,{"Trialer","none"},Accounts!$C:$C,"Lost"))</f>
        <v>0</v>
      </c>
      <c r="ID11" s="53"/>
      <c r="IE11" s="53" t="s">
        <v>71</v>
      </c>
      <c r="IF11" s="43" t="s">
        <v>170</v>
      </c>
      <c r="IG11" s="44">
        <f>SUMPRODUCT(COUNTIFS(Accounts!$AS:$AS,"Retail",Accounts!$B:$B,{"Trialer","none"},Accounts!$C:$C,"Lost"))</f>
        <v>0</v>
      </c>
      <c r="JF11" s="53"/>
      <c r="JG11" s="53" t="s">
        <v>71</v>
      </c>
      <c r="JH11" s="43" t="s">
        <v>170</v>
      </c>
      <c r="JI11" s="44">
        <f>SUMPRODUCT(COUNTIFS(Accounts!$AS:$AS,"Non-profit, govt or religious organization",Accounts!$B:$B,{"Trialer","none"},Accounts!$C:$C,"Lost"))</f>
        <v>0</v>
      </c>
      <c r="KH11" s="53"/>
      <c r="KI11" s="53" t="s">
        <v>71</v>
      </c>
      <c r="KJ11" s="43" t="s">
        <v>170</v>
      </c>
      <c r="KK11" s="44">
        <f>SUMPRODUCT(COUNTIFS(Accounts!$AS:$AS,"Communications, Entertainment and Media",Accounts!$B:$B,{"Trialer","none"},Accounts!$C:$C,"Lost"))</f>
        <v>0</v>
      </c>
      <c r="LJ11" s="53"/>
      <c r="LK11" s="53" t="s">
        <v>71</v>
      </c>
      <c r="LL11" s="43" t="s">
        <v>170</v>
      </c>
      <c r="LM11" s="44">
        <f>SUMPRODUCT(COUNTIFS(Accounts!$AS:$AS,"IT and computer related",Accounts!$B:$B,{"Trialer","none"},Accounts!$C:$C,"Lost"))</f>
        <v>0</v>
      </c>
      <c r="ML11" s="53"/>
      <c r="MM11" s="53" t="s">
        <v>71</v>
      </c>
      <c r="MN11" s="43" t="s">
        <v>170</v>
      </c>
      <c r="MO11" s="44">
        <f>SUMPRODUCT(COUNTIFS(Accounts!$AS:$AS,{"General service based","General"},Accounts!$B:$B,{"Trialer","none"},Accounts!$C:$C,"Lost"))</f>
        <v>0</v>
      </c>
      <c r="NN11" s="53"/>
      <c r="NO11" s="53" t="s">
        <v>71</v>
      </c>
      <c r="NP11" s="43" t="s">
        <v>170</v>
      </c>
      <c r="NQ11" s="44">
        <f>SUMPRODUCT(COUNTIFS(Accounts!$AS:$AS,"Other",Accounts!$B:$B,{"Trialer","none"},Accounts!$C:$C,"Lost"))</f>
        <v>0</v>
      </c>
      <c r="OP11" s="53"/>
      <c r="OQ11" s="53" t="s">
        <v>71</v>
      </c>
      <c r="OR11" s="43" t="s">
        <v>170</v>
      </c>
      <c r="OS11" s="44">
        <f>SUMPRODUCT(COUNTIFS(Accounts!$AS:$AS,"Accounting and Bookkeeping",Accounts!$B:$B,{"Trialer","none"},Accounts!$C:$C,"Lost"))</f>
        <v>0</v>
      </c>
      <c r="PR11" s="53"/>
      <c r="PS11" s="53"/>
      <c r="PT11" s="43"/>
    </row>
    <row r="12" spans="1:436" s="40" customFormat="1" ht="16" x14ac:dyDescent="0.2">
      <c r="B12" s="43" t="s">
        <v>569</v>
      </c>
      <c r="C12" s="42" t="e">
        <f>EOMONTH($B$2,-2)</f>
        <v>#VALUE!</v>
      </c>
      <c r="BC12" s="44"/>
      <c r="BD12" s="44"/>
      <c r="BE12" s="44"/>
      <c r="BF12" s="44"/>
      <c r="BG12" s="44"/>
      <c r="BH12" s="44"/>
      <c r="BI12" s="44"/>
      <c r="BJ12" s="44"/>
      <c r="BK12" s="44"/>
      <c r="BL12" s="44"/>
    </row>
    <row r="13" spans="1:436" s="40" customFormat="1" ht="16" x14ac:dyDescent="0.2">
      <c r="B13" s="47" t="s">
        <v>272</v>
      </c>
      <c r="C13" s="46" t="e">
        <f>YEAR(C12)</f>
        <v>#VALUE!</v>
      </c>
      <c r="T13" s="43"/>
      <c r="BA13" s="43" t="s">
        <v>173</v>
      </c>
      <c r="BB13" s="40" t="s">
        <v>174</v>
      </c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CU13" s="53" t="s">
        <v>70</v>
      </c>
      <c r="CV13" s="43" t="s">
        <v>175</v>
      </c>
      <c r="CW13" s="44" t="e">
        <f>IF(CW$3=0,120,1/CW$3)</f>
        <v>#VALUE!</v>
      </c>
      <c r="DV13" s="53"/>
      <c r="DW13" s="53" t="s">
        <v>70</v>
      </c>
      <c r="DX13" s="43" t="s">
        <v>175</v>
      </c>
      <c r="DY13" s="44" t="e">
        <f>IF(DY$3=0,120,1/DY$3)</f>
        <v>#VALUE!</v>
      </c>
      <c r="EX13" s="53"/>
      <c r="EY13" s="53" t="s">
        <v>70</v>
      </c>
      <c r="EZ13" s="43" t="s">
        <v>175</v>
      </c>
      <c r="FA13" s="44" t="e">
        <f>IF(FA$3=0,120,1/FA$3)</f>
        <v>#VALUE!</v>
      </c>
      <c r="FZ13" s="53"/>
      <c r="GA13" s="53" t="s">
        <v>70</v>
      </c>
      <c r="GB13" s="43" t="s">
        <v>175</v>
      </c>
      <c r="GC13" s="44" t="e">
        <f>IF(GC$3=0,120,1/GC$3)</f>
        <v>#VALUE!</v>
      </c>
      <c r="HB13" s="53"/>
      <c r="HC13" s="53" t="s">
        <v>70</v>
      </c>
      <c r="HD13" s="43" t="s">
        <v>175</v>
      </c>
      <c r="HE13" s="44" t="e">
        <f>IF(HE$3=0,120,1/HE$3)</f>
        <v>#VALUE!</v>
      </c>
      <c r="ID13" s="53"/>
      <c r="IE13" s="53" t="s">
        <v>70</v>
      </c>
      <c r="IF13" s="43" t="s">
        <v>175</v>
      </c>
      <c r="IG13" s="44" t="e">
        <f>IF(IG$3=0,120,1/IG$3)</f>
        <v>#VALUE!</v>
      </c>
      <c r="JF13" s="53"/>
      <c r="JG13" s="53" t="s">
        <v>70</v>
      </c>
      <c r="JH13" s="43" t="s">
        <v>175</v>
      </c>
      <c r="JI13" s="44" t="e">
        <f>IF(JI$3=0,120,1/JI$3)</f>
        <v>#VALUE!</v>
      </c>
      <c r="KH13" s="53"/>
      <c r="KI13" s="53" t="s">
        <v>70</v>
      </c>
      <c r="KJ13" s="43" t="s">
        <v>175</v>
      </c>
      <c r="KK13" s="44" t="e">
        <f>IF(KK$3=0,120,1/KK$3)</f>
        <v>#VALUE!</v>
      </c>
      <c r="LJ13" s="53"/>
      <c r="LK13" s="53" t="s">
        <v>70</v>
      </c>
      <c r="LL13" s="43" t="s">
        <v>175</v>
      </c>
      <c r="LM13" s="44" t="e">
        <f>IF(LM$3=0,120,1/LM$3)</f>
        <v>#VALUE!</v>
      </c>
      <c r="ML13" s="53"/>
      <c r="MM13" s="53" t="s">
        <v>70</v>
      </c>
      <c r="MN13" s="43" t="s">
        <v>175</v>
      </c>
      <c r="MO13" s="44" t="e">
        <f>IF(MO$3=0,120,1/MO$3)</f>
        <v>#VALUE!</v>
      </c>
      <c r="NN13" s="53"/>
      <c r="NO13" s="53" t="s">
        <v>70</v>
      </c>
      <c r="NP13" s="43" t="s">
        <v>175</v>
      </c>
      <c r="NQ13" s="44" t="e">
        <f>IF(NQ$3=0,120,1/NQ$3)</f>
        <v>#VALUE!</v>
      </c>
      <c r="OP13" s="53"/>
      <c r="OQ13" s="53" t="s">
        <v>70</v>
      </c>
      <c r="OR13" s="43" t="s">
        <v>175</v>
      </c>
      <c r="OS13" s="44" t="e">
        <f>IF(OS$3=0,120,1/OS$3)</f>
        <v>#VALUE!</v>
      </c>
      <c r="PR13" s="53"/>
      <c r="PS13" s="53"/>
      <c r="PT13" s="43"/>
    </row>
    <row r="14" spans="1:436" s="40" customFormat="1" ht="16" x14ac:dyDescent="0.2">
      <c r="B14" s="47" t="s">
        <v>273</v>
      </c>
      <c r="C14" s="46" t="e">
        <f>MONTH(C12)</f>
        <v>#VALUE!</v>
      </c>
      <c r="BC14" s="44"/>
      <c r="BD14" s="44"/>
      <c r="BE14" s="44" t="s">
        <v>163</v>
      </c>
      <c r="BF14" s="44"/>
      <c r="BG14" s="44"/>
      <c r="BH14" s="44"/>
      <c r="BI14" s="44"/>
      <c r="BJ14" s="44"/>
      <c r="BK14" s="44"/>
      <c r="BL14" s="44"/>
      <c r="CU14" s="53" t="s">
        <v>70</v>
      </c>
      <c r="CV14" s="43" t="s">
        <v>166</v>
      </c>
      <c r="CW14" s="44">
        <f>COUNTIFS(Accounts!$AS:$AS, "Manufacturing (MWD)",Accounts!$B:$B,"Customer",Accounts!$E:$E,"QBO")</f>
        <v>0</v>
      </c>
      <c r="DV14" s="53"/>
      <c r="DW14" s="53" t="s">
        <v>70</v>
      </c>
      <c r="DX14" s="43" t="s">
        <v>166</v>
      </c>
      <c r="DY14" s="44">
        <f>COUNTIFS(Accounts!$AS:$AS, "Wholesale and distribution services (MWD)",Accounts!$B:$B,"Customer",Accounts!$E:$E,"QBO")</f>
        <v>0</v>
      </c>
      <c r="EX14" s="53"/>
      <c r="EY14" s="53" t="s">
        <v>70</v>
      </c>
      <c r="EZ14" s="43" t="s">
        <v>166</v>
      </c>
      <c r="FA14" s="44">
        <f>COUNTIFS(Accounts!$AS:$AS, "Construction",Accounts!$B:$B,"Customer",Accounts!$E:$E,"QBO")</f>
        <v>0</v>
      </c>
      <c r="FZ14" s="53"/>
      <c r="GA14" s="53" t="s">
        <v>70</v>
      </c>
      <c r="GB14" s="43" t="s">
        <v>166</v>
      </c>
      <c r="GC14" s="44">
        <f>COUNTIFS(Accounts!$AS:$AS, "Field Services",Accounts!$B:$B,"Customer",Accounts!$E:$E,"QBO")</f>
        <v>0</v>
      </c>
      <c r="HB14" s="53"/>
      <c r="HC14" s="53" t="s">
        <v>70</v>
      </c>
      <c r="HD14" s="43" t="s">
        <v>166</v>
      </c>
      <c r="HE14" s="44">
        <f>COUNTIFS(Accounts!$AS:$AS, "Consulting and Professional Services",Accounts!$B:$B,"Customer",Accounts!$E:$E,"QBO")</f>
        <v>0</v>
      </c>
      <c r="ID14" s="53"/>
      <c r="IE14" s="53" t="s">
        <v>70</v>
      </c>
      <c r="IF14" s="43" t="s">
        <v>166</v>
      </c>
      <c r="IG14" s="44">
        <f>COUNTIFS(Accounts!$AS:$AS, "Retail",Accounts!$B:$B,"Customer",Accounts!$E:$E,"QBO")</f>
        <v>0</v>
      </c>
      <c r="JF14" s="53"/>
      <c r="JG14" s="53" t="s">
        <v>70</v>
      </c>
      <c r="JH14" s="43" t="s">
        <v>166</v>
      </c>
      <c r="JI14" s="44">
        <f>COUNTIFS(Accounts!$AS:$AS, "Non-profit, govt or religious organization",Accounts!$B:$B,"Customer",Accounts!$E:$E,"QBO")</f>
        <v>0</v>
      </c>
      <c r="KH14" s="53"/>
      <c r="KI14" s="53" t="s">
        <v>70</v>
      </c>
      <c r="KJ14" s="43" t="s">
        <v>166</v>
      </c>
      <c r="KK14" s="44">
        <f>COUNTIFS(Accounts!$AS:$AS, "Communications, Entertainment and Media",Accounts!$B:$B,"Customer",Accounts!$E:$E,"QBO")</f>
        <v>0</v>
      </c>
      <c r="LJ14" s="53"/>
      <c r="LK14" s="53" t="s">
        <v>70</v>
      </c>
      <c r="LL14" s="43" t="s">
        <v>166</v>
      </c>
      <c r="LM14" s="44">
        <f>COUNTIFS(Accounts!$AS:$AS, "IT and computer related",Accounts!$B:$B,"Customer",Accounts!$E:$E,"QBO")</f>
        <v>0</v>
      </c>
      <c r="ML14" s="53"/>
      <c r="MM14" s="53" t="s">
        <v>70</v>
      </c>
      <c r="MN14" s="43" t="s">
        <v>166</v>
      </c>
      <c r="MO14" s="44">
        <f>COUNTIFS(Accounts!$AS:$AS, {"General service based","General"},Accounts!$B:$B,"Customer",Accounts!$E:$E,"QBO")</f>
        <v>0</v>
      </c>
      <c r="NN14" s="53"/>
      <c r="NO14" s="53" t="s">
        <v>70</v>
      </c>
      <c r="NP14" s="43" t="s">
        <v>166</v>
      </c>
      <c r="NQ14" s="44">
        <f>COUNTIFS(Accounts!$AS:$AS, "Other",Accounts!$B:$B,"Customer",Accounts!$E:$E,"QBO")</f>
        <v>0</v>
      </c>
      <c r="OP14" s="53"/>
      <c r="OQ14" s="53" t="s">
        <v>70</v>
      </c>
      <c r="OR14" s="43" t="s">
        <v>166</v>
      </c>
      <c r="OS14" s="44">
        <f>COUNTIFS(Accounts!$AS:$AS, "Accounting and Bookkeeping",Accounts!$B:$B,"Customer",Accounts!$E:$E,"QBO")</f>
        <v>0</v>
      </c>
      <c r="PR14" s="53"/>
      <c r="PS14" s="53"/>
      <c r="PT14" s="43"/>
    </row>
    <row r="15" spans="1:436" s="31" customFormat="1" ht="16" x14ac:dyDescent="0.2">
      <c r="B15" s="43" t="s">
        <v>568</v>
      </c>
      <c r="C15" s="42" t="e">
        <f>EOMONTH($B$2,-3)</f>
        <v>#VALUE!</v>
      </c>
      <c r="E15" s="34"/>
      <c r="AY15" s="63"/>
      <c r="AZ15" s="53" t="s">
        <v>70</v>
      </c>
      <c r="BA15" s="43" t="s">
        <v>175</v>
      </c>
      <c r="BB15" s="40"/>
      <c r="BC15" s="44" t="e">
        <f>IF($BC$3&lt;0.005,120,1/$BC$3)</f>
        <v>#VALUE!</v>
      </c>
      <c r="BD15" s="44" t="e">
        <f>IF($BD$3&lt;0.005,120,1/$BD$3)</f>
        <v>#VALUE!</v>
      </c>
      <c r="BE15" s="44" t="e">
        <f>IF($BE$3&lt;0.005,120,1/$BE$3)</f>
        <v>#VALUE!</v>
      </c>
      <c r="BF15" s="44" t="e">
        <f>IF($BF$3&lt;0.005,120,1/$BF$3)</f>
        <v>#VALUE!</v>
      </c>
      <c r="BG15" s="44" t="e">
        <f>IF($BG$3&lt;0.005,120,1/$BG$3)</f>
        <v>#VALUE!</v>
      </c>
      <c r="BH15" s="44" t="e">
        <f>IF($BH$3&lt;0.005,120,1/$BH$3)</f>
        <v>#VALUE!</v>
      </c>
      <c r="BI15" s="44" t="e">
        <f>IF($BI$3&lt;0.005,120,1/$BI$3)</f>
        <v>#VALUE!</v>
      </c>
      <c r="BJ15" s="44" t="e">
        <f>IF($BJ$3&lt;0.005,120,1/$BJ$3)</f>
        <v>#VALUE!</v>
      </c>
      <c r="BK15" s="44" t="e">
        <f>IF($BK$3&lt;0.005,120,1/$BK$3)</f>
        <v>#VALUE!</v>
      </c>
      <c r="BL15" s="44" t="e">
        <f>IF($BL$3&lt;0.005,120,1/$BL$3)</f>
        <v>#VALUE!</v>
      </c>
      <c r="CU15" s="53" t="s">
        <v>70</v>
      </c>
      <c r="CV15" s="43" t="s">
        <v>168</v>
      </c>
      <c r="CW15" s="44">
        <f>COUNTIFS(Accounts!$AS:$AS, "Manufacturing (MWD)",Accounts!$B:$B,"Customer",Accounts!$C:$C,"Lost",Accounts!$E:$E,"QBO")</f>
        <v>0</v>
      </c>
      <c r="DV15" s="49"/>
      <c r="DW15" s="53" t="s">
        <v>70</v>
      </c>
      <c r="DX15" s="43" t="s">
        <v>168</v>
      </c>
      <c r="DY15" s="44">
        <f>COUNTIFS(Accounts!$AS:$AS, "Wholesale and distribution services (MWD)",Accounts!$B:$B,"Customer",Accounts!$C:$C,"Lost",Accounts!$E:$E,"QBO")</f>
        <v>0</v>
      </c>
      <c r="EX15" s="49"/>
      <c r="EY15" s="53" t="s">
        <v>70</v>
      </c>
      <c r="EZ15" s="43" t="s">
        <v>168</v>
      </c>
      <c r="FA15" s="44">
        <f>COUNTIFS(Accounts!$AS:$AS, "Construction",Accounts!$B:$B,"Customer",Accounts!$C:$C,"Lost",Accounts!$E:$E,"QBO")</f>
        <v>0</v>
      </c>
      <c r="FZ15" s="49"/>
      <c r="GA15" s="53" t="s">
        <v>70</v>
      </c>
      <c r="GB15" s="43" t="s">
        <v>168</v>
      </c>
      <c r="GC15" s="44">
        <f>COUNTIFS(Accounts!$AS:$AS, "Field Services",Accounts!$B:$B,"Customer",Accounts!$C:$C,"Lost",Accounts!$E:$E,"QBO")</f>
        <v>0</v>
      </c>
      <c r="HB15" s="49"/>
      <c r="HC15" s="53" t="s">
        <v>70</v>
      </c>
      <c r="HD15" s="43" t="s">
        <v>168</v>
      </c>
      <c r="HE15" s="44">
        <f>COUNTIFS(Accounts!$AS:$AS, "Consulting and Professional Services",Accounts!$B:$B,"Customer",Accounts!$C:$C,"Lost",Accounts!$E:$E,"QBO")</f>
        <v>0</v>
      </c>
      <c r="ID15" s="49"/>
      <c r="IE15" s="53" t="s">
        <v>70</v>
      </c>
      <c r="IF15" s="43" t="s">
        <v>168</v>
      </c>
      <c r="IG15" s="44">
        <f>COUNTIFS(Accounts!$AS:$AS, "Retail",Accounts!$B:$B,"Customer",Accounts!$C:$C,"Lost",Accounts!$E:$E,"QBO")</f>
        <v>0</v>
      </c>
      <c r="JF15" s="49"/>
      <c r="JG15" s="53" t="s">
        <v>70</v>
      </c>
      <c r="JH15" s="43" t="s">
        <v>168</v>
      </c>
      <c r="JI15" s="44">
        <f>COUNTIFS(Accounts!$AS:$AS, "Non-profit, govt or religious organization",Accounts!$B:$B,"Customer",Accounts!$C:$C,"Lost",Accounts!$E:$E,"QBO")</f>
        <v>0</v>
      </c>
      <c r="KH15" s="49"/>
      <c r="KI15" s="53" t="s">
        <v>70</v>
      </c>
      <c r="KJ15" s="43" t="s">
        <v>168</v>
      </c>
      <c r="KK15" s="44">
        <f>COUNTIFS(Accounts!$AS:$AS, "Communications, Entertainment and Media",Accounts!$B:$B,"Customer",Accounts!$C:$C,"Lost",Accounts!$E:$E,"QBO")</f>
        <v>0</v>
      </c>
      <c r="LJ15" s="49"/>
      <c r="LK15" s="53" t="s">
        <v>70</v>
      </c>
      <c r="LL15" s="43" t="s">
        <v>168</v>
      </c>
      <c r="LM15" s="44">
        <f>COUNTIFS(Accounts!$AS:$AS, "IT and computer related",Accounts!$B:$B,"Customer",Accounts!$C:$C,"Lost",Accounts!$E:$E,"QBO")</f>
        <v>0</v>
      </c>
      <c r="ML15" s="49"/>
      <c r="MM15" s="53" t="s">
        <v>70</v>
      </c>
      <c r="MN15" s="43" t="s">
        <v>168</v>
      </c>
      <c r="MO15" s="44">
        <f>COUNTIFS(Accounts!$AS:$AS, {"General service based","General"},Accounts!$B:$B,"Customer",Accounts!$C:$C,"Lost",Accounts!$E:$E,"QBO")</f>
        <v>0</v>
      </c>
      <c r="NN15" s="49"/>
      <c r="NO15" s="53" t="s">
        <v>70</v>
      </c>
      <c r="NP15" s="43" t="s">
        <v>168</v>
      </c>
      <c r="NQ15" s="44">
        <f>COUNTIFS(Accounts!$AS:$AS, "Other",Accounts!$B:$B,"Customer",Accounts!$C:$C,"Lost",Accounts!$E:$E,"QBO")</f>
        <v>0</v>
      </c>
      <c r="OP15" s="49"/>
      <c r="OQ15" s="53" t="s">
        <v>70</v>
      </c>
      <c r="OR15" s="43" t="s">
        <v>168</v>
      </c>
      <c r="OS15" s="44">
        <f>COUNTIFS(Accounts!$AS:$AS, "Accounting and Bookkeeping",Accounts!$B:$B,"Customer",Accounts!$C:$C,"Lost",Accounts!$E:$E,"QBO")</f>
        <v>0</v>
      </c>
      <c r="PR15" s="49"/>
      <c r="PS15" s="49"/>
      <c r="PT15" s="57"/>
    </row>
    <row r="16" spans="1:436" s="31" customFormat="1" ht="16" x14ac:dyDescent="0.2">
      <c r="B16" s="47" t="s">
        <v>272</v>
      </c>
      <c r="C16" s="46" t="e">
        <f>YEAR(C15)</f>
        <v>#VALUE!</v>
      </c>
      <c r="E16" s="36"/>
      <c r="H16" s="50"/>
      <c r="J16" s="59"/>
      <c r="AT16" s="62"/>
      <c r="AZ16" s="53" t="s">
        <v>70</v>
      </c>
      <c r="BA16" s="43" t="s">
        <v>166</v>
      </c>
      <c r="BB16" s="40"/>
      <c r="BC16" s="44">
        <f>COUNTIFS(Accounts!$B:$B,"Customer",Accounts!$E:$E,"QBO")</f>
        <v>0</v>
      </c>
      <c r="BD16" s="58">
        <f>SUMIFS(Accounts!$AA:$AA,Accounts!$B:$B,"Customer",Accounts!$E:$E,"QBO") + SUMIFS(Accounts!$AH:$AH,Accounts!$B:$B,"Customer",Accounts!$E:$E,"QBO") + SUMIFS(Accounts!$AJ:$AJ,Accounts!$B:$B,"Customer",Accounts!$E:$E,"QBO") + SUMIFS(Accounts!$AI:$AI,Accounts!$B:$B,"Customer",Accounts!$E:$E,"QBO") + SUMIFS(Accounts!$AO:$AO,Accounts!$B:$B,"Customer",Accounts!$E:$E,"QBO")</f>
        <v>0</v>
      </c>
      <c r="BE16" s="58">
        <f>(SUMIFS(Accounts!$AC:$AC,Accounts!$B:$B,"Customer",Accounts!$E:$E,"QBO")+SUMIFS(Accounts!$AF:$AF,Accounts!$B:$B,"Customer",Accounts!$E:$E,"QBO")+SUMIFS(Accounts!$AK:$AK,Accounts!$B:$B,"Customer",Accounts!$E:$E,"QBO"))</f>
        <v>0</v>
      </c>
      <c r="BF16" s="58">
        <f>SUMIFS(Accounts!$AB:$AB,Accounts!$B:$B,"Customer",Accounts!$E:$E,"QBO")</f>
        <v>0</v>
      </c>
      <c r="BG16" s="58">
        <f>SUMIFS(Accounts!$AD:$AD,Accounts!$B:$B,"Customer",Accounts!$E:$E,"QBO")+SUMIFS(Accounts!$AM:$AM,Accounts!$B:$B,"Customer",Accounts!$E:$E,"QBO")+SUMIFS(Accounts!$AN:$AN,Accounts!$B:$B,"Customer",Accounts!$E:$E,"QBO")</f>
        <v>0</v>
      </c>
      <c r="BH16" s="58">
        <f>SUMIFS(Accounts!$AE:$AE,Accounts!$B:$B,"Customer",Accounts!$E:$E,"QBO") + SUMIFS(Accounts!$AP:$AP,Accounts!$B:$B,"Customer",Accounts!$E:$E,"QBO")+SUMIFS(Accounts!$Z:$Z,Accounts!$B:$B,"Customer",Accounts!$E:$E,"QBO")+SUMIFS(Accounts!$AG:$AG,Accounts!$B:$B,"Customer",Accounts!$E:$E,"QBO") + SUMIFS(Accounts!$AL:$AL,Accounts!$B:$B,"Customer",Accounts!$E:$E,"QBO")</f>
        <v>0</v>
      </c>
      <c r="BI16" s="58">
        <f>SUMIFS(Accounts!$AE:$AE,Accounts!$B:$B,"Customer",Accounts!$E:$E,"QBO") + SUMIFS(Accounts!$AP:$AP,Accounts!$B:$B,"Customer",Accounts!$E:$E,"QBO")</f>
        <v>0</v>
      </c>
      <c r="BJ16" s="58">
        <f>SUMIFS(Accounts!$Z:$Z,Accounts!$B:$B,"Customer",Accounts!$E:$E,"QBO")</f>
        <v>0</v>
      </c>
      <c r="BK16" s="58">
        <f>SUMIFS(Accounts!$AG:$AG,Accounts!$B:$B,"Customer",Accounts!$E:$E,"QBO") + SUMIFS(Accounts!$AL:$AL,Accounts!$B:$B,"Customer",Accounts!$E:$E,"QBO")</f>
        <v>0</v>
      </c>
      <c r="BL16" s="58">
        <f>SUMIFS(Accounts!$AQ:$AQ,Accounts!$B:$B,"Customer",Accounts!$E:$E,"QBO")</f>
        <v>0</v>
      </c>
      <c r="CU16" s="53" t="s">
        <v>70</v>
      </c>
      <c r="CV16" s="43" t="s">
        <v>167</v>
      </c>
      <c r="CW16" s="44">
        <f>COUNTIFS(Accounts!$AS:$AS, "Manufacturing (MWD)",Accounts!$C:$C,"Customer",Accounts!$E:$E,"QBO")</f>
        <v>0</v>
      </c>
      <c r="DV16" s="49"/>
      <c r="DW16" s="53" t="s">
        <v>70</v>
      </c>
      <c r="DX16" s="43" t="s">
        <v>167</v>
      </c>
      <c r="DY16" s="44">
        <f>COUNTIFS(Accounts!$AS:$AS, "Wholesale and distribution services (MWD)",Accounts!$C:$C,"Customer",Accounts!$E:$E,"QBO")</f>
        <v>0</v>
      </c>
      <c r="EX16" s="49"/>
      <c r="EY16" s="53" t="s">
        <v>70</v>
      </c>
      <c r="EZ16" s="43" t="s">
        <v>167</v>
      </c>
      <c r="FA16" s="44">
        <f>COUNTIFS(Accounts!$AS:$AS, "Construction",Accounts!$C:$C,"Customer",Accounts!$E:$E,"QBO")</f>
        <v>0</v>
      </c>
      <c r="FZ16" s="49"/>
      <c r="GA16" s="53" t="s">
        <v>70</v>
      </c>
      <c r="GB16" s="43" t="s">
        <v>167</v>
      </c>
      <c r="GC16" s="44">
        <f>COUNTIFS(Accounts!$AS:$AS, "Field Services",Accounts!$C:$C,"Customer",Accounts!$E:$E,"QBO")</f>
        <v>0</v>
      </c>
      <c r="HB16" s="49"/>
      <c r="HC16" s="53" t="s">
        <v>70</v>
      </c>
      <c r="HD16" s="43" t="s">
        <v>167</v>
      </c>
      <c r="HE16" s="44">
        <f>COUNTIFS(Accounts!$AS:$AS, "Consulting and Professional Services",Accounts!$C:$C,"Customer",Accounts!$E:$E,"QBO")</f>
        <v>0</v>
      </c>
      <c r="ID16" s="49"/>
      <c r="IE16" s="53" t="s">
        <v>70</v>
      </c>
      <c r="IF16" s="43" t="s">
        <v>167</v>
      </c>
      <c r="IG16" s="44">
        <f>COUNTIFS(Accounts!$AS:$AS, "Retail",Accounts!$C:$C,"Customer",Accounts!$E:$E,"QBO")</f>
        <v>0</v>
      </c>
      <c r="JF16" s="49"/>
      <c r="JG16" s="53" t="s">
        <v>70</v>
      </c>
      <c r="JH16" s="43" t="s">
        <v>167</v>
      </c>
      <c r="JI16" s="44">
        <f>COUNTIFS(Accounts!$AS:$AS, "Non-profit, govt or religious organization",Accounts!$C:$C,"Customer",Accounts!$E:$E,"QBO")</f>
        <v>0</v>
      </c>
      <c r="KH16" s="49"/>
      <c r="KI16" s="53" t="s">
        <v>70</v>
      </c>
      <c r="KJ16" s="43" t="s">
        <v>167</v>
      </c>
      <c r="KK16" s="44">
        <f>COUNTIFS(Accounts!$AS:$AS, "Communications, Entertainment and Media",Accounts!$C:$C,"Customer",Accounts!$E:$E,"QBO")</f>
        <v>0</v>
      </c>
      <c r="LJ16" s="49"/>
      <c r="LK16" s="53" t="s">
        <v>70</v>
      </c>
      <c r="LL16" s="43" t="s">
        <v>167</v>
      </c>
      <c r="LM16" s="44">
        <f>COUNTIFS(Accounts!$AS:$AS, "IT and computer related",Accounts!$C:$C,"Customer",Accounts!$E:$E,"QBO")</f>
        <v>0</v>
      </c>
      <c r="ML16" s="49"/>
      <c r="MM16" s="53" t="s">
        <v>70</v>
      </c>
      <c r="MN16" s="43" t="s">
        <v>167</v>
      </c>
      <c r="MO16" s="44">
        <f>COUNTIFS(Accounts!$AS:$AS, {"General service based","General"},Accounts!$C:$C,"Customer",Accounts!$E:$E,"QBO")</f>
        <v>0</v>
      </c>
      <c r="NN16" s="49"/>
      <c r="NO16" s="53" t="s">
        <v>70</v>
      </c>
      <c r="NP16" s="43" t="s">
        <v>167</v>
      </c>
      <c r="NQ16" s="44">
        <f>COUNTIFS(Accounts!$AS:$AS, "Other",Accounts!$C:$C,"Customer",Accounts!$E:$E,"QBO")</f>
        <v>0</v>
      </c>
      <c r="OP16" s="49"/>
      <c r="OQ16" s="53" t="s">
        <v>70</v>
      </c>
      <c r="OR16" s="43" t="s">
        <v>167</v>
      </c>
      <c r="OS16" s="44">
        <f>COUNTIFS(Accounts!$AS:$AS, "Accounting and Bookkeeping",Accounts!$C:$C,"Customer",Accounts!$E:$E,"QBO")</f>
        <v>0</v>
      </c>
      <c r="PR16" s="49"/>
      <c r="PS16" s="49"/>
      <c r="PT16" s="57"/>
    </row>
    <row r="17" spans="2:436" s="31" customFormat="1" ht="16" x14ac:dyDescent="0.2">
      <c r="B17" s="47" t="s">
        <v>273</v>
      </c>
      <c r="C17" s="46" t="e">
        <f>MONTH(C15)</f>
        <v>#VALUE!</v>
      </c>
      <c r="AZ17" s="53" t="s">
        <v>70</v>
      </c>
      <c r="BA17" s="43" t="s">
        <v>168</v>
      </c>
      <c r="BB17" s="40"/>
      <c r="BC17" s="44">
        <f>COUNTIFS(Accounts!$B:$B,"Customer",Accounts!$C:$C,"Lost",Accounts!$E:$E,"QBO")</f>
        <v>0</v>
      </c>
      <c r="BD17" s="58">
        <f>SUMIFS(Accounts!$AA:$AA,Accounts!$B:$B,"Customer",Accounts!$C:$C,"Lost",Accounts!$E:$E,"QBO") + SUMIFS(Accounts!$AH:$AH,Accounts!$B:$B,"Customer",Accounts!$C:$C,"Lost",Accounts!$E:$E,"QBO") + SUMIFS(Accounts!$AJ:$AJ,Accounts!$B:$B,"Customer",Accounts!$C:$C,"Lost",Accounts!$E:$E,"QBO") + SUMIFS(Accounts!$AI:$AI,Accounts!$B:$B,"Customer",Accounts!$C:$C,"Lost",Accounts!$E:$E,"QBO") + SUMIFS(Accounts!$AO:$AO,Accounts!$B:$B,"Customer",Accounts!$C:$C,"Lost",Accounts!$E:$E,"QBO")</f>
        <v>0</v>
      </c>
      <c r="BE17" s="58">
        <f>(SUMIFS(Accounts!$AC:$AC,Accounts!$B:$B,"Customer",Accounts!$C:$C,"Lost",Accounts!$E:$E,"QBO")+SUMIFS(Accounts!$AF:$AF,Accounts!$B:$B,"Customer",Accounts!$C:$C,"Lost",Accounts!$E:$E,"QBO")+SUMIFS(Accounts!$AK:$AK,Accounts!$B:$B,"Customer",Accounts!$C:$C,"Lost",Accounts!$E:$E,"QBO"))</f>
        <v>0</v>
      </c>
      <c r="BF17" s="58">
        <f>SUMIFS(Accounts!$AB:$AB,Accounts!$B:$B,"Customer",Accounts!$C:$C,"Lost",Accounts!$E:$E,"QBO")</f>
        <v>0</v>
      </c>
      <c r="BG17" s="58">
        <f>SUMIFS(Accounts!$AD:$AD,Accounts!$B:$B,"Customer",Accounts!$C:$C,"Lost",Accounts!$E:$E,"QBO")+SUMIFS(Accounts!$AM:$AM,Accounts!$B:$B,"Customer",Accounts!$C:$C,"Lost",Accounts!$E:$E,"QBO")+SUMIFS(Accounts!$AN:$AN,Accounts!$B:$B,"Customer",Accounts!$C:$C,"Lost",Accounts!$E:$E,"QBO")</f>
        <v>0</v>
      </c>
      <c r="BH17" s="58">
        <f>SUMIFS(Accounts!$AE:$AE,Accounts!$B:$B,"Customer",Accounts!$C:$C,"Lost",Accounts!$E:$E,"QBO") + SUMIFS(Accounts!$AP:$AP,Accounts!$B:$B,"Customer",Accounts!$C:$C,"Lost",Accounts!$E:$E,"QBO")+SUMIFS(Accounts!$Z:$Z,Accounts!$B:$B,"Customer",Accounts!$C:$C,"Lost",Accounts!$E:$E,"QBO")+SUMIFS(Accounts!$AG:$AG,Accounts!$B:$B,"Customer",Accounts!$C:$C,"Lost",Accounts!$E:$E,"QBO") + SUMIFS(Accounts!$AL:$AL,Accounts!$B:$B,"Customer",Accounts!$C:$C,"Lost",Accounts!$E:$E,"QBO")</f>
        <v>0</v>
      </c>
      <c r="BI17" s="58">
        <f>SUMIFS(Accounts!$AE:$AE,Accounts!$B:$B,"Customer",Accounts!$C:$C,"Lost",Accounts!$E:$E,"QBO") + SUMIFS(Accounts!$AP:$AP,Accounts!$B:$B,"Customer",Accounts!$C:$C,"Lost",Accounts!$E:$E,"QBO")</f>
        <v>0</v>
      </c>
      <c r="BJ17" s="58">
        <f>SUMIFS(Accounts!$Z:$Z,Accounts!$B:$B,"Customer",Accounts!$C:$C,"Lost",Accounts!$E:$E,"QBO")</f>
        <v>0</v>
      </c>
      <c r="BK17" s="58">
        <f>SUMIFS(Accounts!$AG:$AG,Accounts!$B:$B,"Customer",Accounts!$C:$C,"Lost",Accounts!$E:$E,"QBO") + SUMIFS(Accounts!$AL:$AL,Accounts!$B:$B,"Customer",Accounts!$C:$C,"Lost",Accounts!$E:$E,"QBO")</f>
        <v>0</v>
      </c>
      <c r="BL17" s="58">
        <f>SUMIFS(Accounts!$AQ:$AQ,Accounts!$B:$B,"Customer",Accounts!$C:$C,"Lost",Accounts!$E:$E,"QBO")</f>
        <v>0</v>
      </c>
      <c r="CU17" s="53" t="s">
        <v>70</v>
      </c>
      <c r="CV17" s="43" t="s">
        <v>169</v>
      </c>
      <c r="CW17" s="44">
        <f>SUMPRODUCT(COUNTIFS(Accounts!$AS:$AS,"Manufacturing (MWD)",Accounts!$B:$B,{"Trialer","none"},Accounts!$C:$C,"Customer",Accounts!$E:$E,"QBO"))</f>
        <v>0</v>
      </c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V17" s="49"/>
      <c r="DW17" s="53" t="s">
        <v>70</v>
      </c>
      <c r="DX17" s="43" t="s">
        <v>169</v>
      </c>
      <c r="DY17" s="44">
        <f>SUMPRODUCT(COUNTIFS(Accounts!$AS:$AS,"Wholesale and distribution services (MWD)",Accounts!$B:$B,{"Trialer","none"},Accounts!$C:$C,"Customer",Accounts!$E:$E,"QBO"))</f>
        <v>0</v>
      </c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X17" s="49"/>
      <c r="EY17" s="53" t="s">
        <v>70</v>
      </c>
      <c r="EZ17" s="43" t="s">
        <v>169</v>
      </c>
      <c r="FA17" s="44">
        <f>SUMPRODUCT(COUNTIFS(Accounts!$AS:$AS,"Construction",Accounts!$B:$B,{"Trialer","none"},Accounts!$C:$C,"Customer",Accounts!$E:$E,"QBO"))</f>
        <v>0</v>
      </c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Z17" s="49"/>
      <c r="GA17" s="53" t="s">
        <v>70</v>
      </c>
      <c r="GB17" s="43" t="s">
        <v>169</v>
      </c>
      <c r="GC17" s="44">
        <f>SUMPRODUCT(COUNTIFS(Accounts!$AS:$AS,"Field Services",Accounts!$B:$B,{"Trialer","none"},Accounts!$C:$C,"Customer",Accounts!$E:$E,"QBO"))</f>
        <v>0</v>
      </c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HB17" s="49"/>
      <c r="HC17" s="53" t="s">
        <v>70</v>
      </c>
      <c r="HD17" s="43" t="s">
        <v>169</v>
      </c>
      <c r="HE17" s="44">
        <f>SUMPRODUCT(COUNTIFS(Accounts!$AS:$AS,"Consulting and Professional Services",Accounts!$B:$B,{"Trialer","none"},Accounts!$C:$C,"Customer",Accounts!$E:$E,"QBO"))</f>
        <v>0</v>
      </c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D17" s="49"/>
      <c r="IE17" s="53" t="s">
        <v>70</v>
      </c>
      <c r="IF17" s="43" t="s">
        <v>169</v>
      </c>
      <c r="IG17" s="44">
        <f>SUMPRODUCT(COUNTIFS(Accounts!$AS:$AS,"Retail",Accounts!$B:$B,{"Trialer","none"},Accounts!$C:$C,"Customer",Accounts!$E:$E,"QBO"))</f>
        <v>0</v>
      </c>
      <c r="IS17" s="56"/>
      <c r="IT17" s="56"/>
      <c r="IU17" s="56"/>
      <c r="IV17" s="56"/>
      <c r="IW17" s="56"/>
      <c r="IX17" s="56"/>
      <c r="IY17" s="56"/>
      <c r="IZ17" s="56"/>
      <c r="JA17" s="56"/>
      <c r="JB17" s="56"/>
      <c r="JF17" s="49"/>
      <c r="JG17" s="53" t="s">
        <v>70</v>
      </c>
      <c r="JH17" s="43" t="s">
        <v>169</v>
      </c>
      <c r="JI17" s="44">
        <f>SUMPRODUCT(COUNTIFS(Accounts!$AS:$AS,"Non-profit, govt or religious organization",Accounts!$B:$B,{"Trialer","none"},Accounts!$C:$C,"Customer",Accounts!$E:$E,"QBO"))</f>
        <v>0</v>
      </c>
      <c r="JU17" s="56"/>
      <c r="JV17" s="56"/>
      <c r="JW17" s="56"/>
      <c r="JX17" s="56"/>
      <c r="JY17" s="56"/>
      <c r="JZ17" s="56"/>
      <c r="KA17" s="56"/>
      <c r="KB17" s="56"/>
      <c r="KC17" s="56"/>
      <c r="KD17" s="56"/>
      <c r="KH17" s="49"/>
      <c r="KI17" s="53" t="s">
        <v>70</v>
      </c>
      <c r="KJ17" s="43" t="s">
        <v>169</v>
      </c>
      <c r="KK17" s="44">
        <f>SUMPRODUCT(COUNTIFS(Accounts!$AS:$AS,"Communications, Entertainment and Media",Accounts!$B:$B,{"Trialer","none"},Accounts!$C:$C,"Customer",Accounts!$E:$E,"QBO"))</f>
        <v>0</v>
      </c>
      <c r="KW17" s="56"/>
      <c r="KX17" s="56"/>
      <c r="KY17" s="56"/>
      <c r="KZ17" s="56"/>
      <c r="LA17" s="56"/>
      <c r="LB17" s="56"/>
      <c r="LC17" s="56"/>
      <c r="LD17" s="56"/>
      <c r="LE17" s="56"/>
      <c r="LF17" s="56"/>
      <c r="LJ17" s="49"/>
      <c r="LK17" s="53" t="s">
        <v>70</v>
      </c>
      <c r="LL17" s="43" t="s">
        <v>169</v>
      </c>
      <c r="LM17" s="44">
        <f>SUMPRODUCT(COUNTIFS(Accounts!$AS:$AS,"IT and computer related",Accounts!$B:$B,{"Trialer","none"},Accounts!$C:$C,"Customer",Accounts!$E:$E,"QBO"))</f>
        <v>0</v>
      </c>
      <c r="LY17" s="56"/>
      <c r="LZ17" s="56"/>
      <c r="MA17" s="56"/>
      <c r="MB17" s="56"/>
      <c r="MC17" s="56"/>
      <c r="MD17" s="56"/>
      <c r="ME17" s="56"/>
      <c r="MF17" s="56"/>
      <c r="MG17" s="56"/>
      <c r="MH17" s="56"/>
      <c r="ML17" s="49"/>
      <c r="MM17" s="53" t="s">
        <v>70</v>
      </c>
      <c r="MN17" s="43" t="s">
        <v>169</v>
      </c>
      <c r="MO17" s="44">
        <f>SUMPRODUCT(COUNTIFS(Accounts!$AS:$AS,{"General service based","General"},Accounts!$B:$B,{"Trialer","none"},Accounts!$C:$C,"Customer",Accounts!$E:$E,"QBO"))</f>
        <v>0</v>
      </c>
      <c r="NA17" s="56"/>
      <c r="NB17" s="56"/>
      <c r="NC17" s="56"/>
      <c r="ND17" s="56"/>
      <c r="NE17" s="56"/>
      <c r="NF17" s="56"/>
      <c r="NG17" s="56"/>
      <c r="NH17" s="56"/>
      <c r="NI17" s="56"/>
      <c r="NJ17" s="56"/>
      <c r="NN17" s="49"/>
      <c r="NO17" s="53" t="s">
        <v>70</v>
      </c>
      <c r="NP17" s="43" t="s">
        <v>169</v>
      </c>
      <c r="NQ17" s="44">
        <f>SUMPRODUCT(COUNTIFS(Accounts!$AS:$AS,"Other",Accounts!$B:$B,{"Trialer","none"},Accounts!$C:$C,"Customer",Accounts!$E:$E,"QBO"))</f>
        <v>0</v>
      </c>
      <c r="OC17" s="56"/>
      <c r="OD17" s="56"/>
      <c r="OE17" s="56"/>
      <c r="OF17" s="56"/>
      <c r="OG17" s="56"/>
      <c r="OH17" s="56"/>
      <c r="OI17" s="56"/>
      <c r="OJ17" s="56"/>
      <c r="OK17" s="56"/>
      <c r="OL17" s="56"/>
      <c r="OP17" s="49"/>
      <c r="OQ17" s="53" t="s">
        <v>70</v>
      </c>
      <c r="OR17" s="43" t="s">
        <v>169</v>
      </c>
      <c r="OS17" s="44">
        <f>SUMPRODUCT(COUNTIFS(Accounts!$AS:$AS,"Accounting and Bookkeeping",Accounts!$B:$B,{"Trialer","none"},Accounts!$C:$C,"Customer",Accounts!$E:$E,"QBO"))</f>
        <v>0</v>
      </c>
      <c r="PE17" s="56"/>
      <c r="PF17" s="56"/>
      <c r="PG17" s="56"/>
      <c r="PH17" s="56"/>
      <c r="PI17" s="56"/>
      <c r="PJ17" s="56"/>
      <c r="PK17" s="56"/>
      <c r="PL17" s="56"/>
      <c r="PM17" s="56"/>
      <c r="PN17" s="56"/>
      <c r="PR17" s="49"/>
      <c r="PS17" s="49"/>
      <c r="PT17" s="57"/>
    </row>
    <row r="18" spans="2:436" s="31" customFormat="1" ht="16" x14ac:dyDescent="0.2">
      <c r="J18" s="35"/>
      <c r="K18" s="35"/>
      <c r="M18" s="34"/>
      <c r="AZ18" s="53" t="s">
        <v>70</v>
      </c>
      <c r="BA18" s="43" t="s">
        <v>167</v>
      </c>
      <c r="BB18" s="40"/>
      <c r="BC18" s="44">
        <f>COUNTIFS(Accounts!$C:$C,"Customer",Accounts!$E:$E,"QBO")</f>
        <v>0</v>
      </c>
      <c r="BD18" s="58">
        <f>SUMIFS(Accounts!$AA:$AA,Accounts!$C:$C,"Customer",Accounts!$E:$E,"QBO") + SUMIFS(Accounts!$AH:$AH,Accounts!$C:$C,"Customer",Accounts!$E:$E,"QBO") + SUMIFS(Accounts!$AJ:$AJ,Accounts!$C:$C,"Customer",Accounts!$E:$E,"QBO") + SUMIFS(Accounts!$AI:$AI,Accounts!$C:$C,"Customer",Accounts!$E:$E,"QBO") + SUMIFS(Accounts!$AO:$AO,Accounts!$C:$C,"Customer",Accounts!$E:$E,"QBO")</f>
        <v>0</v>
      </c>
      <c r="BE18" s="58">
        <f>(SUMIFS(Accounts!$AC:$AC,Accounts!$C:$C,"Customer",Accounts!$E:$E,"QBO")+SUMIFS(Accounts!$AF:$AF,Accounts!$C:$C,"Customer",Accounts!$E:$E,"QBO")+SUMIFS(Accounts!$AK:$AK,Accounts!$C:$C,"Customer",Accounts!$E:$E,"QBO"))</f>
        <v>0</v>
      </c>
      <c r="BF18" s="58">
        <f>SUMIFS(Accounts!$AB:$AB,Accounts!$C:$C,"Customer",Accounts!$E:$E,"QBO")</f>
        <v>0</v>
      </c>
      <c r="BG18" s="58">
        <f>SUMIFS(Accounts!$AD:$AD,Accounts!$C:$C,"Customer",Accounts!$E:$E,"QBO")+SUMIFS(Accounts!$AM:$AM,Accounts!$C:$C,"Customer",Accounts!$E:$E,"QBO")+SUMIFS(Accounts!$AN:$AN,Accounts!$C:$C,"Customer",Accounts!$E:$E,"QBO")</f>
        <v>0</v>
      </c>
      <c r="BH18" s="58">
        <f>SUMIFS(Accounts!$AE:$AE,Accounts!$C:$C,"Customer",Accounts!$E:$E,"QBO") + SUMIFS(Accounts!$AP:$AP,Accounts!$C:$C,"Customer",Accounts!$E:$E,"QBO")+SUMIFS(Accounts!$Z:$Z,Accounts!$C:$C,"Customer",Accounts!$E:$E,"QBO")+SUMIFS(Accounts!$AG:$AG,Accounts!$C:$C,"Customer",Accounts!$E:$E,"QBO") + SUMIFS(Accounts!$AL:$AL,Accounts!$C:$C,"Customer",Accounts!$E:$E,"QBO")</f>
        <v>0</v>
      </c>
      <c r="BI18" s="58">
        <f>SUMIFS(Accounts!$AE:$AE,Accounts!$C:$C,"Customer",Accounts!$E:$E,"QBO") + SUMIFS(Accounts!$AP:$AP,Accounts!$C:$C,"Customer",Accounts!$E:$E,"QBO")</f>
        <v>0</v>
      </c>
      <c r="BJ18" s="58">
        <f>SUMIFS(Accounts!$Z:$Z,Accounts!$C:$C,"Customer",Accounts!$E:$E,"QBO")</f>
        <v>0</v>
      </c>
      <c r="BK18" s="58">
        <f>SUMIFS(Accounts!$AG:$AG,Accounts!$C:$C,"Customer",Accounts!$E:$E,"QBO") + SUMIFS(Accounts!$AL:$AL,Accounts!$C:$C,"Customer",Accounts!$E:$E,"QBO")</f>
        <v>0</v>
      </c>
      <c r="BL18" s="58">
        <f>SUMIFS(Accounts!$AQ:$AQ,Accounts!$C:$C,"Customer",Accounts!$E:$E,"QBO")</f>
        <v>0</v>
      </c>
      <c r="CU18" s="53" t="s">
        <v>70</v>
      </c>
      <c r="CV18" s="43" t="s">
        <v>170</v>
      </c>
      <c r="CW18" s="44">
        <f>SUMPRODUCT(COUNTIFS(Accounts!$AS:$AS,"Manufacturing (MWD)",Accounts!$B:$B,{"Trialer","none"},Accounts!$C:$C,"Lost",Accounts!$E:$E,"QBO"))</f>
        <v>0</v>
      </c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V18" s="49"/>
      <c r="DW18" s="53" t="s">
        <v>70</v>
      </c>
      <c r="DX18" s="43" t="s">
        <v>170</v>
      </c>
      <c r="DY18" s="44">
        <f>SUMPRODUCT(COUNTIFS(Accounts!$AS:$AS,"Wholesale and distribution services (MWD)",Accounts!$B:$B,{"Trialer","none"},Accounts!$C:$C,"Lost",Accounts!$E:$E,"QBO"))</f>
        <v>0</v>
      </c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X18" s="49"/>
      <c r="EY18" s="53" t="s">
        <v>70</v>
      </c>
      <c r="EZ18" s="43" t="s">
        <v>170</v>
      </c>
      <c r="FA18" s="44">
        <f>SUMPRODUCT(COUNTIFS(Accounts!$AS:$AS,"Construction",Accounts!$B:$B,{"Trialer","none"},Accounts!$C:$C,"Lost",Accounts!$E:$E,"QBO"))</f>
        <v>0</v>
      </c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Z18" s="49"/>
      <c r="GA18" s="53" t="s">
        <v>70</v>
      </c>
      <c r="GB18" s="43" t="s">
        <v>170</v>
      </c>
      <c r="GC18" s="44">
        <f>SUMPRODUCT(COUNTIFS(Accounts!$AS:$AS,"Field Services",Accounts!$B:$B,{"Trialer","none"},Accounts!$C:$C,"Lost",Accounts!$E:$E,"QBO"))</f>
        <v>0</v>
      </c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HB18" s="49"/>
      <c r="HC18" s="53" t="s">
        <v>70</v>
      </c>
      <c r="HD18" s="43" t="s">
        <v>170</v>
      </c>
      <c r="HE18" s="44">
        <f>SUMPRODUCT(COUNTIFS(Accounts!$AS:$AS,"Consulting and Professional Services",Accounts!$B:$B,{"Trialer","none"},Accounts!$C:$C,"Lost",Accounts!$E:$E,"QBO"))</f>
        <v>0</v>
      </c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D18" s="49"/>
      <c r="IE18" s="53" t="s">
        <v>70</v>
      </c>
      <c r="IF18" s="43" t="s">
        <v>170</v>
      </c>
      <c r="IG18" s="44">
        <f>SUMPRODUCT(COUNTIFS(Accounts!$AS:$AS,"Retail",Accounts!$B:$B,{"Trialer","none"},Accounts!$C:$C,"Lost",Accounts!$E:$E,"QBO"))</f>
        <v>0</v>
      </c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F18" s="49"/>
      <c r="JG18" s="53" t="s">
        <v>70</v>
      </c>
      <c r="JH18" s="43" t="s">
        <v>170</v>
      </c>
      <c r="JI18" s="44">
        <f>SUMPRODUCT(COUNTIFS(Accounts!$AS:$AS,"Non-profit, govt or religious organization",Accounts!$B:$B,{"Trialer","none"},Accounts!$C:$C,"Lost",Accounts!$E:$E,"QBO"))</f>
        <v>0</v>
      </c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H18" s="49"/>
      <c r="KI18" s="53" t="s">
        <v>70</v>
      </c>
      <c r="KJ18" s="43" t="s">
        <v>170</v>
      </c>
      <c r="KK18" s="44">
        <f>SUMPRODUCT(COUNTIFS(Accounts!$AS:$AS,"Communications, Entertainment and Media",Accounts!$B:$B,{"Trialer","none"},Accounts!$C:$C,"Lost",Accounts!$E:$E,"QBO"))</f>
        <v>0</v>
      </c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J18" s="49"/>
      <c r="LK18" s="53" t="s">
        <v>70</v>
      </c>
      <c r="LL18" s="43" t="s">
        <v>170</v>
      </c>
      <c r="LM18" s="44">
        <f>SUMPRODUCT(COUNTIFS(Accounts!$AS:$AS,"IT and computer related",Accounts!$B:$B,{"Trialer","none"},Accounts!$C:$C,"Lost",Accounts!$E:$E,"QBO"))</f>
        <v>0</v>
      </c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L18" s="49"/>
      <c r="MM18" s="53" t="s">
        <v>70</v>
      </c>
      <c r="MN18" s="43" t="s">
        <v>170</v>
      </c>
      <c r="MO18" s="44">
        <f>SUMPRODUCT(COUNTIFS(Accounts!$AS:$AS,{"General service based","General"},Accounts!$B:$B,{"Trialer","none"},Accounts!$C:$C,"Lost",Accounts!$E:$E,"QBO"))</f>
        <v>0</v>
      </c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N18" s="49"/>
      <c r="NO18" s="53" t="s">
        <v>70</v>
      </c>
      <c r="NP18" s="43" t="s">
        <v>170</v>
      </c>
      <c r="NQ18" s="44">
        <f>SUMPRODUCT(COUNTIFS(Accounts!$AS:$AS,"Other",Accounts!$B:$B,{"Trialer","none"},Accounts!$C:$C,"Lost",Accounts!$E:$E,"QBO"))</f>
        <v>0</v>
      </c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P18" s="49"/>
      <c r="OQ18" s="53" t="s">
        <v>70</v>
      </c>
      <c r="OR18" s="43" t="s">
        <v>170</v>
      </c>
      <c r="OS18" s="44">
        <f>SUMPRODUCT(COUNTIFS(Accounts!$AS:$AS,"Accounting and Bookkeeping",Accounts!$B:$B,{"Trialer","none"},Accounts!$C:$C,"Lost",Accounts!$E:$E,"QBO"))</f>
        <v>0</v>
      </c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R18" s="49"/>
      <c r="PS18" s="49"/>
      <c r="PT18" s="57"/>
    </row>
    <row r="19" spans="2:436" s="31" customFormat="1" ht="16" x14ac:dyDescent="0.2">
      <c r="G19" s="51"/>
      <c r="AZ19" s="53" t="s">
        <v>70</v>
      </c>
      <c r="BA19" s="43" t="s">
        <v>169</v>
      </c>
      <c r="BB19" s="40"/>
      <c r="BC19" s="44">
        <f>SUMPRODUCT(COUNTIFS(Accounts!$B:$B,{"Trialer","none"},Accounts!$C:$C,"Customer",Accounts!$E:$E,"QBO"))</f>
        <v>0</v>
      </c>
      <c r="BD19" s="58">
        <f>SUMPRODUCT(SUMIFS(Accounts!$AA:$AA,Accounts!$B:$B,{"Trialer","none"},Accounts!$C:$C,"Customer",Accounts!$E:$E,"QBO") + SUMIFS(Accounts!$AH:$AH,Accounts!$B:$B,{"Trialer","none"},Accounts!$C:$C,"Customer",Accounts!$E:$E,"QBO") + SUMIFS(Accounts!$AJ:$AJ,Accounts!$B:$B,{"Trialer","none"},Accounts!$C:$C,"Customer",Accounts!$E:$E,"QBO") + SUMIFS(Accounts!$AI:$AI,Accounts!$B:$B,{"Trialer","none"},Accounts!$C:$C,"Customer",Accounts!$E:$E,"QBO") + SUMIFS(Accounts!$AO:$AO,Accounts!$B:$B,{"Trialer","none"},Accounts!$C:$C,"Customer",Accounts!$E:$E,"QBO"))</f>
        <v>0</v>
      </c>
      <c r="BE19" s="58">
        <f>SUMPRODUCT(SUMIFS(Accounts!$AC:$AC,Accounts!$B:$B,{"Trialer","none"},Accounts!$C:$C,"Customer",Accounts!$E:$E,"QBO")+SUMIFS(Accounts!$AF:$AF,Accounts!$B:$B,{"Trialer","none"},Accounts!$C:$C,"Customer",Accounts!$E:$E,"QBO")+SUMIFS(Accounts!$AK:$AK,Accounts!$B:$B,{"Trialer","none"},Accounts!$C:$C,"Customer",Accounts!$E:$E,"QBO"))</f>
        <v>0</v>
      </c>
      <c r="BF19" s="58">
        <f>SUMPRODUCT(SUMIFS(Accounts!$AB:$AB,Accounts!$B:$B,{"Trialer","none"},Accounts!$C:$C,"Customer",Accounts!$E:$E,"QBO"))</f>
        <v>0</v>
      </c>
      <c r="BG19" s="58">
        <f>SUMPRODUCT(SUMIFS(Accounts!$AD:$AD,Accounts!$B:$B,{"Trialer","none"},Accounts!$C:$C,"Customer",Accounts!$E:$E,"QBO")+SUMIFS(Accounts!$AM:$AM,Accounts!$B:$B,{"Trialer","none"},Accounts!$C:$C,"Customer",Accounts!$E:$E,"QBO")+SUMIFS(Accounts!$AN:$AN,Accounts!$B:$B,{"Trialer","none"},Accounts!$C:$C,"Customer",Accounts!$E:$E,"QBO"))</f>
        <v>0</v>
      </c>
      <c r="BH19" s="58">
        <f>SUMPRODUCT(SUMIFS(Accounts!$AE:$AE,Accounts!$B:$B,{"Trialer","none"},Accounts!$C:$C,"Customer",Accounts!$E:$E,"QBO")+SUMIFS(Accounts!$AP:$AP,Accounts!$B:$B,{"Trialer","none"},Accounts!$C:$C,"Customer",Accounts!$E:$E,"QBO")+SUMIFS(Accounts!$Z:$Z,Accounts!$B:$B,{"Trialer","none"},Accounts!$C:$C,"Customer",Accounts!$E:$E,"QBO")+SUMIFS(Accounts!$AG:$AG,Accounts!$B:$B,{"Trialer","none"},Accounts!$C:$C,"Customer",Accounts!$E:$E,"QBO")+SUMIFS(Accounts!$AL:$AL,Accounts!$B:$B,{"Trialer","none"},Accounts!$C:$C,"Customer",Accounts!$E:$E,"QBO"))</f>
        <v>0</v>
      </c>
      <c r="BI19" s="58">
        <f>SUMPRODUCT(SUMIFS(Accounts!$AE:$AE,Accounts!$B:$B,{"Trialer","none"},Accounts!$C:$C,"Customer",Accounts!$E:$E,"QBO")+SUMIFS(Accounts!$AP:$AP,Accounts!$B:$B,{"Trialer","none"},Accounts!$C:$C,"Customer",Accounts!$E:$E,"QBO"))</f>
        <v>0</v>
      </c>
      <c r="BJ19" s="58">
        <f>SUMPRODUCT(SUMIFS(Accounts!$Z:$Z,Accounts!$B:$B,{"Trialer","none"},Accounts!$C:$C,"Customer",Accounts!$E:$E,"QBO"))</f>
        <v>0</v>
      </c>
      <c r="BK19" s="58">
        <f>SUMPRODUCT(SUMIFS(Accounts!$AG:$AG,Accounts!$B:$B,{"Trialer","none"},Accounts!$C:$C,"Customer",Accounts!$E:$E,"QBO")+SUMIFS(Accounts!$AL:$AL,Accounts!$B:$B,{"Trialer","none"},Accounts!$C:$C,"Customer",Accounts!$E:$E,"QBO"))</f>
        <v>0</v>
      </c>
      <c r="BL19" s="58">
        <f>SUMPRODUCT(SUMIFS(Accounts!$AQ:$AQ,Accounts!$B:$B,{"Trialer","none"},Accounts!$C:$C,"Customer",Accounts!$E:$E,"QBO"))</f>
        <v>0</v>
      </c>
      <c r="CU19" s="40"/>
      <c r="CV19" s="40"/>
      <c r="CW19" s="40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W19" s="40"/>
      <c r="DX19" s="40"/>
      <c r="DY19" s="40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Y19" s="40"/>
      <c r="EZ19" s="40"/>
      <c r="FA19" s="40"/>
      <c r="FM19" s="56"/>
      <c r="FN19" s="56"/>
      <c r="FO19" s="56"/>
      <c r="FP19" s="56"/>
      <c r="FQ19" s="56"/>
      <c r="FR19" s="56"/>
      <c r="FS19" s="56"/>
      <c r="FT19" s="56"/>
      <c r="FU19" s="56"/>
      <c r="FV19" s="56"/>
      <c r="GA19" s="40"/>
      <c r="GB19" s="40"/>
      <c r="GC19" s="40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HC19" s="40"/>
      <c r="HD19" s="40"/>
      <c r="HE19" s="40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E19" s="40"/>
      <c r="IF19" s="40"/>
      <c r="IG19" s="40"/>
      <c r="IS19" s="56"/>
      <c r="IT19" s="56"/>
      <c r="IU19" s="56"/>
      <c r="IV19" s="56"/>
      <c r="IW19" s="56"/>
      <c r="IX19" s="56"/>
      <c r="IY19" s="56"/>
      <c r="IZ19" s="56"/>
      <c r="JA19" s="56"/>
      <c r="JB19" s="56"/>
      <c r="JG19" s="40"/>
      <c r="JH19" s="40"/>
      <c r="JI19" s="40"/>
      <c r="JU19" s="56"/>
      <c r="JV19" s="56"/>
      <c r="JW19" s="56"/>
      <c r="JX19" s="56"/>
      <c r="JY19" s="56"/>
      <c r="JZ19" s="56"/>
      <c r="KA19" s="56"/>
      <c r="KB19" s="56"/>
      <c r="KC19" s="56"/>
      <c r="KD19" s="56"/>
      <c r="KI19" s="40"/>
      <c r="KJ19" s="40"/>
      <c r="KK19" s="40"/>
      <c r="KW19" s="56"/>
      <c r="KX19" s="56"/>
      <c r="KY19" s="56"/>
      <c r="KZ19" s="56"/>
      <c r="LA19" s="56"/>
      <c r="LB19" s="56"/>
      <c r="LC19" s="56"/>
      <c r="LD19" s="56"/>
      <c r="LE19" s="56"/>
      <c r="LF19" s="56"/>
      <c r="LK19" s="40"/>
      <c r="LL19" s="40"/>
      <c r="LM19" s="40"/>
      <c r="LY19" s="56"/>
      <c r="LZ19" s="56"/>
      <c r="MA19" s="56"/>
      <c r="MB19" s="56"/>
      <c r="MC19" s="56"/>
      <c r="MD19" s="56"/>
      <c r="ME19" s="56"/>
      <c r="MF19" s="56"/>
      <c r="MG19" s="56"/>
      <c r="MH19" s="56"/>
      <c r="MM19" s="40"/>
      <c r="MN19" s="40"/>
      <c r="MO19" s="40"/>
      <c r="NA19" s="56"/>
      <c r="NB19" s="56"/>
      <c r="NC19" s="56"/>
      <c r="ND19" s="56"/>
      <c r="NE19" s="56"/>
      <c r="NF19" s="56"/>
      <c r="NG19" s="56"/>
      <c r="NH19" s="56"/>
      <c r="NI19" s="56"/>
      <c r="NJ19" s="56"/>
      <c r="NO19" s="40"/>
      <c r="NP19" s="40"/>
      <c r="NQ19" s="40"/>
      <c r="OC19" s="56"/>
      <c r="OD19" s="56"/>
      <c r="OE19" s="56"/>
      <c r="OF19" s="56"/>
      <c r="OG19" s="56"/>
      <c r="OH19" s="56"/>
      <c r="OI19" s="56"/>
      <c r="OJ19" s="56"/>
      <c r="OK19" s="56"/>
      <c r="OL19" s="56"/>
      <c r="OQ19" s="40"/>
      <c r="OR19" s="40"/>
      <c r="OS19" s="40"/>
      <c r="PE19" s="56"/>
      <c r="PF19" s="56"/>
      <c r="PG19" s="56"/>
      <c r="PH19" s="56"/>
      <c r="PI19" s="56"/>
      <c r="PJ19" s="56"/>
      <c r="PK19" s="56"/>
      <c r="PL19" s="56"/>
      <c r="PM19" s="56"/>
      <c r="PN19" s="56"/>
    </row>
    <row r="20" spans="2:436" s="31" customFormat="1" ht="16" x14ac:dyDescent="0.2">
      <c r="F20" s="52"/>
      <c r="J20" s="61"/>
      <c r="AZ20" s="53" t="s">
        <v>70</v>
      </c>
      <c r="BA20" s="43" t="s">
        <v>170</v>
      </c>
      <c r="BB20" s="40"/>
      <c r="BC20" s="44">
        <f>SUMPRODUCT(COUNTIFS(Accounts!$B:$B,{"Trialer","none"},Accounts!$C:$C,"Lost",Accounts!$E:$E,"QBO"))</f>
        <v>0</v>
      </c>
      <c r="BD20" s="58">
        <f>SUMPRODUCT(SUMIFS(Accounts!$AA:$AA,Accounts!$B:$B,{"Trialer","none"},Accounts!$C:$C,"Lost",Accounts!$E:$E,"QBO") + SUMIFS(Accounts!$AH:$AH,Accounts!$B:$B,{"Trialer","none"},Accounts!$C:$C,"Lost",Accounts!$E:$E,"QBO") + SUMIFS(Accounts!$AJ:$AJ,Accounts!$B:$B,{"Trialer","none"},Accounts!$C:$C,"Lost",Accounts!$E:$E,"QBO") + SUMIFS(Accounts!$AI:$AI,Accounts!$B:$B,{"Trialer","none"},Accounts!$C:$C,"Lost",Accounts!$E:$E,"QBO") + SUMIFS(Accounts!$AO:$AO,Accounts!$B:$B,{"Trialer","none"},Accounts!$C:$C,"Lost",Accounts!$E:$E,"QBO"))</f>
        <v>0</v>
      </c>
      <c r="BE20" s="58">
        <f>SUMPRODUCT((SUMIFS(Accounts!$AC:$AC,Accounts!$B:$B,{"Trialer","none"},Accounts!$C:$C,"Lost",Accounts!$E:$E,"QBO")+SUMIFS(Accounts!$AF:$AF,Accounts!$B:$B,{"Trialer","none"},Accounts!$C:$C,"Lost",Accounts!$E:$E,"QBO")+SUMIFS(Accounts!$AK:$AK,Accounts!$B:$B,{"Trialer","none"},Accounts!$C:$C,"Lost",Accounts!$E:$E,"QBO")))</f>
        <v>0</v>
      </c>
      <c r="BF20" s="58">
        <f>SUMPRODUCT(SUMIFS(Accounts!$AB:$AB,Accounts!$B:$B,{"Trialer","none"},Accounts!$C:$C,"Lost",Accounts!$E:$E,"QBO"))</f>
        <v>0</v>
      </c>
      <c r="BG20" s="58">
        <f>SUMPRODUCT(SUMIFS(Accounts!$AD:$AD,Accounts!$B:$B,{"Trialer","none"},Accounts!$C:$C,"Lost",Accounts!$E:$E,"QBO")+SUMIFS(Accounts!$AM:$AM,Accounts!$B:$B,{"Trialer","none"},Accounts!$C:$C,"Lost",Accounts!$E:$E,"QBO")+SUMIFS(Accounts!$AN:$AN,Accounts!$B:$B,{"Trialer","none"},Accounts!$C:$C,"Lost",Accounts!$E:$E,"QBO"))</f>
        <v>0</v>
      </c>
      <c r="BH20" s="58">
        <f>SUMPRODUCT(SUMIFS(Accounts!$AE:$AE,Accounts!$B:$B,{"Trialer","none"},Accounts!$C:$C,"Lost",Accounts!$E:$E,"QBO")+SUMIFS(Accounts!$AP:$AP,Accounts!$B:$B,{"Trialer","none"},Accounts!$C:$C,"Lost",Accounts!$E:$E,"QBO")+SUMIFS(Accounts!$Z:$Z,Accounts!$B:$B,{"Trialer","none"},Accounts!$C:$C,"Lost",Accounts!$E:$E,"QBO")+SUMIFS(Accounts!$AG:$AG,Accounts!$B:$B,{"Trialer","none"},Accounts!$C:$C,"Lost",Accounts!$E:$E,"QBO")+SUMIFS(Accounts!$AL:$AL,Accounts!$B:$B,{"Trialer","none"},Accounts!$C:$C,"Lost",Accounts!$E:$E,"QBO"))</f>
        <v>0</v>
      </c>
      <c r="BI20" s="58">
        <f>SUMPRODUCT(SUMIFS(Accounts!$AE:$AE,Accounts!$B:$B,{"Trialer","none"},Accounts!$C:$C,"Lost",Accounts!$E:$E,"QBO")+SUMIFS(Accounts!$AP:$AP,Accounts!$B:$B,{"Trialer","none"},Accounts!$C:$C,"Lost",Accounts!$E:$E,"QBO"))</f>
        <v>0</v>
      </c>
      <c r="BJ20" s="58">
        <f>SUMPRODUCT(SUMIFS(Accounts!$Z:$Z,Accounts!$B:$B,{"Trialer","none"},Accounts!$C:$C,"Lost",Accounts!$E:$E,"QBO"))</f>
        <v>0</v>
      </c>
      <c r="BK20" s="58">
        <f>SUMPRODUCT(SUMIFS(Accounts!$AG:$AG,Accounts!$B:$B,{"Trialer","none"},Accounts!$C:$C,"Lost",Accounts!$E:$E,"QBO")+SUMIFS(Accounts!$AL:$AL,Accounts!$B:$B,{"Trialer","none"},Accounts!$C:$C,"Lost",Accounts!$E:$E,"QBO"))</f>
        <v>0</v>
      </c>
      <c r="BL20" s="58">
        <f>SUMPRODUCT(SUMIFS(Accounts!$AQ:$AQ,Accounts!$B:$B,{"Trialer","none"},Accounts!$C:$C,"Lost",Accounts!$E:$E,"QBO"))</f>
        <v>0</v>
      </c>
      <c r="CU20" s="53" t="s">
        <v>59</v>
      </c>
      <c r="CV20" s="43" t="s">
        <v>175</v>
      </c>
      <c r="CW20" s="44" t="e">
        <f>IF(CW$4=0,120,1/CW$4)</f>
        <v>#VALUE!</v>
      </c>
      <c r="DI20" s="39"/>
      <c r="DJ20" s="39"/>
      <c r="DK20" s="39"/>
      <c r="DL20" s="39"/>
      <c r="DM20" s="39"/>
      <c r="DN20" s="39"/>
      <c r="DO20" s="39"/>
      <c r="DP20" s="39"/>
      <c r="DQ20" s="38"/>
      <c r="DR20" s="38"/>
      <c r="DV20" s="49"/>
      <c r="DW20" s="53" t="s">
        <v>59</v>
      </c>
      <c r="DX20" s="43" t="s">
        <v>175</v>
      </c>
      <c r="DY20" s="44" t="e">
        <f>IF(DY$4=0,120,1/DY$4)</f>
        <v>#VALUE!</v>
      </c>
      <c r="EK20" s="39"/>
      <c r="EL20" s="39"/>
      <c r="EM20" s="39"/>
      <c r="EN20" s="39"/>
      <c r="EO20" s="39"/>
      <c r="EP20" s="39"/>
      <c r="EQ20" s="39"/>
      <c r="ER20" s="39"/>
      <c r="ES20" s="38"/>
      <c r="ET20" s="38"/>
      <c r="EX20" s="49"/>
      <c r="EY20" s="53" t="s">
        <v>59</v>
      </c>
      <c r="EZ20" s="43" t="s">
        <v>175</v>
      </c>
      <c r="FA20" s="44" t="e">
        <f>IF(FA$4=0,120,1/FA$4)</f>
        <v>#VALUE!</v>
      </c>
      <c r="FM20" s="39"/>
      <c r="FN20" s="39"/>
      <c r="FO20" s="39"/>
      <c r="FP20" s="39"/>
      <c r="FQ20" s="39"/>
      <c r="FR20" s="39"/>
      <c r="FS20" s="39"/>
      <c r="FT20" s="39"/>
      <c r="FU20" s="38"/>
      <c r="FV20" s="38"/>
      <c r="FZ20" s="49"/>
      <c r="GA20" s="53" t="s">
        <v>59</v>
      </c>
      <c r="GB20" s="43" t="s">
        <v>175</v>
      </c>
      <c r="GC20" s="44" t="e">
        <f>IF(GC$4=0,120,1/GC$4)</f>
        <v>#VALUE!</v>
      </c>
      <c r="GO20" s="39"/>
      <c r="GP20" s="39"/>
      <c r="GQ20" s="39"/>
      <c r="GR20" s="39"/>
      <c r="GS20" s="39"/>
      <c r="GT20" s="39"/>
      <c r="GU20" s="39"/>
      <c r="GV20" s="39"/>
      <c r="GW20" s="38"/>
      <c r="GX20" s="38"/>
      <c r="HB20" s="49"/>
      <c r="HC20" s="53" t="s">
        <v>59</v>
      </c>
      <c r="HD20" s="43" t="s">
        <v>175</v>
      </c>
      <c r="HE20" s="44" t="e">
        <f>IF(HE$4=0,120,1/HE$4)</f>
        <v>#VALUE!</v>
      </c>
      <c r="HQ20" s="39"/>
      <c r="HR20" s="39"/>
      <c r="HS20" s="39"/>
      <c r="HT20" s="39"/>
      <c r="HU20" s="39"/>
      <c r="HV20" s="39"/>
      <c r="HW20" s="39"/>
      <c r="HX20" s="39"/>
      <c r="HY20" s="38"/>
      <c r="HZ20" s="38"/>
      <c r="ID20" s="49"/>
      <c r="IE20" s="53" t="s">
        <v>59</v>
      </c>
      <c r="IF20" s="43" t="s">
        <v>175</v>
      </c>
      <c r="IG20" s="44" t="e">
        <f>IF(IG$4=0,120,1/IG$4)</f>
        <v>#VALUE!</v>
      </c>
      <c r="IS20" s="39"/>
      <c r="IT20" s="39"/>
      <c r="IU20" s="39"/>
      <c r="IV20" s="39"/>
      <c r="IW20" s="39"/>
      <c r="IX20" s="39"/>
      <c r="IY20" s="39"/>
      <c r="IZ20" s="39"/>
      <c r="JA20" s="38"/>
      <c r="JB20" s="38"/>
      <c r="JF20" s="49"/>
      <c r="JG20" s="53" t="s">
        <v>59</v>
      </c>
      <c r="JH20" s="43" t="s">
        <v>175</v>
      </c>
      <c r="JI20" s="44" t="e">
        <f>IF(JI$4=0,120,1/JI$4)</f>
        <v>#VALUE!</v>
      </c>
      <c r="JU20" s="39"/>
      <c r="JV20" s="39"/>
      <c r="JW20" s="39"/>
      <c r="JX20" s="39"/>
      <c r="JY20" s="39"/>
      <c r="JZ20" s="39"/>
      <c r="KA20" s="39"/>
      <c r="KB20" s="39"/>
      <c r="KC20" s="38"/>
      <c r="KD20" s="38"/>
      <c r="KH20" s="49"/>
      <c r="KI20" s="53" t="s">
        <v>59</v>
      </c>
      <c r="KJ20" s="43" t="s">
        <v>175</v>
      </c>
      <c r="KK20" s="44" t="e">
        <f>IF(KK$4=0,120,1/KK$4)</f>
        <v>#VALUE!</v>
      </c>
      <c r="KW20" s="39"/>
      <c r="KX20" s="39"/>
      <c r="KY20" s="39"/>
      <c r="KZ20" s="39"/>
      <c r="LA20" s="39"/>
      <c r="LB20" s="39"/>
      <c r="LC20" s="39"/>
      <c r="LD20" s="39"/>
      <c r="LE20" s="38"/>
      <c r="LF20" s="38"/>
      <c r="LJ20" s="49"/>
      <c r="LK20" s="53" t="s">
        <v>59</v>
      </c>
      <c r="LL20" s="43" t="s">
        <v>175</v>
      </c>
      <c r="LM20" s="44" t="e">
        <f>IF(LM$4=0,120,1/LM$4)</f>
        <v>#VALUE!</v>
      </c>
      <c r="LY20" s="39"/>
      <c r="LZ20" s="39"/>
      <c r="MA20" s="39"/>
      <c r="MB20" s="39"/>
      <c r="MC20" s="39"/>
      <c r="MD20" s="39"/>
      <c r="ME20" s="39"/>
      <c r="MF20" s="39"/>
      <c r="MG20" s="38"/>
      <c r="MH20" s="38"/>
      <c r="ML20" s="49"/>
      <c r="MM20" s="53" t="s">
        <v>59</v>
      </c>
      <c r="MN20" s="43" t="s">
        <v>175</v>
      </c>
      <c r="MO20" s="44" t="e">
        <f>IF(MO$4=0,120,1/MO$4)</f>
        <v>#VALUE!</v>
      </c>
      <c r="NA20" s="39"/>
      <c r="NB20" s="39"/>
      <c r="NC20" s="39"/>
      <c r="ND20" s="39"/>
      <c r="NE20" s="39"/>
      <c r="NF20" s="39"/>
      <c r="NG20" s="39"/>
      <c r="NH20" s="39"/>
      <c r="NI20" s="38"/>
      <c r="NJ20" s="38"/>
      <c r="NN20" s="49"/>
      <c r="NO20" s="53" t="s">
        <v>59</v>
      </c>
      <c r="NP20" s="43" t="s">
        <v>175</v>
      </c>
      <c r="NQ20" s="44" t="e">
        <f>IF(NQ$4=0,120,1/NQ$4)</f>
        <v>#VALUE!</v>
      </c>
      <c r="OC20" s="39"/>
      <c r="OD20" s="39"/>
      <c r="OE20" s="39"/>
      <c r="OF20" s="39"/>
      <c r="OG20" s="39"/>
      <c r="OH20" s="39"/>
      <c r="OI20" s="39"/>
      <c r="OJ20" s="39"/>
      <c r="OK20" s="38"/>
      <c r="OL20" s="38"/>
      <c r="OP20" s="49"/>
      <c r="OQ20" s="53" t="s">
        <v>59</v>
      </c>
      <c r="OR20" s="43" t="s">
        <v>175</v>
      </c>
      <c r="OS20" s="44" t="e">
        <f>IF(OS$4=0,120,1/OS$4)</f>
        <v>#VALUE!</v>
      </c>
      <c r="PE20" s="39"/>
      <c r="PF20" s="39"/>
      <c r="PG20" s="39"/>
      <c r="PH20" s="39"/>
      <c r="PI20" s="39"/>
      <c r="PJ20" s="39"/>
      <c r="PK20" s="39"/>
      <c r="PL20" s="39"/>
      <c r="PM20" s="38"/>
      <c r="PN20" s="38"/>
      <c r="PR20" s="49"/>
      <c r="PS20" s="49"/>
      <c r="PT20" s="57"/>
    </row>
    <row r="21" spans="2:436" s="31" customFormat="1" ht="16" x14ac:dyDescent="0.2">
      <c r="C21" s="36"/>
      <c r="F21" s="52"/>
      <c r="AZ21" s="40"/>
      <c r="BA21" s="40"/>
      <c r="BB21" s="40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CU21" s="53" t="s">
        <v>59</v>
      </c>
      <c r="CV21" s="43" t="s">
        <v>166</v>
      </c>
      <c r="CW21" s="44">
        <f>COUNTIFS(Accounts!$AS:$AS, "Manufacturing (MWD)",Accounts!$B:$B,"Customer",Accounts!$E:$E,"QBDT")</f>
        <v>0</v>
      </c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V21" s="49"/>
      <c r="DW21" s="53" t="s">
        <v>59</v>
      </c>
      <c r="DX21" s="43" t="s">
        <v>166</v>
      </c>
      <c r="DY21" s="44">
        <f>COUNTIFS(Accounts!$AS:$AS, "Wholesale and distribution services (MWD)",Accounts!$B:$B,"Customer",Accounts!$E:$E,"QBDT")</f>
        <v>0</v>
      </c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X21" s="49"/>
      <c r="EY21" s="53" t="s">
        <v>59</v>
      </c>
      <c r="EZ21" s="43" t="s">
        <v>166</v>
      </c>
      <c r="FA21" s="44">
        <f>COUNTIFS(Accounts!$AS:$AS, "Construction",Accounts!$B:$B,"Customer",Accounts!$E:$E,"QBDT")</f>
        <v>0</v>
      </c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Z21" s="49"/>
      <c r="GA21" s="53" t="s">
        <v>59</v>
      </c>
      <c r="GB21" s="43" t="s">
        <v>166</v>
      </c>
      <c r="GC21" s="44">
        <f>COUNTIFS(Accounts!$AS:$AS, "Field Services",Accounts!$B:$B,"Customer",Accounts!$E:$E,"QBDT")</f>
        <v>0</v>
      </c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HB21" s="49"/>
      <c r="HC21" s="53" t="s">
        <v>59</v>
      </c>
      <c r="HD21" s="43" t="s">
        <v>166</v>
      </c>
      <c r="HE21" s="44">
        <f>COUNTIFS(Accounts!$AS:$AS, "Consulting and Professional Services",Accounts!$B:$B,"Customer",Accounts!$E:$E,"QBDT")</f>
        <v>0</v>
      </c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D21" s="49"/>
      <c r="IE21" s="53" t="s">
        <v>59</v>
      </c>
      <c r="IF21" s="43" t="s">
        <v>166</v>
      </c>
      <c r="IG21" s="44">
        <f>COUNTIFS(Accounts!$AS:$AS, "Retail",Accounts!$B:$B,"Customer",Accounts!$E:$E,"QBDT")</f>
        <v>0</v>
      </c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F21" s="49"/>
      <c r="JG21" s="53" t="s">
        <v>59</v>
      </c>
      <c r="JH21" s="43" t="s">
        <v>166</v>
      </c>
      <c r="JI21" s="44">
        <f>COUNTIFS(Accounts!$AS:$AS, "Non-profit, govt or religious organization",Accounts!$B:$B,"Customer",Accounts!$E:$E,"QBDT")</f>
        <v>0</v>
      </c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H21" s="49"/>
      <c r="KI21" s="53" t="s">
        <v>59</v>
      </c>
      <c r="KJ21" s="43" t="s">
        <v>166</v>
      </c>
      <c r="KK21" s="44">
        <f>COUNTIFS(Accounts!$AS:$AS, "Communications, Entertainment and Media",Accounts!$B:$B,"Customer",Accounts!$E:$E,"QBDT")</f>
        <v>0</v>
      </c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J21" s="49"/>
      <c r="LK21" s="53" t="s">
        <v>59</v>
      </c>
      <c r="LL21" s="43" t="s">
        <v>166</v>
      </c>
      <c r="LM21" s="44">
        <f>COUNTIFS(Accounts!$AS:$AS, "IT and computer related",Accounts!$B:$B,"Customer",Accounts!$E:$E,"QBDT")</f>
        <v>0</v>
      </c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L21" s="49"/>
      <c r="MM21" s="53" t="s">
        <v>59</v>
      </c>
      <c r="MN21" s="43" t="s">
        <v>166</v>
      </c>
      <c r="MO21" s="44">
        <f>COUNTIFS(Accounts!$AS:$AS, {"General service based","General"},Accounts!$B:$B,"Customer",Accounts!$E:$E,"QBDT")</f>
        <v>0</v>
      </c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N21" s="49"/>
      <c r="NO21" s="53" t="s">
        <v>59</v>
      </c>
      <c r="NP21" s="43" t="s">
        <v>166</v>
      </c>
      <c r="NQ21" s="44">
        <f>COUNTIFS(Accounts!$AS:$AS, "Other",Accounts!$B:$B,"Customer",Accounts!$E:$E,"QBDT")</f>
        <v>0</v>
      </c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P21" s="49"/>
      <c r="OQ21" s="53" t="s">
        <v>59</v>
      </c>
      <c r="OR21" s="43" t="s">
        <v>166</v>
      </c>
      <c r="OS21" s="44">
        <f>COUNTIFS(Accounts!$AS:$AS, "Accounting and Bookkeeping",Accounts!$B:$B,"Customer",Accounts!$E:$E,"QBDT")</f>
        <v>1</v>
      </c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R21" s="49"/>
      <c r="PS21" s="49"/>
      <c r="PT21" s="57"/>
    </row>
    <row r="22" spans="2:436" s="31" customFormat="1" ht="16" x14ac:dyDescent="0.2">
      <c r="B22" s="39"/>
      <c r="C22" s="33"/>
      <c r="AZ22" s="53" t="s">
        <v>59</v>
      </c>
      <c r="BA22" s="43" t="s">
        <v>175</v>
      </c>
      <c r="BB22" s="40"/>
      <c r="BC22" s="44" t="e">
        <f>IF($BC$4&lt;0.005,120,1/$BC$4)</f>
        <v>#VALUE!</v>
      </c>
      <c r="BD22" s="44" t="e">
        <f>IF($BD$4&lt;0.005,120,1/$BD$4)</f>
        <v>#VALUE!</v>
      </c>
      <c r="BE22" s="44" t="e">
        <f>IF($BE$4&lt;0.005,120,1/$BE$4)</f>
        <v>#VALUE!</v>
      </c>
      <c r="BF22" s="44" t="e">
        <f>IF($BF$4&lt;0.005,120,1/$BF$4)</f>
        <v>#VALUE!</v>
      </c>
      <c r="BG22" s="44" t="e">
        <f>IF($BG$4&lt;0.005,120,1/$BG$4)</f>
        <v>#VALUE!</v>
      </c>
      <c r="BH22" s="44" t="e">
        <f>IF($BH$4&lt;0.005,120,1/$BH$4)</f>
        <v>#VALUE!</v>
      </c>
      <c r="BI22" s="44" t="e">
        <f>IF($BI$4&lt;0.005,120,1/$BI$4)</f>
        <v>#VALUE!</v>
      </c>
      <c r="BJ22" s="44" t="e">
        <f>IF($BJ$4&lt;0.005,120,1/$BJ$4)</f>
        <v>#VALUE!</v>
      </c>
      <c r="BK22" s="44" t="e">
        <f>IF($BK$4&lt;0.005,120,1/$BK$4)</f>
        <v>#VALUE!</v>
      </c>
      <c r="BL22" s="44" t="e">
        <f>IF($BL$4&lt;0.005,120,1/$BL$4)</f>
        <v>#VALUE!</v>
      </c>
      <c r="CU22" s="53" t="s">
        <v>59</v>
      </c>
      <c r="CV22" s="43" t="s">
        <v>168</v>
      </c>
      <c r="CW22" s="44">
        <f>COUNTIFS(Accounts!$AS:$AS, "Manufacturing (MWD)",Accounts!$B:$B,"Customer",Accounts!$C:$C,"Lost",Accounts!$E:$E,"QBDT")</f>
        <v>0</v>
      </c>
      <c r="DV22" s="49"/>
      <c r="DW22" s="53" t="s">
        <v>59</v>
      </c>
      <c r="DX22" s="43" t="s">
        <v>168</v>
      </c>
      <c r="DY22" s="44">
        <f>COUNTIFS(Accounts!$AS:$AS, "Wholesale and distribution services (MWD)",Accounts!$B:$B,"Customer",Accounts!$C:$C,"Lost",Accounts!$E:$E,"QBDT")</f>
        <v>0</v>
      </c>
      <c r="EX22" s="49"/>
      <c r="EY22" s="53" t="s">
        <v>59</v>
      </c>
      <c r="EZ22" s="43" t="s">
        <v>168</v>
      </c>
      <c r="FA22" s="44">
        <f>COUNTIFS(Accounts!$AS:$AS, "Construction",Accounts!$B:$B,"Customer",Accounts!$C:$C,"Lost",Accounts!$E:$E,"QBDT")</f>
        <v>0</v>
      </c>
      <c r="FZ22" s="49"/>
      <c r="GA22" s="53" t="s">
        <v>59</v>
      </c>
      <c r="GB22" s="43" t="s">
        <v>168</v>
      </c>
      <c r="GC22" s="44">
        <f>COUNTIFS(Accounts!$AS:$AS, "Field Services",Accounts!$B:$B,"Customer",Accounts!$C:$C,"Lost",Accounts!$E:$E,"QBDT")</f>
        <v>0</v>
      </c>
      <c r="HB22" s="49"/>
      <c r="HC22" s="53" t="s">
        <v>59</v>
      </c>
      <c r="HD22" s="43" t="s">
        <v>168</v>
      </c>
      <c r="HE22" s="44">
        <f>COUNTIFS(Accounts!$AS:$AS, "Consulting and Professional Services",Accounts!$B:$B,"Customer",Accounts!$C:$C,"Lost",Accounts!$E:$E,"QBDT")</f>
        <v>0</v>
      </c>
      <c r="ID22" s="49"/>
      <c r="IE22" s="53" t="s">
        <v>59</v>
      </c>
      <c r="IF22" s="43" t="s">
        <v>168</v>
      </c>
      <c r="IG22" s="44">
        <f>COUNTIFS(Accounts!$AS:$AS, "Retail",Accounts!$B:$B,"Customer",Accounts!$C:$C,"Lost",Accounts!$E:$E,"QBDT")</f>
        <v>0</v>
      </c>
      <c r="JF22" s="49"/>
      <c r="JG22" s="53" t="s">
        <v>59</v>
      </c>
      <c r="JH22" s="43" t="s">
        <v>168</v>
      </c>
      <c r="JI22" s="44">
        <f>COUNTIFS(Accounts!$AS:$AS, "Non-profit, govt or religious organization",Accounts!$B:$B,"Customer",Accounts!$C:$C,"Lost",Accounts!$E:$E,"QBDT")</f>
        <v>0</v>
      </c>
      <c r="KH22" s="49"/>
      <c r="KI22" s="53" t="s">
        <v>59</v>
      </c>
      <c r="KJ22" s="43" t="s">
        <v>168</v>
      </c>
      <c r="KK22" s="44">
        <f>COUNTIFS(Accounts!$AS:$AS, "Communications, Entertainment and Media",Accounts!$B:$B,"Customer",Accounts!$C:$C,"Lost",Accounts!$E:$E,"QBDT")</f>
        <v>0</v>
      </c>
      <c r="LJ22" s="49"/>
      <c r="LK22" s="53" t="s">
        <v>59</v>
      </c>
      <c r="LL22" s="43" t="s">
        <v>168</v>
      </c>
      <c r="LM22" s="44">
        <f>COUNTIFS(Accounts!$AS:$AS, "IT and computer related",Accounts!$B:$B,"Customer",Accounts!$C:$C,"Lost",Accounts!$E:$E,"QBDT")</f>
        <v>0</v>
      </c>
      <c r="ML22" s="49"/>
      <c r="MM22" s="53" t="s">
        <v>59</v>
      </c>
      <c r="MN22" s="43" t="s">
        <v>168</v>
      </c>
      <c r="MO22" s="44">
        <f>COUNTIFS(Accounts!$AS:$AS, {"General service based","General"},Accounts!$B:$B,"Customer",Accounts!$C:$C,"Lost",Accounts!$E:$E,"QBDT")</f>
        <v>0</v>
      </c>
      <c r="NN22" s="49"/>
      <c r="NO22" s="53" t="s">
        <v>59</v>
      </c>
      <c r="NP22" s="43" t="s">
        <v>168</v>
      </c>
      <c r="NQ22" s="44">
        <f>COUNTIFS(Accounts!$AS:$AS, "Other",Accounts!$B:$B,"Customer",Accounts!$C:$C,"Lost",Accounts!$E:$E,"QBDT")</f>
        <v>0</v>
      </c>
      <c r="OP22" s="49"/>
      <c r="OQ22" s="53" t="s">
        <v>59</v>
      </c>
      <c r="OR22" s="43" t="s">
        <v>168</v>
      </c>
      <c r="OS22" s="44">
        <f>COUNTIFS(Accounts!$AS:$AS, "Accounting and Bookkeeping",Accounts!$B:$B,"Customer",Accounts!$C:$C,"Lost",Accounts!$E:$E,"QBDT")</f>
        <v>0</v>
      </c>
      <c r="PR22" s="49"/>
      <c r="PS22" s="49"/>
      <c r="PT22" s="57"/>
    </row>
    <row r="23" spans="2:436" s="31" customFormat="1" ht="16" x14ac:dyDescent="0.2">
      <c r="B23" s="39"/>
      <c r="C23" s="33"/>
      <c r="AZ23" s="53" t="s">
        <v>59</v>
      </c>
      <c r="BA23" s="43" t="s">
        <v>166</v>
      </c>
      <c r="BB23" s="40"/>
      <c r="BC23" s="44">
        <f>COUNTIFS(Accounts!$B:$B,"Customer",Accounts!$E:$E,"QBDT")</f>
        <v>1</v>
      </c>
      <c r="BD23" s="58">
        <f>SUMIFS(Accounts!$AA:$AA,Accounts!$B:$B,"Customer",Accounts!$E:$E,"QBDT") + SUMIFS(Accounts!$AH:$AH,Accounts!$B:$B,"Customer",Accounts!$E:$E,"QBDT") + SUMIFS(Accounts!$AJ:$AJ,Accounts!$B:$B,"Customer",Accounts!$E:$E,"QBDT") + SUMIFS(Accounts!$AI:$AI,Accounts!$B:$B,"Customer",Accounts!$E:$E,"QBDT") + SUMIFS(Accounts!$AO:$AO,Accounts!$B:$B,"Customer",Accounts!$E:$E,"QBDT")</f>
        <v>0</v>
      </c>
      <c r="BE23" s="58">
        <f>(SUMIFS(Accounts!$AC:$AC,Accounts!$B:$B,"Customer",Accounts!$E:$E,"QBDT")+SUMIFS(Accounts!$AF:$AF,Accounts!$B:$B,"Customer",Accounts!$E:$E,"QBDT")+SUMIFS(Accounts!$AK:$AK,Accounts!$B:$B,"Customer",Accounts!$E:$E,"QBDT"))</f>
        <v>0</v>
      </c>
      <c r="BF23" s="58">
        <f>SUMIFS(Accounts!$AB:$AB,Accounts!$B:$B,"Customer",Accounts!$E:$E,"QBDT")</f>
        <v>0</v>
      </c>
      <c r="BG23" s="58">
        <f>SUMIFS(Accounts!$AD:$AD,Accounts!$B:$B,"Customer",Accounts!$E:$E,"QBDT")+SUMIFS(Accounts!$AM:$AM,Accounts!$B:$B,"Customer",Accounts!$E:$E,"QBDT")+SUMIFS(Accounts!$AN:$AN,Accounts!$B:$B,"Customer",Accounts!$E:$E,"QBDT")</f>
        <v>0</v>
      </c>
      <c r="BH23" s="58">
        <f>SUMIFS(Accounts!$AE:$AE,Accounts!$B:$B,"Customer",Accounts!$E:$E,"QBDT") + SUMIFS(Accounts!$AP:$AP,Accounts!$B:$B,"Customer",Accounts!$E:$E,"QBDT")+SUMIFS(Accounts!$Z:$Z,Accounts!$B:$B,"Customer",Accounts!$E:$E,"QBDT")+SUMIFS(Accounts!$AG:$AG,Accounts!$B:$B,"Customer",Accounts!$E:$E,"QBDT") + SUMIFS(Accounts!$AL:$AL,Accounts!$B:$B,"Customer",Accounts!$E:$E,"QBDT")</f>
        <v>0</v>
      </c>
      <c r="BI23" s="58">
        <f>SUMIFS(Accounts!$AE:$AE,Accounts!$B:$B,"Customer",Accounts!$E:$E,"QBDT") + SUMIFS(Accounts!$AP:$AP,Accounts!$B:$B,"Customer",Accounts!$E:$E,"QBDT")</f>
        <v>0</v>
      </c>
      <c r="BJ23" s="58">
        <f>SUMIFS(Accounts!$Z:$Z,Accounts!$B:$B,"Customer",Accounts!$E:$E,"QBDT")</f>
        <v>0</v>
      </c>
      <c r="BK23" s="58">
        <f>SUMIFS(Accounts!$AG:$AG,Accounts!$B:$B,"Customer",Accounts!$E:$E,"QBDT") + SUMIFS(Accounts!$AL:$AL,Accounts!$B:$B,"Customer",Accounts!$E:$E,"QBDT")</f>
        <v>0</v>
      </c>
      <c r="BL23" s="58">
        <f>SUMIFS(Accounts!$AQ:$AQ,Accounts!$B:$B,"Customer",Accounts!$E:$E,"QBDT")</f>
        <v>1</v>
      </c>
      <c r="CU23" s="53" t="s">
        <v>59</v>
      </c>
      <c r="CV23" s="43" t="s">
        <v>167</v>
      </c>
      <c r="CW23" s="44">
        <f>COUNTIFS(Accounts!$AS:$AS, "Manufacturing (MWD)",Accounts!$C:$C,"Customer",Accounts!$E:$E,"QBDT")</f>
        <v>0</v>
      </c>
      <c r="DV23" s="49"/>
      <c r="DW23" s="53" t="s">
        <v>59</v>
      </c>
      <c r="DX23" s="43" t="s">
        <v>167</v>
      </c>
      <c r="DY23" s="44">
        <f>COUNTIFS(Accounts!$AS:$AS, "Wholesale and distribution services (MWD)",Accounts!$C:$C,"Customer",Accounts!$E:$E,"QBDT")</f>
        <v>0</v>
      </c>
      <c r="EX23" s="49"/>
      <c r="EY23" s="53" t="s">
        <v>59</v>
      </c>
      <c r="EZ23" s="43" t="s">
        <v>167</v>
      </c>
      <c r="FA23" s="44">
        <f>COUNTIFS(Accounts!$AS:$AS, "Construction",Accounts!$C:$C,"Customer",Accounts!$E:$E,"QBDT")</f>
        <v>0</v>
      </c>
      <c r="FZ23" s="49"/>
      <c r="GA23" s="53" t="s">
        <v>59</v>
      </c>
      <c r="GB23" s="43" t="s">
        <v>167</v>
      </c>
      <c r="GC23" s="44">
        <f>COUNTIFS(Accounts!$AS:$AS, "Field Services",Accounts!$C:$C,"Customer",Accounts!$E:$E,"QBDT")</f>
        <v>0</v>
      </c>
      <c r="HB23" s="49"/>
      <c r="HC23" s="53" t="s">
        <v>59</v>
      </c>
      <c r="HD23" s="43" t="s">
        <v>167</v>
      </c>
      <c r="HE23" s="44">
        <f>COUNTIFS(Accounts!$AS:$AS, "Consulting and Professional Services",Accounts!$C:$C,"Customer",Accounts!$E:$E,"QBDT")</f>
        <v>0</v>
      </c>
      <c r="ID23" s="49"/>
      <c r="IE23" s="53" t="s">
        <v>59</v>
      </c>
      <c r="IF23" s="43" t="s">
        <v>167</v>
      </c>
      <c r="IG23" s="44">
        <f>COUNTIFS(Accounts!$AS:$AS, "Retail",Accounts!$C:$C,"Customer",Accounts!$E:$E,"QBDT")</f>
        <v>0</v>
      </c>
      <c r="JF23" s="49"/>
      <c r="JG23" s="53" t="s">
        <v>59</v>
      </c>
      <c r="JH23" s="43" t="s">
        <v>167</v>
      </c>
      <c r="JI23" s="44">
        <f>COUNTIFS(Accounts!$AS:$AS, "Non-profit, govt or religious organization",Accounts!$C:$C,"Customer",Accounts!$E:$E,"QBDT")</f>
        <v>0</v>
      </c>
      <c r="KH23" s="49"/>
      <c r="KI23" s="53" t="s">
        <v>59</v>
      </c>
      <c r="KJ23" s="43" t="s">
        <v>167</v>
      </c>
      <c r="KK23" s="44">
        <f>COUNTIFS(Accounts!$AS:$AS, "Communications, Entertainment and Media",Accounts!$C:$C,"Customer",Accounts!$E:$E,"QBDT")</f>
        <v>0</v>
      </c>
      <c r="LJ23" s="49"/>
      <c r="LK23" s="53" t="s">
        <v>59</v>
      </c>
      <c r="LL23" s="43" t="s">
        <v>167</v>
      </c>
      <c r="LM23" s="44">
        <f>COUNTIFS(Accounts!$AS:$AS, "IT and computer related",Accounts!$C:$C,"Customer",Accounts!$E:$E,"QBDT")</f>
        <v>0</v>
      </c>
      <c r="ML23" s="49"/>
      <c r="MM23" s="53" t="s">
        <v>59</v>
      </c>
      <c r="MN23" s="43" t="s">
        <v>167</v>
      </c>
      <c r="MO23" s="44">
        <f>COUNTIFS(Accounts!$AS:$AS, {"General service based","General"},Accounts!$C:$C,"Customer",Accounts!$E:$E,"QBDT")</f>
        <v>0</v>
      </c>
      <c r="NN23" s="49"/>
      <c r="NO23" s="53" t="s">
        <v>59</v>
      </c>
      <c r="NP23" s="43" t="s">
        <v>167</v>
      </c>
      <c r="NQ23" s="44">
        <f>COUNTIFS(Accounts!$AS:$AS, "Other",Accounts!$C:$C,"Customer",Accounts!$E:$E,"QBDT")</f>
        <v>0</v>
      </c>
      <c r="OP23" s="49"/>
      <c r="OQ23" s="53" t="s">
        <v>59</v>
      </c>
      <c r="OR23" s="43" t="s">
        <v>167</v>
      </c>
      <c r="OS23" s="44">
        <f>COUNTIFS(Accounts!$AS:$AS, "Accounting and Bookkeeping",Accounts!$C:$C,"Customer",Accounts!$E:$E,"QBDT")</f>
        <v>1</v>
      </c>
      <c r="PR23" s="49"/>
      <c r="PS23" s="49"/>
      <c r="PT23" s="57"/>
    </row>
    <row r="24" spans="2:436" s="31" customFormat="1" ht="16" x14ac:dyDescent="0.2">
      <c r="B24" s="39"/>
      <c r="C24" s="33"/>
      <c r="AZ24" s="53" t="s">
        <v>59</v>
      </c>
      <c r="BA24" s="43" t="s">
        <v>168</v>
      </c>
      <c r="BB24" s="40"/>
      <c r="BC24" s="44">
        <f>COUNTIFS(Accounts!$B:$B,"Customer",Accounts!$C:$C,"Lost",Accounts!$E:$E,"QBDT")</f>
        <v>0</v>
      </c>
      <c r="BD24" s="58">
        <f>SUMIFS(Accounts!$AA:$AA,Accounts!$B:$B,"Customer",Accounts!$C:$C,"Lost",Accounts!$E:$E,"QBDT") + SUMIFS(Accounts!$AH:$AH,Accounts!$B:$B,"Customer",Accounts!$C:$C,"Lost",Accounts!$E:$E,"QBDT") + SUMIFS(Accounts!$AJ:$AJ,Accounts!$B:$B,"Customer",Accounts!$C:$C,"Lost",Accounts!$E:$E,"QBDT") + SUMIFS(Accounts!$AI:$AI,Accounts!$B:$B,"Customer",Accounts!$C:$C,"Lost",Accounts!$E:$E,"QBDT") + SUMIFS(Accounts!$AO:$AO,Accounts!$B:$B,"Customer",Accounts!$C:$C,"Lost",Accounts!$E:$E,"QBDT")</f>
        <v>0</v>
      </c>
      <c r="BE24" s="58">
        <f>(SUMIFS(Accounts!$AC:$AC,Accounts!$B:$B,"Customer",Accounts!$C:$C,"Lost",Accounts!$E:$E,"QBDT")+SUMIFS(Accounts!$AF:$AF,Accounts!$B:$B,"Customer",Accounts!$C:$C,"Lost",Accounts!$E:$E,"QBDT")+SUMIFS(Accounts!$AK:$AK,Accounts!$B:$B,"Customer",Accounts!$C:$C,"Lost",Accounts!$E:$E,"QBDT"))</f>
        <v>0</v>
      </c>
      <c r="BF24" s="58">
        <f>SUMIFS(Accounts!$AB:$AB,Accounts!$B:$B,"Customer",Accounts!$C:$C,"Lost",Accounts!$E:$E,"QBDT")</f>
        <v>0</v>
      </c>
      <c r="BG24" s="58">
        <f>SUMIFS(Accounts!$AD:$AD,Accounts!$B:$B,"Customer",Accounts!$C:$C,"Lost",Accounts!$E:$E,"QBDT")+SUMIFS(Accounts!$AM:$AM,Accounts!$B:$B,"Customer",Accounts!$C:$C,"Lost",Accounts!$E:$E,"QBDT")+SUMIFS(Accounts!$AN:$AN,Accounts!$B:$B,"Customer",Accounts!$C:$C,"Lost",Accounts!$E:$E,"QBDT")</f>
        <v>0</v>
      </c>
      <c r="BH24" s="58">
        <f>SUMPRODUCT(SUMIFS(Accounts!$AE:$AE,Accounts!$B:$B,"Customer",Accounts!$C:$C,"Lost",Accounts!$E:$E,"QBDT")+SUMIFS(Accounts!$AP:$AP,Accounts!$B:$B,"Customer",Accounts!$C:$C,"Lost",Accounts!$E:$E,"QBDT")+SUMIFS(Accounts!$Z:$Z,Accounts!$B:$B,"Customer",Accounts!$C:$C,"Lost",Accounts!$E:$E,"QBDT")+SUMIFS(Accounts!$AG:$AG,Accounts!$B:$B,"Customer",Accounts!$C:$C,"Lost",Accounts!$E:$E,"QBDT")+SUMIFS(Accounts!$AL:$AL,Accounts!$B:$B,"Customer",Accounts!$C:$C,"Lost",Accounts!$E:$E,"QBDT"))</f>
        <v>0</v>
      </c>
      <c r="BI24" s="58">
        <f>SUMIFS(Accounts!$AE:$AE,Accounts!$B:$B,"Customer",Accounts!$C:$C,"Lost",Accounts!$E:$E,"QBDT") + SUMIFS(Accounts!$AP:$AP,Accounts!$B:$B,"Customer",Accounts!$C:$C,"Lost",Accounts!$E:$E,"QBDT")</f>
        <v>0</v>
      </c>
      <c r="BJ24" s="58">
        <f>SUMIFS(Accounts!$Z:$Z,Accounts!$B:$B,"Customer",Accounts!$C:$C,"Lost",Accounts!$E:$E,"QBDT")</f>
        <v>0</v>
      </c>
      <c r="BK24" s="58">
        <f>SUMIFS(Accounts!$AG:$AG,Accounts!$B:$B,"Customer",Accounts!$C:$C,"Lost",Accounts!$E:$E,"QBDT") + SUMIFS(Accounts!$AL:$AL,Accounts!$B:$B,"Customer",Accounts!$C:$C,"Lost",Accounts!$E:$E,"QBDT")</f>
        <v>0</v>
      </c>
      <c r="BL24" s="58">
        <f>SUMIFS(Accounts!$AQ:$AQ,Accounts!$B:$B,"Customer",Accounts!$C:$C,"Lost",Accounts!$E:$E,"QBDT")</f>
        <v>0</v>
      </c>
      <c r="CU24" s="53" t="s">
        <v>59</v>
      </c>
      <c r="CV24" s="43" t="s">
        <v>169</v>
      </c>
      <c r="CW24" s="44">
        <f>SUMPRODUCT(COUNTIFS(Accounts!$AS:$AS,"Manufacturing (MWD)",Accounts!$B:$B,{"Trialer","none"},Accounts!$C:$C,"Customer",Accounts!$E:$E,"QBDT"))</f>
        <v>0</v>
      </c>
      <c r="DV24" s="49"/>
      <c r="DW24" s="53" t="s">
        <v>59</v>
      </c>
      <c r="DX24" s="43" t="s">
        <v>169</v>
      </c>
      <c r="DY24" s="44">
        <f>SUMPRODUCT(COUNTIFS(Accounts!$AS:$AS,"Wholesale and distribution services (MWD)",Accounts!$B:$B,{"Trialer","none"},Accounts!$C:$C,"Customer",Accounts!$E:$E,"QBDT"))</f>
        <v>0</v>
      </c>
      <c r="EX24" s="49"/>
      <c r="EY24" s="53" t="s">
        <v>59</v>
      </c>
      <c r="EZ24" s="43" t="s">
        <v>169</v>
      </c>
      <c r="FA24" s="44">
        <f>SUMPRODUCT(COUNTIFS(Accounts!$AS:$AS,"Construction",Accounts!$B:$B,{"Trialer","none"},Accounts!$C:$C,"Customer",Accounts!$E:$E,"QBDT"))</f>
        <v>0</v>
      </c>
      <c r="FZ24" s="49"/>
      <c r="GA24" s="53" t="s">
        <v>59</v>
      </c>
      <c r="GB24" s="43" t="s">
        <v>169</v>
      </c>
      <c r="GC24" s="44">
        <f>SUMPRODUCT(COUNTIFS(Accounts!$AS:$AS,"Field Services",Accounts!$B:$B,{"Trialer","none"},Accounts!$C:$C,"Customer",Accounts!$E:$E,"QBDT"))</f>
        <v>0</v>
      </c>
      <c r="HB24" s="49"/>
      <c r="HC24" s="53" t="s">
        <v>59</v>
      </c>
      <c r="HD24" s="43" t="s">
        <v>169</v>
      </c>
      <c r="HE24" s="44">
        <f>SUMPRODUCT(COUNTIFS(Accounts!$AS:$AS,"Consulting and Professional Services",Accounts!$B:$B,{"Trialer","none"},Accounts!$C:$C,"Customer",Accounts!$E:$E,"QBDT"))</f>
        <v>0</v>
      </c>
      <c r="ID24" s="49"/>
      <c r="IE24" s="53" t="s">
        <v>59</v>
      </c>
      <c r="IF24" s="43" t="s">
        <v>169</v>
      </c>
      <c r="IG24" s="44">
        <f>SUMPRODUCT(COUNTIFS(Accounts!$AS:$AS,"Retail",Accounts!$B:$B,{"Trialer","none"},Accounts!$C:$C,"Customer",Accounts!$E:$E,"QBDT"))</f>
        <v>0</v>
      </c>
      <c r="JF24" s="49"/>
      <c r="JG24" s="53" t="s">
        <v>59</v>
      </c>
      <c r="JH24" s="43" t="s">
        <v>169</v>
      </c>
      <c r="JI24" s="44">
        <f>SUMPRODUCT(COUNTIFS(Accounts!$AS:$AS,"Non-profit, govt or religious organization",Accounts!$B:$B,{"Trialer","none"},Accounts!$C:$C,"Customer",Accounts!$E:$E,"QBDT"))</f>
        <v>0</v>
      </c>
      <c r="KH24" s="49"/>
      <c r="KI24" s="53" t="s">
        <v>59</v>
      </c>
      <c r="KJ24" s="43" t="s">
        <v>169</v>
      </c>
      <c r="KK24" s="44">
        <f>SUMPRODUCT(COUNTIFS(Accounts!$AS:$AS,"Communications, Entertainment and Media",Accounts!$B:$B,{"Trialer","none"},Accounts!$C:$C,"Customer",Accounts!$E:$E,"QBDT"))</f>
        <v>0</v>
      </c>
      <c r="LJ24" s="49"/>
      <c r="LK24" s="53" t="s">
        <v>59</v>
      </c>
      <c r="LL24" s="43" t="s">
        <v>169</v>
      </c>
      <c r="LM24" s="44">
        <f>SUMPRODUCT(COUNTIFS(Accounts!$AS:$AS,"IT and computer related",Accounts!$B:$B,{"Trialer","none"},Accounts!$C:$C,"Customer",Accounts!$E:$E,"QBDT"))</f>
        <v>0</v>
      </c>
      <c r="ML24" s="49"/>
      <c r="MM24" s="53" t="s">
        <v>59</v>
      </c>
      <c r="MN24" s="43" t="s">
        <v>169</v>
      </c>
      <c r="MO24" s="44">
        <f>SUMPRODUCT(COUNTIFS(Accounts!$AS:$AS,{"General service based","General"},Accounts!$B:$B,{"Trialer","none"},Accounts!$C:$C,"Customer",Accounts!$E:$E,"QBDT"))</f>
        <v>0</v>
      </c>
      <c r="NN24" s="49"/>
      <c r="NO24" s="53" t="s">
        <v>59</v>
      </c>
      <c r="NP24" s="43" t="s">
        <v>169</v>
      </c>
      <c r="NQ24" s="44">
        <f>SUMPRODUCT(COUNTIFS(Accounts!$AS:$AS,"Other",Accounts!$B:$B,{"Trialer","none"},Accounts!$C:$C,"Customer",Accounts!$E:$E,"QBDT"))</f>
        <v>0</v>
      </c>
      <c r="OP24" s="49"/>
      <c r="OQ24" s="53" t="s">
        <v>59</v>
      </c>
      <c r="OR24" s="43" t="s">
        <v>169</v>
      </c>
      <c r="OS24" s="44">
        <f>SUMPRODUCT(COUNTIFS(Accounts!$AS:$AS,"Accounting and Bookkeeping",Accounts!$B:$B,{"Trialer","none"},Accounts!$C:$C,"Customer",Accounts!$E:$E,"QBDT"))</f>
        <v>0</v>
      </c>
      <c r="PR24" s="49"/>
      <c r="PS24" s="49"/>
      <c r="PT24" s="57"/>
    </row>
    <row r="25" spans="2:436" s="31" customFormat="1" ht="16" x14ac:dyDescent="0.2">
      <c r="B25" s="39"/>
      <c r="C25" s="33"/>
      <c r="AZ25" s="53" t="s">
        <v>59</v>
      </c>
      <c r="BA25" s="43" t="s">
        <v>167</v>
      </c>
      <c r="BB25" s="40"/>
      <c r="BC25" s="44">
        <f>COUNTIFS(Accounts!$C:$C,"Customer",Accounts!$E:$E,"QBDT")</f>
        <v>1</v>
      </c>
      <c r="BD25" s="58">
        <f>SUMIFS(Accounts!$AA:$AA,Accounts!$C:$C,"Customer",Accounts!$E:$E,"QBDT") + SUMIFS(Accounts!$AH:$AH,Accounts!$C:$C,"Customer",Accounts!$E:$E,"QBDT") + SUMIFS(Accounts!$AJ:$AJ,Accounts!$C:$C,"Customer",Accounts!$E:$E,"QBDT") + SUMIFS(Accounts!$AI:$AI,Accounts!$C:$C,"Customer",Accounts!$E:$E,"QBDT") + SUMIFS(Accounts!$AO:$AO,Accounts!$C:$C,"Customer",Accounts!$E:$E,"QBDT")</f>
        <v>0</v>
      </c>
      <c r="BE25" s="58">
        <f>(SUMIFS(Accounts!$AC:$AC,Accounts!$C:$C,"Customer",Accounts!$E:$E,"QBDT")+SUMIFS(Accounts!$AF:$AF,Accounts!$C:$C,"Customer",Accounts!$E:$E,"QBDT")+SUMIFS(Accounts!$AK:$AK,Accounts!$C:$C,"Customer",Accounts!$E:$E,"QBDT"))</f>
        <v>0</v>
      </c>
      <c r="BF25" s="58">
        <f>SUMIFS(Accounts!$AB:$AB,Accounts!$C:$C,"Customer",Accounts!$E:$E,"QBDT")</f>
        <v>0</v>
      </c>
      <c r="BG25" s="58">
        <f>SUMIFS(Accounts!$AD:$AD,Accounts!$C:$C,"Customer",Accounts!$E:$E,"QBDT")+SUMIFS(Accounts!$AM:$AM,Accounts!$C:$C,"Customer",Accounts!$E:$E,"QBDT")+SUMIFS(Accounts!$AN:$AN,Accounts!$C:$C,"Customer",Accounts!$E:$E,"QBDT")</f>
        <v>0</v>
      </c>
      <c r="BH25" s="58">
        <f>SUMIFS(Accounts!$AE:$AE,Accounts!$C:$C,"Customer",Accounts!$E:$E,"QBDT") + SUMIFS(Accounts!$AP:$AP,Accounts!$C:$C,"Customer",Accounts!$E:$E,"QBDT")+SUMIFS(Accounts!$Z:$Z,Accounts!$C:$C,"Customer",Accounts!$E:$E,"QBDT")+SUMIFS(Accounts!$AG:$AG,Accounts!$C:$C,"Customer",Accounts!$E:$E,"QBDT") + SUMIFS(Accounts!$AL:$AL,Accounts!$C:$C,"Customer",Accounts!$E:$E,"QBDT")</f>
        <v>0</v>
      </c>
      <c r="BI25" s="58">
        <f>SUMIFS(Accounts!$AE:$AE,Accounts!$C:$C,"Customer",Accounts!$E:$E,"QBDT") + SUMIFS(Accounts!$AP:$AP,Accounts!$C:$C,"Customer",Accounts!$E:$E,"QBDT")</f>
        <v>0</v>
      </c>
      <c r="BJ25" s="58">
        <f>SUMIFS(Accounts!$Z:$Z,Accounts!$C:$C,"Customer",Accounts!$E:$E,"QBDT")</f>
        <v>0</v>
      </c>
      <c r="BK25" s="58">
        <f>SUMIFS(Accounts!$AG:$AG,Accounts!$C:$C,"Customer",Accounts!$E:$E,"QBDT") + SUMIFS(Accounts!$AL:$AL,Accounts!$C:$C,"Customer",Accounts!$E:$E,"QBDT")</f>
        <v>0</v>
      </c>
      <c r="BL25" s="58">
        <f>SUMIFS(Accounts!$AQ:$AQ,Accounts!$C:$C,"Customer",Accounts!$E:$E,"QBDT")</f>
        <v>1</v>
      </c>
      <c r="CU25" s="53" t="s">
        <v>59</v>
      </c>
      <c r="CV25" s="43" t="s">
        <v>170</v>
      </c>
      <c r="CW25" s="44">
        <f>SUMPRODUCT(COUNTIFS(Accounts!$AS:$AS,"Manufacturing (MWD)",Accounts!$B:$B,{"Trialer","none"},Accounts!$C:$C,"Lost",Accounts!$E:$E,"QBDT"))</f>
        <v>0</v>
      </c>
      <c r="DV25" s="49"/>
      <c r="DW25" s="53" t="s">
        <v>59</v>
      </c>
      <c r="DX25" s="43" t="s">
        <v>170</v>
      </c>
      <c r="DY25" s="44">
        <f>SUMPRODUCT(COUNTIFS(Accounts!$AS:$AS,"Wholesale and distribution services (MWD)",Accounts!$B:$B,{"Trialer","none"},Accounts!$C:$C,"Lost",Accounts!$E:$E,"QBDT"))</f>
        <v>0</v>
      </c>
      <c r="EX25" s="49"/>
      <c r="EY25" s="53" t="s">
        <v>59</v>
      </c>
      <c r="EZ25" s="43" t="s">
        <v>170</v>
      </c>
      <c r="FA25" s="44">
        <f>SUMPRODUCT(COUNTIFS(Accounts!$AS:$AS,"Construction",Accounts!$B:$B,{"Trialer","none"},Accounts!$C:$C,"Lost",Accounts!$E:$E,"QBDT"))</f>
        <v>0</v>
      </c>
      <c r="FZ25" s="49"/>
      <c r="GA25" s="53" t="s">
        <v>59</v>
      </c>
      <c r="GB25" s="43" t="s">
        <v>170</v>
      </c>
      <c r="GC25" s="44">
        <f>SUMPRODUCT(COUNTIFS(Accounts!$AS:$AS,"Field Services",Accounts!$B:$B,{"Trialer","none"},Accounts!$C:$C,"Lost",Accounts!$E:$E,"QBDT"))</f>
        <v>0</v>
      </c>
      <c r="HB25" s="49"/>
      <c r="HC25" s="53" t="s">
        <v>59</v>
      </c>
      <c r="HD25" s="43" t="s">
        <v>170</v>
      </c>
      <c r="HE25" s="44">
        <f>SUMPRODUCT(COUNTIFS(Accounts!$AS:$AS,"Consulting and Professional Services",Accounts!$B:$B,{"Trialer","none"},Accounts!$C:$C,"Lost",Accounts!$E:$E,"QBDT"))</f>
        <v>0</v>
      </c>
      <c r="ID25" s="49"/>
      <c r="IE25" s="53" t="s">
        <v>59</v>
      </c>
      <c r="IF25" s="43" t="s">
        <v>170</v>
      </c>
      <c r="IG25" s="44">
        <f>SUMPRODUCT(COUNTIFS(Accounts!$AS:$AS,"Retail",Accounts!$B:$B,{"Trialer","none"},Accounts!$C:$C,"Lost",Accounts!$E:$E,"QBDT"))</f>
        <v>0</v>
      </c>
      <c r="JF25" s="49"/>
      <c r="JG25" s="53" t="s">
        <v>59</v>
      </c>
      <c r="JH25" s="43" t="s">
        <v>170</v>
      </c>
      <c r="JI25" s="44">
        <f>SUMPRODUCT(COUNTIFS(Accounts!$AS:$AS,"Non-profit, govt or religious organization",Accounts!$B:$B,{"Trialer","none"},Accounts!$C:$C,"Lost",Accounts!$E:$E,"QBDT"))</f>
        <v>0</v>
      </c>
      <c r="KH25" s="49"/>
      <c r="KI25" s="53" t="s">
        <v>59</v>
      </c>
      <c r="KJ25" s="43" t="s">
        <v>170</v>
      </c>
      <c r="KK25" s="44">
        <f>SUMPRODUCT(COUNTIFS(Accounts!$AS:$AS,"Communications, Entertainment and Media",Accounts!$B:$B,{"Trialer","none"},Accounts!$C:$C,"Lost",Accounts!$E:$E,"QBDT"))</f>
        <v>0</v>
      </c>
      <c r="LJ25" s="49"/>
      <c r="LK25" s="53" t="s">
        <v>59</v>
      </c>
      <c r="LL25" s="43" t="s">
        <v>170</v>
      </c>
      <c r="LM25" s="44">
        <f>SUMPRODUCT(COUNTIFS(Accounts!$AS:$AS,"IT and computer related",Accounts!$B:$B,{"Trialer","none"},Accounts!$C:$C,"Lost",Accounts!$E:$E,"QBDT"))</f>
        <v>0</v>
      </c>
      <c r="ML25" s="49"/>
      <c r="MM25" s="53" t="s">
        <v>59</v>
      </c>
      <c r="MN25" s="43" t="s">
        <v>170</v>
      </c>
      <c r="MO25" s="44">
        <f>SUMPRODUCT(COUNTIFS(Accounts!$AS:$AS,{"General service based","General"},Accounts!$B:$B,{"Trialer","none"},Accounts!$C:$C,"Lost",Accounts!$E:$E,"QBDT"))</f>
        <v>0</v>
      </c>
      <c r="NN25" s="49"/>
      <c r="NO25" s="53" t="s">
        <v>59</v>
      </c>
      <c r="NP25" s="43" t="s">
        <v>170</v>
      </c>
      <c r="NQ25" s="44">
        <f>SUMPRODUCT(COUNTIFS(Accounts!$AS:$AS,"Other",Accounts!$B:$B,{"Trialer","none"},Accounts!$C:$C,"Lost",Accounts!$E:$E,"QBDT"))</f>
        <v>0</v>
      </c>
      <c r="OP25" s="49"/>
      <c r="OQ25" s="53" t="s">
        <v>59</v>
      </c>
      <c r="OR25" s="43" t="s">
        <v>170</v>
      </c>
      <c r="OS25" s="44">
        <f>SUMPRODUCT(COUNTIFS(Accounts!$AS:$AS,"Accounting and Bookkeeping",Accounts!$B:$B,{"Trialer","none"},Accounts!$C:$C,"Lost",Accounts!$E:$E,"QBDT"))</f>
        <v>0</v>
      </c>
      <c r="PR25" s="49"/>
      <c r="PS25" s="49"/>
      <c r="PT25" s="57"/>
    </row>
    <row r="26" spans="2:436" s="31" customFormat="1" ht="16" x14ac:dyDescent="0.2">
      <c r="B26" s="39"/>
      <c r="C26" s="33"/>
      <c r="AZ26" s="53" t="s">
        <v>59</v>
      </c>
      <c r="BA26" s="43" t="s">
        <v>169</v>
      </c>
      <c r="BB26" s="40"/>
      <c r="BC26" s="44">
        <f>SUMPRODUCT(COUNTIFS(Accounts!$B:$B,{"Trialer","none"},Accounts!$C:$C,"Customer",Accounts!$E:$E,"QBDT"))</f>
        <v>0</v>
      </c>
      <c r="BD26" s="58">
        <f>SUMPRODUCT(SUMIFS(Accounts!$AA:$AA,Accounts!$B:$B,{"Trialer","none"},Accounts!$C:$C,"Customer",Accounts!$E:$E,"QBDT")+SUMIFS(Accounts!$AH:$AH,Accounts!$B:$B,{"Trialer","none"},Accounts!$C:$C,"Customer",Accounts!$E:$E,"QBDT")+SUMIFS(Accounts!$AJ:$AJ,Accounts!$B:$B,{"Trialer","none"},Accounts!$C:$C,"Customer",Accounts!$E:$E,"QBDT")+SUMIFS(Accounts!$AI:$AI,Accounts!$B:$B,{"Trialer","none"},Accounts!$C:$C,"Customer",Accounts!$E:$E,"QBDT")+SUMIFS(Accounts!$AO:$AO,Accounts!$B:$B,{"Trialer","none"},Accounts!$C:$C,"Customer",Accounts!$E:$E,"QBDT"))</f>
        <v>0</v>
      </c>
      <c r="BE26" s="58">
        <f>SUMPRODUCT(SUMIFS(Accounts!$AC:$AC,Accounts!$B:$B,{"Trialer","none"},Accounts!$C:$C,"Customer",Accounts!$E:$E,"QBDT")+SUMIFS(Accounts!$AF:$AF,Accounts!$B:$B,{"Trialer","none"},Accounts!$C:$C,"Customer",Accounts!$E:$E,"QBDT")+SUMIFS(Accounts!$AK:$AK,Accounts!$B:$B,{"Trialer","none"},Accounts!$C:$C,"Customer",Accounts!$E:$E,"QBDT"))</f>
        <v>0</v>
      </c>
      <c r="BF26" s="58">
        <f>SUMPRODUCT(SUMIFS(Accounts!$AB:$AB,Accounts!$B:$B,{"Trialer","none"},Accounts!$C:$C,"Customer",Accounts!$E:$E,"QBDT"))</f>
        <v>0</v>
      </c>
      <c r="BG26" s="58">
        <f>SUMPRODUCT(SUMIFS(Accounts!$AD:$AD,Accounts!$B:$B,{"Trialer","none"},Accounts!$C:$C,"Customer",Accounts!$E:$E,"QBDT")+SUMIFS(Accounts!$AM:$AM,Accounts!$B:$B,{"Trialer","none"},Accounts!$C:$C,"Customer",Accounts!$E:$E,"QBDT")+SUMIFS(Accounts!$AN:$AN,Accounts!$B:$B,{"Trialer","none"},Accounts!$C:$C,"Customer",Accounts!$E:$E,"QBDT"))</f>
        <v>0</v>
      </c>
      <c r="BH26" s="58">
        <f>SUMPRODUCT(SUMIFS(Accounts!$AE:$AE,Accounts!$B:$B,{"Trialer","none"},Accounts!$C:$C,"Customer",Accounts!$E:$E,"QBDT")+SUMIFS(Accounts!$AP:$AP,Accounts!$B:$B,{"Trialer","none"},Accounts!$C:$C,"Customer",Accounts!$E:$E,"QBDT")+SUMIFS(Accounts!$Z:$Z,Accounts!$B:$B,{"Trialer","none"},Accounts!$C:$C,"Customer",Accounts!$E:$E,"QBDT")+SUMIFS(Accounts!$AG:$AG,Accounts!$B:$B,{"Trialer","none"},Accounts!$C:$C,"Customer",Accounts!$E:$E,"QBDT")+SUMIFS(Accounts!$AL:$AL,Accounts!$B:$B,{"Trialer","none"},Accounts!$C:$C,"Customer",Accounts!$E:$E,"QBDT"))</f>
        <v>0</v>
      </c>
      <c r="BI26" s="58">
        <f>SUMPRODUCT(SUMIFS(Accounts!$AE:$AE,Accounts!$B:$B,{"Trialer","none"},Accounts!$C:$C,"Customer",Accounts!$E:$E,"QBDT")+SUMIFS(Accounts!$AP:$AP,Accounts!$B:$B,{"Trialer","none"},Accounts!$C:$C,"Customer",Accounts!$E:$E,"QBDT"))</f>
        <v>0</v>
      </c>
      <c r="BJ26" s="58">
        <f>SUMPRODUCT(SUMIFS(Accounts!$Z:$Z,Accounts!$B:$B,{"Trialer","none"},Accounts!$C:$C,"Customer",Accounts!$E:$E,"QBDT"))</f>
        <v>0</v>
      </c>
      <c r="BK26" s="58">
        <f>SUMPRODUCT(SUMIFS(Accounts!$AG:$AG,Accounts!$B:$B,{"Trialer","none"},Accounts!$C:$C,"Customer",Accounts!$E:$E,"QBDT")+SUMIFS(Accounts!$AL:$AL,Accounts!$B:$B,{"Trialer","none"},Accounts!$C:$C,"Customer",Accounts!$E:$E,"QBDT"))</f>
        <v>0</v>
      </c>
      <c r="BL26" s="58">
        <f>SUMPRODUCT(SUMIFS(Accounts!$AQ:$AQ,Accounts!$B:$B,{"Trialer","none"},Accounts!$C:$C,"Customer",Accounts!$E:$E,"QBDT"))</f>
        <v>0</v>
      </c>
    </row>
    <row r="27" spans="2:436" s="31" customFormat="1" ht="16" x14ac:dyDescent="0.2">
      <c r="B27" s="39"/>
      <c r="C27" s="33"/>
      <c r="AZ27" s="53" t="s">
        <v>59</v>
      </c>
      <c r="BA27" s="43" t="s">
        <v>170</v>
      </c>
      <c r="BB27" s="40"/>
      <c r="BC27" s="44">
        <f>SUMPRODUCT(COUNTIFS(Accounts!$B:$B,{"Trialer","none"},Accounts!$C:$C,"Lost",Accounts!$E:$E,"QBDT"))</f>
        <v>0</v>
      </c>
      <c r="BD27" s="58">
        <f>SUMPRODUCT(SUMIFS(Accounts!$AA:$AA,Accounts!$B:$B,{"Trialer","none"},Accounts!$C:$C,"Lost",Accounts!$E:$E,"QBDT")+SUMIFS(Accounts!$AH:$AH,Accounts!$B:$B,{"Trialer","none"},Accounts!$C:$C,"Lost",Accounts!$E:$E,"QBDT")+SUMIFS(Accounts!$AJ:$AJ,Accounts!$B:$B,{"Trialer","none"},Accounts!$C:$C,"Lost",Accounts!$E:$E,"QBDT")+SUMIFS(Accounts!$AI:$AI,Accounts!$B:$B,{"Trialer","none"},Accounts!$C:$C,"Lost",Accounts!$E:$E,"QBDT")+SUMIFS(Accounts!$AO:$AO,Accounts!$B:$B,{"Trialer","none"},Accounts!$C:$C,"Lost",Accounts!$E:$E,"QBDT"))</f>
        <v>0</v>
      </c>
      <c r="BE27" s="58">
        <f>SUMPRODUCT((SUMIFS(Accounts!$AC:$AC,Accounts!$B:$B,{"Trialer","none"},Accounts!$C:$C,"Lost",Accounts!$E:$E,"QBDT")+SUMIFS(Accounts!$AF:$AF,Accounts!$B:$B,{"Trialer","none"},Accounts!$C:$C,"Lost",Accounts!$E:$E,"QBDT")+SUMIFS(Accounts!$AK:$AK,Accounts!$B:$B,{"Trialer","none"},Accounts!$C:$C,"Lost",Accounts!$E:$E,"QBDT")))</f>
        <v>0</v>
      </c>
      <c r="BF27" s="58">
        <f>SUMPRODUCT(SUMIFS(Accounts!$AB:$AB,Accounts!$B:$B,{"Trialer","none"},Accounts!$C:$C,"Lost",Accounts!$E:$E,"QBDT"))</f>
        <v>0</v>
      </c>
      <c r="BG27" s="58">
        <f>SUMPRODUCT(SUMIFS(Accounts!$AD:$AD,Accounts!$B:$B,{"Trialer","none"},Accounts!$C:$C,"Lost",Accounts!$E:$E,"QBDT")+SUMIFS(Accounts!$AM:$AM,Accounts!$B:$B,{"Trialer","none"},Accounts!$C:$C,"Lost",Accounts!$E:$E,"QBDT")+SUMIFS(Accounts!$AN:$AN,Accounts!$B:$B,{"Trialer","none"},Accounts!$C:$C,"Lost",Accounts!$E:$E,"QBDT"))</f>
        <v>0</v>
      </c>
      <c r="BH27" s="58">
        <f>SUMPRODUCT(SUMIFS(Accounts!$AE:$AE,Accounts!$B:$B,{"Trialer","none"},Accounts!$C:$C,"Lost",Accounts!$E:$E,"QBDT")+SUMIFS(Accounts!$AP:$AP,Accounts!$B:$B,{"Trialer","none"},Accounts!$C:$C,"Lost",Accounts!$E:$E,"QBDT")+SUMIFS(Accounts!$Z:$Z,Accounts!$B:$B,{"Trialer","none"},Accounts!$C:$C,"Lost",Accounts!$E:$E,"QBDT")+SUMIFS(Accounts!$AG:$AG,Accounts!$B:$B,{"Trialer","none"},Accounts!$C:$C,"Lost",Accounts!$E:$E,"QBDT")+SUMIFS(Accounts!$AL:$AL,Accounts!$B:$B,{"Trialer","none"},Accounts!$C:$C,"Lost",Accounts!$E:$E,"QBDT"))</f>
        <v>0</v>
      </c>
      <c r="BI27" s="58">
        <f>SUMPRODUCT(SUMIFS(Accounts!$AE:$AE,Accounts!$B:$B,{"Trialer","none"},Accounts!$C:$C,"Lost",Accounts!$E:$E,"QBDT")+SUMIFS(Accounts!$AP:$AP,Accounts!$B:$B,{"Trialer","none"},Accounts!$C:$C,"Lost",Accounts!$E:$E,"QBDT"))</f>
        <v>0</v>
      </c>
      <c r="BJ27" s="58">
        <f>SUMPRODUCT(SUMIFS(Accounts!$Z:$Z,Accounts!$B:$B,{"Trialer","none"},Accounts!$C:$C,"Lost",Accounts!$E:$E,"QBDT"))</f>
        <v>0</v>
      </c>
      <c r="BK27" s="58">
        <f>SUMPRODUCT(SUMIFS(Accounts!$AG:$AG,Accounts!$B:$B,{"Trialer","none"},Accounts!$C:$C,"Lost",Accounts!$E:$E,"QBDT")+SUMIFS(Accounts!$AL:$AL,Accounts!$B:$B,{"Trialer","none"},Accounts!$C:$C,"Lost",Accounts!$E:$E,"QBDT"))</f>
        <v>0</v>
      </c>
      <c r="BL27" s="58">
        <f>SUMPRODUCT(SUMIFS(Accounts!$AQ:$AQ,Accounts!$B:$B,{"Trialer","none"},Accounts!$C:$C,"Lost",Accounts!$E:$E,"QBDT"))</f>
        <v>0</v>
      </c>
    </row>
    <row r="28" spans="2:436" s="31" customFormat="1" ht="16" x14ac:dyDescent="0.2">
      <c r="B28" s="39"/>
      <c r="C28" s="33"/>
    </row>
    <row r="29" spans="2:436" s="31" customFormat="1" ht="16" x14ac:dyDescent="0.2">
      <c r="B29" s="39"/>
      <c r="C29" s="33"/>
    </row>
    <row r="30" spans="2:436" ht="32" x14ac:dyDescent="0.2">
      <c r="B30" s="27" t="s">
        <v>145</v>
      </c>
      <c r="C30" s="27" t="s">
        <v>148</v>
      </c>
      <c r="D30" s="27" t="s">
        <v>149</v>
      </c>
      <c r="E30" s="27" t="s">
        <v>150</v>
      </c>
      <c r="F30" s="27" t="s">
        <v>151</v>
      </c>
      <c r="G30" s="27" t="s">
        <v>152</v>
      </c>
      <c r="H30" s="27" t="s">
        <v>153</v>
      </c>
      <c r="I30" s="27" t="s">
        <v>154</v>
      </c>
      <c r="J30" s="27" t="s">
        <v>155</v>
      </c>
      <c r="K30" s="27" t="s">
        <v>156</v>
      </c>
      <c r="L30" s="27" t="s">
        <v>157</v>
      </c>
      <c r="M30" s="27" t="s">
        <v>158</v>
      </c>
      <c r="N30" s="27" t="s">
        <v>159</v>
      </c>
      <c r="O30" s="27" t="s">
        <v>160</v>
      </c>
      <c r="P30" s="27" t="s">
        <v>161</v>
      </c>
      <c r="Q30" s="27" t="s">
        <v>162</v>
      </c>
      <c r="R30" s="26"/>
      <c r="S30" s="27" t="s">
        <v>262</v>
      </c>
      <c r="T30" s="27" t="s">
        <v>263</v>
      </c>
      <c r="U30" s="27" t="s">
        <v>264</v>
      </c>
      <c r="V30" s="27" t="s">
        <v>265</v>
      </c>
      <c r="W30" s="27" t="s">
        <v>266</v>
      </c>
      <c r="X30" s="27" t="s">
        <v>267</v>
      </c>
      <c r="Y30" s="27" t="s">
        <v>268</v>
      </c>
      <c r="Z30" s="27" t="s">
        <v>269</v>
      </c>
      <c r="AA30" s="27" t="s">
        <v>281</v>
      </c>
      <c r="AB30" s="27" t="s">
        <v>282</v>
      </c>
      <c r="AC30" s="27" t="s">
        <v>283</v>
      </c>
      <c r="AD30" s="27" t="s">
        <v>284</v>
      </c>
      <c r="AE30" s="27" t="s">
        <v>285</v>
      </c>
      <c r="AF30" s="27" t="s">
        <v>304</v>
      </c>
      <c r="AG30" s="27" t="s">
        <v>286</v>
      </c>
      <c r="AH30" s="27" t="s">
        <v>287</v>
      </c>
      <c r="AI30" s="27" t="s">
        <v>288</v>
      </c>
      <c r="AJ30" s="27" t="s">
        <v>289</v>
      </c>
      <c r="AK30" s="27" t="s">
        <v>290</v>
      </c>
      <c r="AL30" s="27" t="s">
        <v>291</v>
      </c>
      <c r="AM30" s="27" t="s">
        <v>292</v>
      </c>
      <c r="AN30" s="27" t="s">
        <v>293</v>
      </c>
      <c r="AO30" s="27" t="s">
        <v>294</v>
      </c>
      <c r="AP30" s="27" t="s">
        <v>295</v>
      </c>
      <c r="AQ30" s="27" t="s">
        <v>296</v>
      </c>
      <c r="AR30" s="27" t="s">
        <v>297</v>
      </c>
      <c r="AS30" s="27" t="s">
        <v>298</v>
      </c>
      <c r="AT30" s="27" t="s">
        <v>299</v>
      </c>
      <c r="AU30" s="27" t="s">
        <v>300</v>
      </c>
      <c r="AV30" s="27" t="s">
        <v>301</v>
      </c>
      <c r="AW30" s="27" t="s">
        <v>302</v>
      </c>
      <c r="AX30" s="27" t="s">
        <v>303</v>
      </c>
    </row>
    <row r="31" spans="2:436" x14ac:dyDescent="0.2">
      <c r="B31" s="60">
        <f>SUMPRODUCT(Accounts!$I:$I,Accounts!$AA:$AA)+SUMPRODUCT(Accounts!$I:$I,Accounts!$AH:$AH)+SUMPRODUCT(Accounts!$I:$I,Accounts!$AJ:$AJ)+SUMPRODUCT(Accounts!$I:$I,Accounts!$AI:$AI)+SUMPRODUCT(Accounts!$I:$I,Accounts!$AO:$AO)</f>
        <v>0</v>
      </c>
      <c r="C31" s="60">
        <f>SUMPRODUCT(Accounts!$I:$I,Accounts!$AC:$AC)+SUMPRODUCT(Accounts!$I:$I,Accounts!$AF:$AF)+SUMPRODUCT(Accounts!$I:$I,Accounts!$AK:$AK)</f>
        <v>0</v>
      </c>
      <c r="D31" s="60">
        <f>SUMPRODUCT(Accounts!$I:$I,Accounts!$AB:$AB)</f>
        <v>0</v>
      </c>
      <c r="E31" s="60">
        <f>SUMPRODUCT(Accounts!$I:$I,Accounts!$AD:$AD)+SUMPRODUCT(Accounts!$I:$I,Accounts!$AM:$AM)+SUMPRODUCT(Accounts!$I:$I,Accounts!$AN:$AN)</f>
        <v>0</v>
      </c>
      <c r="F31" s="60">
        <f>SUMPRODUCT(Accounts!$I:$I,Accounts!$AE:$AE)+SUMPRODUCT(Accounts!$I:$I,Accounts!$AP:$AP)</f>
        <v>0</v>
      </c>
      <c r="G31" s="60">
        <f>SUMPRODUCT(Accounts!$I:$I,Accounts!$Z:$Z)</f>
        <v>0</v>
      </c>
      <c r="H31" s="60">
        <f>SUMPRODUCT(Accounts!$I:$I,Accounts!$AG:$AG)+SUMPRODUCT(Accounts!$I:$I,Accounts!$AL:$AL)</f>
        <v>0</v>
      </c>
      <c r="I31" s="60">
        <f>SUMPRODUCT(Accounts!$I:$I,Accounts!$AQ:$AQ)</f>
        <v>0</v>
      </c>
      <c r="J31" s="60">
        <f>SUMPRODUCT(Accounts!$N:$N,Accounts!$AA:$AA)+SUMPRODUCT(Accounts!$N:$N,Accounts!$AH:$AH)+SUMPRODUCT(Accounts!$N:$N,Accounts!$AJ:$AJ)+SUMPRODUCT(Accounts!$N:$N,Accounts!$AI:$AI)+SUMPRODUCT(Accounts!$N:$N,Accounts!$AO:$AO)</f>
        <v>0</v>
      </c>
      <c r="K31" s="60">
        <f>SUMPRODUCT(Accounts!$N:$N,Accounts!$AC:$AC)+SUMPRODUCT(Accounts!$N:$N,Accounts!$AF:$AF)+SUMPRODUCT(Accounts!$N:$N,Accounts!$AK:$AK)</f>
        <v>0</v>
      </c>
      <c r="L31" s="60">
        <f>SUMPRODUCT(Accounts!$N:$N,Accounts!$AB:$AB)</f>
        <v>0</v>
      </c>
      <c r="M31" s="60">
        <f>SUMPRODUCT(Accounts!$N:$N,Accounts!$AD:$AD)+SUMPRODUCT(Accounts!$N:$N,Accounts!$AM:$AM)+SUMPRODUCT(Accounts!$N:$N,Accounts!$AN:$AN)</f>
        <v>0</v>
      </c>
      <c r="N31" s="60">
        <f>SUMPRODUCT(Accounts!$N:$N,Accounts!$AE:$AE)+SUMPRODUCT(Accounts!$N:$N,Accounts!$AP:$AP)</f>
        <v>0</v>
      </c>
      <c r="O31" s="60">
        <f>SUMPRODUCT(Accounts!$N:$N,Accounts!$Z:$Z)</f>
        <v>0</v>
      </c>
      <c r="P31" s="60">
        <f>SUMPRODUCT(Accounts!$N:$N,Accounts!$AG:$AG)+SUMPRODUCT(Accounts!$N:$N,Accounts!$AL:$AL)</f>
        <v>0</v>
      </c>
      <c r="Q31" s="60">
        <f>SUMPRODUCT(Accounts!$N:$N,Accounts!$AQ:$AQ)</f>
        <v>0</v>
      </c>
      <c r="S31" s="60">
        <f>SUMPRODUCT(--(Accounts!$E:$E="QBO"),Accounts!$I:$I,Accounts!$AA:$AA)+SUMPRODUCT(--(Accounts!$E:$E="QBO"),Accounts!$I:$I,Accounts!$AH:$AH)+SUMPRODUCT(--(Accounts!$E:$E="QBO"),Accounts!$I:$I,Accounts!$AJ:$AJ)+SUMPRODUCT(--(Accounts!$E:$E="QBO"),Accounts!$I:$I,Accounts!$AI:$AI)+SUMPRODUCT(--(Accounts!$E:$E="QBO"),Accounts!$I:$I,Accounts!$AO:$AO)</f>
        <v>0</v>
      </c>
      <c r="T31" s="60">
        <f>SUMPRODUCT(--(Accounts!$E:$E="QBDT"),Accounts!$I:$I,Accounts!$AA:$AA)+SUMPRODUCT(--(Accounts!$E:$E="QBDT"),Accounts!$I:$I,Accounts!$AH:$AH)+SUMPRODUCT(--(Accounts!$E:$E="QBDT"),Accounts!$I:$I,Accounts!$AJ:$AJ)+SUMPRODUCT(--(Accounts!$E:$E="QBDT"),Accounts!$I:$I,Accounts!$AI:$AI)+SUMPRODUCT(--(Accounts!$E:$E="QBDT"),Accounts!$I:$I,Accounts!$AO:$AO)</f>
        <v>0</v>
      </c>
      <c r="U31" s="60">
        <f>SUMPRODUCT(--(Accounts!$E:$E="QBO"),Accounts!$I:$I,Accounts!$AC:$AC)+SUMPRODUCT(--(Accounts!$E:$E="QBO"),Accounts!$I:$I,Accounts!$AF:$AF)+SUMPRODUCT(--(Accounts!$E:$E="QBO"),Accounts!$I:$I,Accounts!$AK:$AK)</f>
        <v>0</v>
      </c>
      <c r="V31" s="60">
        <f>SUMPRODUCT(--(Accounts!$E:$E="QBDT"),Accounts!$I:$I,Accounts!$AC:$AC)+SUMPRODUCT(--(Accounts!$E:$E="QBDT"),Accounts!$I:$I,Accounts!$AF:$AF)+SUMPRODUCT(--(Accounts!$E:$E="QBDT"),Accounts!$I:$I,Accounts!$AK:$AK)</f>
        <v>0</v>
      </c>
      <c r="W31" s="60">
        <f>SUMPRODUCT(--(Accounts!$E:$E="QBO"),Accounts!$I:$I,Accounts!$AB:$AB)</f>
        <v>0</v>
      </c>
      <c r="X31" s="60">
        <f>SUMPRODUCT(--(Accounts!$E:$E="QBDT"),Accounts!$I:$I,Accounts!$AB:$AB)</f>
        <v>0</v>
      </c>
      <c r="Y31" s="60">
        <f>SUMPRODUCT(--(Accounts!$E:$E="QBO"),Accounts!$I:$I,Accounts!$AD:$AD)+SUMPRODUCT(--(Accounts!$E:$E="QBO"),Accounts!$I:$I,Accounts!$AM:$AM)+SUMPRODUCT(--(Accounts!$E:$E="QBO"),Accounts!$I:$I,Accounts!$AN:$AN)</f>
        <v>0</v>
      </c>
      <c r="Z31" s="60">
        <f>SUMPRODUCT(--(Accounts!$E:$E="QBDT"),Accounts!$I:$I,Accounts!$AD:$AD)+SUMPRODUCT(--(Accounts!$E:$E="QBDT"),Accounts!$I:$I,Accounts!$AM:$AM)+SUMPRODUCT(--(Accounts!$E:$E="QBDT"),Accounts!$I:$I,Accounts!$AN:$AN)</f>
        <v>0</v>
      </c>
      <c r="AA31" s="60">
        <f>SUMPRODUCT(--(Accounts!$E:$E="QBO"),Accounts!$I:$I,Accounts!$AE:$AE)+SUMPRODUCT(--(Accounts!$E:$E="QBO"),Accounts!$I:$I,Accounts!$AP:$AP)</f>
        <v>0</v>
      </c>
      <c r="AB31" s="60">
        <f>SUMPRODUCT(--(Accounts!$E:$E="QBDT"),Accounts!$I:$I,Accounts!$AE:$AE)+SUMPRODUCT(--(Accounts!$E:$E="QBDT"),Accounts!$I:$I,Accounts!$AP:$AP)</f>
        <v>0</v>
      </c>
      <c r="AC31" s="60">
        <f>SUMPRODUCT(--(Accounts!$E:$E="QBO"),Accounts!$I:$I,Accounts!$Z:$Z)</f>
        <v>0</v>
      </c>
      <c r="AD31" s="60">
        <f>SUMPRODUCT(--(Accounts!$E:$E="QBDT"),Accounts!$I:$I,Accounts!$Z:$Z)</f>
        <v>0</v>
      </c>
      <c r="AE31" s="60">
        <f>SUMPRODUCT(--(Accounts!$E:$E="QBO"),Accounts!$I:$I,Accounts!$AG:$AG)+SUMPRODUCT(--(Accounts!$E:$E="QBO"),Accounts!$I:$I,Accounts!$AL:$AL)</f>
        <v>0</v>
      </c>
      <c r="AF31" s="60">
        <f>SUMPRODUCT(--(Accounts!$E:$E="QBDT"),Accounts!$I:$I,Accounts!$AG:$AG)+SUMPRODUCT(--(Accounts!$E:$E="QBDT"),Accounts!$I:$I,Accounts!$AL:$AL)</f>
        <v>0</v>
      </c>
      <c r="AG31" s="60">
        <f>SUMPRODUCT(--(Accounts!$E:$E="QBO"),Accounts!$I:$I,Accounts!$AQ:$AQ)</f>
        <v>0</v>
      </c>
      <c r="AH31" s="60">
        <f>SUMPRODUCT(--(Accounts!$E:$E="QBDT"),Accounts!$I:$I,Accounts!$AQ:$AQ)</f>
        <v>0</v>
      </c>
      <c r="AI31" s="60">
        <f>SUMPRODUCT(--(Accounts!$E:$E="QBO"),Accounts!$N:$N,Accounts!$AA:$AA)+SUMPRODUCT(--(Accounts!$E:$E="QBO"),Accounts!$N:$N,Accounts!$AH:$AH)+SUMPRODUCT(--(Accounts!$E:$E="QBO"),Accounts!$N:$N,Accounts!$AJ:$AJ)+SUMPRODUCT(--(Accounts!$E:$E="QBO"),Accounts!$N:$N,Accounts!$AI:$AI)+SUMPRODUCT(--(Accounts!$E:$E="QBO"),Accounts!$N:$N,Accounts!$AO:$AO)</f>
        <v>0</v>
      </c>
      <c r="AJ31" s="60">
        <f>SUMPRODUCT(--(Accounts!$E:$E="QBDT"),Accounts!$N:$N,Accounts!$AA:$AA)+SUMPRODUCT(--(Accounts!$E:$E="QBDT"),Accounts!$N:$N,Accounts!$AH:$AH)+SUMPRODUCT(--(Accounts!$E:$E="QBDT"),Accounts!$N:$N,Accounts!$AJ:$AJ)+SUMPRODUCT(--(Accounts!$E:$E="QBDT"),Accounts!$N:$N,Accounts!$AI:$AI)+SUMPRODUCT(--(Accounts!$E:$E="QBDT"),Accounts!$N:$N,Accounts!$AO:$AO)</f>
        <v>0</v>
      </c>
      <c r="AK31" s="60">
        <f>SUMPRODUCT(--(Accounts!$E:$E="QBO"),Accounts!$N:$N,Accounts!$AC:$AC)+SUMPRODUCT(--(Accounts!$E:$E="QBO"),Accounts!$N:$N,Accounts!$AF:$AF)+SUMPRODUCT(--(Accounts!$E:$E="QBO"),Accounts!$N:$N,Accounts!$AK:$AK)</f>
        <v>0</v>
      </c>
      <c r="AL31" s="60">
        <f>SUMPRODUCT(--(Accounts!$E:$E="QBDT"),Accounts!$N:$N,Accounts!$AC:$AC)+SUMPRODUCT(--(Accounts!$E:$E="QBDT"),Accounts!$N:$N,Accounts!$AF:$AF)+SUMPRODUCT(--(Accounts!$E:$E="QBDT"),Accounts!$N:$N,Accounts!$AK:$AK)</f>
        <v>0</v>
      </c>
      <c r="AM31" s="60">
        <f>SUMPRODUCT(--(Accounts!$E:$E="QBO"),Accounts!$N:$N,Accounts!$AB:$AB)</f>
        <v>0</v>
      </c>
      <c r="AN31" s="60">
        <f>SUMPRODUCT(--(Accounts!$E:$E="QBDT"),Accounts!$N:$N,Accounts!$AB:$AB)</f>
        <v>0</v>
      </c>
      <c r="AO31" s="60">
        <f>SUMPRODUCT(--(Accounts!$E:$E="QBO"),Accounts!$N:$N,Accounts!$AD:$AD)+SUMPRODUCT(--(Accounts!$E:$E="QBO"),Accounts!$N:$N,Accounts!$AM:$AM)+SUMPRODUCT(--(Accounts!$E:$E="QBO"),Accounts!$N:$N,Accounts!$AN:$AN)</f>
        <v>0</v>
      </c>
      <c r="AP31" s="60">
        <f>SUMPRODUCT(--(Accounts!$E:$E="QBDT"),Accounts!$N:$N,Accounts!$AD:$AD)+SUMPRODUCT(--(Accounts!$E:$E="QBDT"),Accounts!$N:$N,Accounts!$AM:$AM)+SUMPRODUCT(--(Accounts!$E:$E="QBDT"),Accounts!$N:$N,Accounts!$AN:$AN)</f>
        <v>0</v>
      </c>
      <c r="AQ31" s="60">
        <f>SUMPRODUCT(--(Accounts!$E:$E="QBO"),Accounts!$N:$N,Accounts!$AE:$AE)+SUMPRODUCT(--(Accounts!$E:$E="QBO"),Accounts!$N:$N,Accounts!$AP:$AP)</f>
        <v>0</v>
      </c>
      <c r="AR31" s="60">
        <f>SUMPRODUCT(--(Accounts!$E:$E="QBDT"),Accounts!$N:$N,Accounts!$AE:$AE)+SUMPRODUCT(--(Accounts!$E:$E="QBDT"),Accounts!$N:$N,Accounts!$AP:$AP)</f>
        <v>0</v>
      </c>
      <c r="AS31" s="60">
        <f>SUMPRODUCT(--(Accounts!$E:$E="QBO"),Accounts!$N:$N,Accounts!$Z:$Z)</f>
        <v>0</v>
      </c>
      <c r="AT31" s="60">
        <f>SUMPRODUCT(--(Accounts!$E:$E="QBDT"),Accounts!$N:$N,Accounts!$Z:$Z)</f>
        <v>0</v>
      </c>
      <c r="AU31" s="60">
        <f>SUMPRODUCT(--(Accounts!$E:$E="QBO"),Accounts!$N:$N,Accounts!$AG:$AG)+SUMPRODUCT(--(Accounts!$E:$E="QBO"),Accounts!$N:$N,Accounts!$AL:$AL)</f>
        <v>0</v>
      </c>
      <c r="AV31" s="60">
        <f>SUMPRODUCT(--(Accounts!$E:$E="QBDT"),Accounts!$N:$N,Accounts!$AG:$AG)+SUMPRODUCT(--(Accounts!$E:$E="QBDT"),Accounts!$N:$N,Accounts!$AL:$AL)</f>
        <v>0</v>
      </c>
      <c r="AW31" s="60">
        <f>SUMPRODUCT(--(Accounts!$E:$E="QBO"),Accounts!$N:$N,Accounts!$AQ:$AQ)</f>
        <v>0</v>
      </c>
      <c r="AX31" s="60">
        <f>SUMPRODUCT(--(Accounts!$E:$E="QBDT"),Accounts!$N:$N,Accounts!$AQ:$AQ)</f>
        <v>0</v>
      </c>
    </row>
    <row r="33" spans="2:19" x14ac:dyDescent="0.2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2:19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spans="2:19" x14ac:dyDescent="0.2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spans="2:19" x14ac:dyDescent="0.2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spans="2:19" x14ac:dyDescent="0.2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spans="2:19" x14ac:dyDescent="0.2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spans="2:19" x14ac:dyDescent="0.2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spans="2:19" x14ac:dyDescent="0.2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spans="2:19" x14ac:dyDescent="0.2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spans="2:19" x14ac:dyDescent="0.2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spans="2:19" x14ac:dyDescent="0.2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spans="2:19" x14ac:dyDescent="0.2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spans="2:19" x14ac:dyDescent="0.2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spans="2:19" x14ac:dyDescent="0.2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spans="2:19" x14ac:dyDescent="0.2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spans="2:19" x14ac:dyDescent="0.2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spans="2:19" x14ac:dyDescent="0.2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spans="2:19" x14ac:dyDescent="0.2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spans="2:19" x14ac:dyDescent="0.2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spans="2:19" x14ac:dyDescent="0.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spans="2:19" x14ac:dyDescent="0.2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spans="2:19" x14ac:dyDescent="0.2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spans="2:19" x14ac:dyDescent="0.2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spans="2:19" x14ac:dyDescent="0.2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spans="2:19" x14ac:dyDescent="0.2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spans="2:19" x14ac:dyDescent="0.2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spans="2:19" x14ac:dyDescent="0.2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spans="2:19" x14ac:dyDescent="0.2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spans="2:19" x14ac:dyDescent="0.2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spans="2:19" x14ac:dyDescent="0.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 spans="2:19" x14ac:dyDescent="0.2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spans="2:19" x14ac:dyDescent="0.2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 spans="2:19" x14ac:dyDescent="0.2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2:19" x14ac:dyDescent="0.2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spans="2:19" x14ac:dyDescent="0.2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spans="2:19" x14ac:dyDescent="0.2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spans="2:19" x14ac:dyDescent="0.2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spans="2:19" x14ac:dyDescent="0.2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spans="2:19" x14ac:dyDescent="0.2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 spans="2:19" x14ac:dyDescent="0.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spans="2:19" x14ac:dyDescent="0.2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 spans="2:19" x14ac:dyDescent="0.2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 spans="2:19" x14ac:dyDescent="0.2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 spans="2:19" x14ac:dyDescent="0.2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spans="2:19" x14ac:dyDescent="0.2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spans="2:19" x14ac:dyDescent="0.2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spans="2:19" x14ac:dyDescent="0.2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spans="2:19" x14ac:dyDescent="0.2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spans="2:19" x14ac:dyDescent="0.2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spans="2:19" x14ac:dyDescent="0.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spans="2:19" x14ac:dyDescent="0.2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spans="2:19" x14ac:dyDescent="0.2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 spans="2:19" x14ac:dyDescent="0.2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spans="2:19" x14ac:dyDescent="0.2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spans="2:19" x14ac:dyDescent="0.2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spans="2:19" x14ac:dyDescent="0.2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spans="2:19" x14ac:dyDescent="0.2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spans="2:19" x14ac:dyDescent="0.2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spans="2:19" x14ac:dyDescent="0.2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spans="2:19" x14ac:dyDescent="0.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 spans="2:19" x14ac:dyDescent="0.2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 spans="2:19" x14ac:dyDescent="0.2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spans="2:19" x14ac:dyDescent="0.2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spans="2:19" x14ac:dyDescent="0.2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spans="2:19" x14ac:dyDescent="0.2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spans="2:19" x14ac:dyDescent="0.2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spans="2:19" x14ac:dyDescent="0.2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spans="2:19" x14ac:dyDescent="0.2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spans="2:19" x14ac:dyDescent="0.2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 spans="2:19" x14ac:dyDescent="0.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spans="2:19" x14ac:dyDescent="0.2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spans="2:19" x14ac:dyDescent="0.2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spans="2:19" x14ac:dyDescent="0.2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spans="2:19" x14ac:dyDescent="0.2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spans="2:19" x14ac:dyDescent="0.2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spans="2:19" x14ac:dyDescent="0.2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spans="2:19" x14ac:dyDescent="0.2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spans="2:19" x14ac:dyDescent="0.2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spans="2:19" x14ac:dyDescent="0.2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spans="2:19" x14ac:dyDescent="0.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spans="2:19" x14ac:dyDescent="0.2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 spans="2:19" x14ac:dyDescent="0.2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spans="2:19" x14ac:dyDescent="0.2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spans="2:19" x14ac:dyDescent="0.2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spans="2:19" x14ac:dyDescent="0.2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spans="2:19" x14ac:dyDescent="0.2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spans="2:19" x14ac:dyDescent="0.2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 spans="2:19" x14ac:dyDescent="0.2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 spans="2:19" x14ac:dyDescent="0.2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 spans="2:19" x14ac:dyDescent="0.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 spans="2:19" x14ac:dyDescent="0.2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spans="2:19" x14ac:dyDescent="0.2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 spans="2:19" x14ac:dyDescent="0.2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spans="2:19" x14ac:dyDescent="0.2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spans="2:19" x14ac:dyDescent="0.2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spans="2:19" x14ac:dyDescent="0.2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spans="2:19" x14ac:dyDescent="0.2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spans="2:19" x14ac:dyDescent="0.2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spans="2:19" x14ac:dyDescent="0.2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spans="2:19" x14ac:dyDescent="0.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spans="2:19" x14ac:dyDescent="0.2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spans="2:19" x14ac:dyDescent="0.2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spans="2:19" x14ac:dyDescent="0.2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spans="2:19" x14ac:dyDescent="0.2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spans="2:19" x14ac:dyDescent="0.2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spans="2:19" x14ac:dyDescent="0.2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spans="2:19" x14ac:dyDescent="0.2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 spans="2:19" x14ac:dyDescent="0.2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spans="2:19" x14ac:dyDescent="0.2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 spans="2:19" x14ac:dyDescent="0.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 spans="2:19" x14ac:dyDescent="0.2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spans="2:19" x14ac:dyDescent="0.2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 spans="2:19" x14ac:dyDescent="0.2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 spans="2:19" x14ac:dyDescent="0.2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spans="2:19" x14ac:dyDescent="0.2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 spans="2:19" x14ac:dyDescent="0.2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 spans="2:19" x14ac:dyDescent="0.2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</row>
    <row r="150" spans="2:19" x14ac:dyDescent="0.2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</row>
    <row r="151" spans="2:19" x14ac:dyDescent="0.2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</row>
    <row r="152" spans="2:19" x14ac:dyDescent="0.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</row>
    <row r="153" spans="2:19" x14ac:dyDescent="0.2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</row>
    <row r="154" spans="2:19" x14ac:dyDescent="0.2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</row>
    <row r="155" spans="2:19" x14ac:dyDescent="0.2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</row>
    <row r="156" spans="2:19" x14ac:dyDescent="0.2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</row>
    <row r="157" spans="2:19" x14ac:dyDescent="0.2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</row>
    <row r="158" spans="2:19" x14ac:dyDescent="0.2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</row>
    <row r="159" spans="2:19" x14ac:dyDescent="0.2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</row>
    <row r="160" spans="2:19" x14ac:dyDescent="0.2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</row>
    <row r="161" spans="2:19" x14ac:dyDescent="0.2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</row>
    <row r="162" spans="2:19" x14ac:dyDescent="0.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</row>
    <row r="163" spans="2:19" x14ac:dyDescent="0.2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</row>
    <row r="164" spans="2:19" x14ac:dyDescent="0.2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</row>
    <row r="165" spans="2:19" x14ac:dyDescent="0.2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</row>
    <row r="166" spans="2:19" x14ac:dyDescent="0.2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</row>
    <row r="167" spans="2:19" x14ac:dyDescent="0.2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</row>
    <row r="168" spans="2:19" x14ac:dyDescent="0.2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</row>
    <row r="169" spans="2:19" x14ac:dyDescent="0.2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</row>
    <row r="170" spans="2:19" x14ac:dyDescent="0.2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</row>
    <row r="171" spans="2:19" x14ac:dyDescent="0.2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</row>
    <row r="172" spans="2:19" x14ac:dyDescent="0.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</row>
    <row r="173" spans="2:19" x14ac:dyDescent="0.2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</row>
    <row r="174" spans="2:19" x14ac:dyDescent="0.2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</row>
    <row r="175" spans="2:19" x14ac:dyDescent="0.2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</row>
    <row r="176" spans="2:19" x14ac:dyDescent="0.2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</row>
    <row r="177" spans="2:19" x14ac:dyDescent="0.2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</row>
    <row r="178" spans="2:19" x14ac:dyDescent="0.2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</row>
    <row r="179" spans="2:19" x14ac:dyDescent="0.2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</row>
    <row r="180" spans="2:19" x14ac:dyDescent="0.2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</row>
    <row r="181" spans="2:19" x14ac:dyDescent="0.2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</row>
    <row r="182" spans="2:19" x14ac:dyDescent="0.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</row>
    <row r="183" spans="2:19" x14ac:dyDescent="0.2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</row>
    <row r="184" spans="2:19" x14ac:dyDescent="0.2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</row>
    <row r="185" spans="2:19" x14ac:dyDescent="0.2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</row>
    <row r="186" spans="2:19" x14ac:dyDescent="0.2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</row>
    <row r="187" spans="2:19" x14ac:dyDescent="0.2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</row>
    <row r="188" spans="2:19" x14ac:dyDescent="0.2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</row>
    <row r="189" spans="2:19" x14ac:dyDescent="0.2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</row>
    <row r="190" spans="2:19" x14ac:dyDescent="0.2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</row>
    <row r="191" spans="2:19" x14ac:dyDescent="0.2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</row>
    <row r="192" spans="2:19" x14ac:dyDescent="0.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</row>
    <row r="193" spans="2:19" x14ac:dyDescent="0.2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</row>
    <row r="194" spans="2:19" x14ac:dyDescent="0.2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</row>
    <row r="195" spans="2:19" x14ac:dyDescent="0.2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</row>
    <row r="196" spans="2:19" x14ac:dyDescent="0.2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</row>
    <row r="197" spans="2:19" x14ac:dyDescent="0.2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</row>
    <row r="198" spans="2:19" x14ac:dyDescent="0.2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</row>
    <row r="199" spans="2:19" x14ac:dyDescent="0.2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</row>
    <row r="200" spans="2:19" x14ac:dyDescent="0.2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</row>
    <row r="201" spans="2:19" x14ac:dyDescent="0.2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</row>
    <row r="202" spans="2:19" x14ac:dyDescent="0.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</row>
    <row r="203" spans="2:19" x14ac:dyDescent="0.2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</row>
    <row r="204" spans="2:19" x14ac:dyDescent="0.2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</row>
    <row r="205" spans="2:19" x14ac:dyDescent="0.2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</row>
    <row r="206" spans="2:19" x14ac:dyDescent="0.2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</row>
    <row r="207" spans="2:19" x14ac:dyDescent="0.2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 spans="2:19" x14ac:dyDescent="0.2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</row>
    <row r="209" spans="2:19" x14ac:dyDescent="0.2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</row>
    <row r="210" spans="2:19" x14ac:dyDescent="0.2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</row>
    <row r="211" spans="2:19" x14ac:dyDescent="0.2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</row>
    <row r="212" spans="2:19" x14ac:dyDescent="0.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</row>
    <row r="213" spans="2:19" x14ac:dyDescent="0.2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</row>
    <row r="214" spans="2:19" x14ac:dyDescent="0.2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</row>
    <row r="215" spans="2:19" x14ac:dyDescent="0.2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</row>
    <row r="216" spans="2:19" x14ac:dyDescent="0.2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</row>
    <row r="217" spans="2:19" x14ac:dyDescent="0.2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</row>
    <row r="218" spans="2:19" x14ac:dyDescent="0.2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</row>
    <row r="219" spans="2:19" x14ac:dyDescent="0.2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</row>
    <row r="220" spans="2:19" x14ac:dyDescent="0.2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</row>
    <row r="221" spans="2:19" x14ac:dyDescent="0.2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</row>
    <row r="222" spans="2:19" x14ac:dyDescent="0.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</row>
    <row r="223" spans="2:19" x14ac:dyDescent="0.2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</row>
    <row r="224" spans="2:19" x14ac:dyDescent="0.2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</row>
    <row r="225" spans="2:19" x14ac:dyDescent="0.2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</row>
    <row r="226" spans="2:19" x14ac:dyDescent="0.2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</row>
    <row r="227" spans="2:19" x14ac:dyDescent="0.2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</row>
    <row r="228" spans="2:19" x14ac:dyDescent="0.2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</row>
    <row r="229" spans="2:19" x14ac:dyDescent="0.2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</row>
    <row r="230" spans="2:19" x14ac:dyDescent="0.2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</row>
    <row r="231" spans="2:19" x14ac:dyDescent="0.2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</row>
    <row r="232" spans="2:19" x14ac:dyDescent="0.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</row>
    <row r="233" spans="2:19" x14ac:dyDescent="0.2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</row>
    <row r="234" spans="2:19" x14ac:dyDescent="0.2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</row>
    <row r="235" spans="2:19" x14ac:dyDescent="0.2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</row>
    <row r="236" spans="2:19" x14ac:dyDescent="0.2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</row>
    <row r="237" spans="2:19" x14ac:dyDescent="0.2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</row>
    <row r="238" spans="2:19" x14ac:dyDescent="0.2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</row>
    <row r="239" spans="2:19" x14ac:dyDescent="0.2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</row>
    <row r="240" spans="2:19" x14ac:dyDescent="0.2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</row>
    <row r="241" spans="2:19" x14ac:dyDescent="0.2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</row>
    <row r="242" spans="2:19" x14ac:dyDescent="0.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</row>
    <row r="243" spans="2:19" x14ac:dyDescent="0.2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</row>
    <row r="244" spans="2:19" x14ac:dyDescent="0.2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</row>
    <row r="245" spans="2:19" x14ac:dyDescent="0.2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</row>
    <row r="246" spans="2:19" x14ac:dyDescent="0.2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</row>
    <row r="247" spans="2:19" x14ac:dyDescent="0.2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</row>
    <row r="248" spans="2:19" x14ac:dyDescent="0.2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</row>
    <row r="249" spans="2:19" x14ac:dyDescent="0.2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</row>
    <row r="250" spans="2:19" x14ac:dyDescent="0.2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</row>
    <row r="251" spans="2:19" x14ac:dyDescent="0.2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</row>
    <row r="252" spans="2:19" x14ac:dyDescent="0.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</row>
    <row r="253" spans="2:19" x14ac:dyDescent="0.2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</row>
    <row r="254" spans="2:19" x14ac:dyDescent="0.2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</row>
    <row r="255" spans="2:19" x14ac:dyDescent="0.2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</row>
    <row r="256" spans="2:19" x14ac:dyDescent="0.2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</row>
    <row r="257" spans="2:19" x14ac:dyDescent="0.2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</row>
    <row r="258" spans="2:19" x14ac:dyDescent="0.2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</row>
    <row r="259" spans="2:19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</row>
    <row r="260" spans="2:19" x14ac:dyDescent="0.2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</row>
    <row r="261" spans="2:19" x14ac:dyDescent="0.2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</row>
    <row r="262" spans="2:19" x14ac:dyDescent="0.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</row>
    <row r="263" spans="2:19" x14ac:dyDescent="0.2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</row>
    <row r="264" spans="2:19" x14ac:dyDescent="0.2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</row>
    <row r="265" spans="2:19" x14ac:dyDescent="0.2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</row>
    <row r="266" spans="2:19" x14ac:dyDescent="0.2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</row>
    <row r="267" spans="2:19" x14ac:dyDescent="0.2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</row>
    <row r="268" spans="2:19" x14ac:dyDescent="0.2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</row>
    <row r="269" spans="2:19" x14ac:dyDescent="0.2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</row>
    <row r="270" spans="2:19" x14ac:dyDescent="0.2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</row>
    <row r="271" spans="2:19" x14ac:dyDescent="0.2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</row>
    <row r="272" spans="2:19" x14ac:dyDescent="0.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</row>
    <row r="273" spans="2:19" x14ac:dyDescent="0.2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</row>
    <row r="274" spans="2:19" x14ac:dyDescent="0.2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</row>
    <row r="275" spans="2:19" x14ac:dyDescent="0.2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</row>
    <row r="276" spans="2:19" x14ac:dyDescent="0.2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</row>
    <row r="277" spans="2:19" x14ac:dyDescent="0.2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</row>
    <row r="278" spans="2:19" x14ac:dyDescent="0.2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</row>
    <row r="279" spans="2:19" x14ac:dyDescent="0.2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</row>
    <row r="280" spans="2:19" x14ac:dyDescent="0.2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</row>
    <row r="281" spans="2:19" x14ac:dyDescent="0.2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</row>
    <row r="282" spans="2:19" x14ac:dyDescent="0.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</row>
    <row r="283" spans="2:19" x14ac:dyDescent="0.2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</row>
    <row r="284" spans="2:19" x14ac:dyDescent="0.2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</row>
    <row r="285" spans="2:19" x14ac:dyDescent="0.2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</row>
    <row r="286" spans="2:19" x14ac:dyDescent="0.2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</row>
    <row r="287" spans="2:19" x14ac:dyDescent="0.2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</row>
    <row r="288" spans="2:19" x14ac:dyDescent="0.2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</row>
    <row r="289" spans="2:19" x14ac:dyDescent="0.2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</row>
    <row r="290" spans="2:19" x14ac:dyDescent="0.2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</row>
    <row r="291" spans="2:19" x14ac:dyDescent="0.2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</row>
    <row r="292" spans="2:19" x14ac:dyDescent="0.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</row>
    <row r="293" spans="2:19" x14ac:dyDescent="0.2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</row>
    <row r="294" spans="2:19" x14ac:dyDescent="0.2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</row>
    <row r="295" spans="2:19" x14ac:dyDescent="0.2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</row>
    <row r="296" spans="2:19" x14ac:dyDescent="0.2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</row>
    <row r="297" spans="2:19" x14ac:dyDescent="0.2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</row>
    <row r="298" spans="2:19" x14ac:dyDescent="0.2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</row>
    <row r="299" spans="2:19" x14ac:dyDescent="0.2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</row>
    <row r="300" spans="2:19" x14ac:dyDescent="0.2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</row>
    <row r="301" spans="2:19" x14ac:dyDescent="0.2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</row>
    <row r="302" spans="2:19" x14ac:dyDescent="0.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</row>
    <row r="303" spans="2:19" x14ac:dyDescent="0.2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</row>
    <row r="304" spans="2:19" x14ac:dyDescent="0.2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</row>
    <row r="305" spans="2:19" x14ac:dyDescent="0.2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</row>
    <row r="306" spans="2:19" x14ac:dyDescent="0.2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</row>
    <row r="307" spans="2:19" x14ac:dyDescent="0.2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</row>
    <row r="308" spans="2:19" x14ac:dyDescent="0.2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</row>
    <row r="309" spans="2:19" x14ac:dyDescent="0.2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</row>
    <row r="310" spans="2:19" x14ac:dyDescent="0.2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</row>
    <row r="311" spans="2:19" x14ac:dyDescent="0.2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</row>
    <row r="312" spans="2:19" x14ac:dyDescent="0.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</row>
    <row r="313" spans="2:19" x14ac:dyDescent="0.2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</row>
    <row r="314" spans="2:19" x14ac:dyDescent="0.2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</row>
    <row r="315" spans="2:19" x14ac:dyDescent="0.2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</row>
    <row r="316" spans="2:19" x14ac:dyDescent="0.2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</row>
    <row r="317" spans="2:19" x14ac:dyDescent="0.2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</row>
    <row r="318" spans="2:19" x14ac:dyDescent="0.2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</row>
    <row r="319" spans="2:19" x14ac:dyDescent="0.2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</row>
    <row r="320" spans="2:19" x14ac:dyDescent="0.2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</row>
    <row r="321" spans="2:19" x14ac:dyDescent="0.2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</row>
    <row r="322" spans="2:19" x14ac:dyDescent="0.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</row>
    <row r="323" spans="2:19" x14ac:dyDescent="0.2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</row>
    <row r="324" spans="2:19" x14ac:dyDescent="0.2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</row>
    <row r="325" spans="2:19" x14ac:dyDescent="0.2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</row>
    <row r="326" spans="2:19" x14ac:dyDescent="0.2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</row>
    <row r="327" spans="2:19" x14ac:dyDescent="0.2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</row>
    <row r="328" spans="2:19" x14ac:dyDescent="0.2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</row>
    <row r="329" spans="2:19" x14ac:dyDescent="0.2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</row>
    <row r="330" spans="2:19" x14ac:dyDescent="0.2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</row>
    <row r="331" spans="2:19" x14ac:dyDescent="0.2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</row>
    <row r="332" spans="2:19" x14ac:dyDescent="0.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</row>
    <row r="333" spans="2:19" x14ac:dyDescent="0.2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</row>
    <row r="334" spans="2:19" x14ac:dyDescent="0.2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</row>
    <row r="335" spans="2:19" x14ac:dyDescent="0.2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</row>
    <row r="336" spans="2:19" x14ac:dyDescent="0.2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</row>
    <row r="337" spans="2:19" x14ac:dyDescent="0.2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</row>
    <row r="338" spans="2:19" x14ac:dyDescent="0.2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</row>
    <row r="339" spans="2:19" x14ac:dyDescent="0.2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</row>
    <row r="340" spans="2:19" x14ac:dyDescent="0.2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</row>
    <row r="341" spans="2:19" x14ac:dyDescent="0.2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</row>
    <row r="342" spans="2:19" x14ac:dyDescent="0.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</row>
    <row r="343" spans="2:19" x14ac:dyDescent="0.2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</row>
    <row r="344" spans="2:19" x14ac:dyDescent="0.2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</row>
    <row r="345" spans="2:19" x14ac:dyDescent="0.2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</row>
    <row r="346" spans="2:19" x14ac:dyDescent="0.2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</row>
    <row r="347" spans="2:19" x14ac:dyDescent="0.2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</row>
    <row r="348" spans="2:19" x14ac:dyDescent="0.2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</row>
    <row r="349" spans="2:19" x14ac:dyDescent="0.2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</row>
    <row r="350" spans="2:19" x14ac:dyDescent="0.2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</row>
    <row r="351" spans="2:19" x14ac:dyDescent="0.2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</row>
    <row r="352" spans="2:19" x14ac:dyDescent="0.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</row>
    <row r="353" spans="2:19" x14ac:dyDescent="0.2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</row>
    <row r="354" spans="2:19" x14ac:dyDescent="0.2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</row>
    <row r="355" spans="2:19" x14ac:dyDescent="0.2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</row>
    <row r="356" spans="2:19" x14ac:dyDescent="0.2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</row>
    <row r="357" spans="2:19" x14ac:dyDescent="0.2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</row>
    <row r="358" spans="2:19" x14ac:dyDescent="0.2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</row>
    <row r="359" spans="2:19" x14ac:dyDescent="0.2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</row>
    <row r="360" spans="2:19" x14ac:dyDescent="0.2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</row>
    <row r="361" spans="2:19" x14ac:dyDescent="0.2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</row>
    <row r="362" spans="2:19" x14ac:dyDescent="0.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</row>
    <row r="363" spans="2:19" x14ac:dyDescent="0.2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</row>
    <row r="364" spans="2:19" x14ac:dyDescent="0.2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</row>
    <row r="365" spans="2:19" x14ac:dyDescent="0.2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</row>
    <row r="366" spans="2:19" x14ac:dyDescent="0.2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</row>
    <row r="367" spans="2:19" x14ac:dyDescent="0.2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</row>
    <row r="368" spans="2:19" x14ac:dyDescent="0.2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</row>
    <row r="369" spans="2:19" x14ac:dyDescent="0.2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</row>
    <row r="370" spans="2:19" x14ac:dyDescent="0.2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</row>
    <row r="371" spans="2:19" x14ac:dyDescent="0.2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</row>
    <row r="372" spans="2:19" x14ac:dyDescent="0.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</row>
    <row r="373" spans="2:19" x14ac:dyDescent="0.2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</row>
    <row r="374" spans="2:19" x14ac:dyDescent="0.2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</row>
    <row r="375" spans="2:19" x14ac:dyDescent="0.2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</row>
    <row r="376" spans="2:19" x14ac:dyDescent="0.2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</row>
    <row r="377" spans="2:19" x14ac:dyDescent="0.2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</row>
    <row r="378" spans="2:19" x14ac:dyDescent="0.2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</row>
    <row r="379" spans="2:19" x14ac:dyDescent="0.2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</row>
    <row r="380" spans="2:19" x14ac:dyDescent="0.2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</row>
    <row r="381" spans="2:19" x14ac:dyDescent="0.2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</row>
    <row r="382" spans="2:19" x14ac:dyDescent="0.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</row>
    <row r="383" spans="2:19" x14ac:dyDescent="0.2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</row>
    <row r="384" spans="2:19" x14ac:dyDescent="0.2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</row>
    <row r="385" spans="2:19" x14ac:dyDescent="0.2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</row>
    <row r="386" spans="2:19" x14ac:dyDescent="0.2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</row>
    <row r="387" spans="2:19" x14ac:dyDescent="0.2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</row>
    <row r="388" spans="2:19" x14ac:dyDescent="0.2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</row>
    <row r="389" spans="2:19" x14ac:dyDescent="0.2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</row>
    <row r="390" spans="2:19" x14ac:dyDescent="0.2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</row>
    <row r="391" spans="2:19" x14ac:dyDescent="0.2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</row>
    <row r="392" spans="2:19" x14ac:dyDescent="0.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</row>
    <row r="393" spans="2:19" x14ac:dyDescent="0.2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</row>
    <row r="394" spans="2:19" x14ac:dyDescent="0.2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</row>
    <row r="395" spans="2:19" x14ac:dyDescent="0.2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</row>
    <row r="396" spans="2:19" x14ac:dyDescent="0.2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</row>
    <row r="397" spans="2:19" x14ac:dyDescent="0.2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</row>
    <row r="398" spans="2:19" x14ac:dyDescent="0.2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</row>
    <row r="399" spans="2:19" x14ac:dyDescent="0.2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</row>
    <row r="400" spans="2:19" x14ac:dyDescent="0.2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</row>
    <row r="401" spans="2:19" x14ac:dyDescent="0.2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</row>
    <row r="402" spans="2:19" x14ac:dyDescent="0.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</row>
    <row r="403" spans="2:19" x14ac:dyDescent="0.2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</row>
    <row r="404" spans="2:19" x14ac:dyDescent="0.2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</row>
    <row r="405" spans="2:19" x14ac:dyDescent="0.2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</row>
    <row r="406" spans="2:19" x14ac:dyDescent="0.2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</row>
    <row r="407" spans="2:19" x14ac:dyDescent="0.2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</row>
    <row r="408" spans="2:19" x14ac:dyDescent="0.2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</row>
    <row r="409" spans="2:19" x14ac:dyDescent="0.2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</row>
    <row r="410" spans="2:19" x14ac:dyDescent="0.2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</row>
    <row r="411" spans="2:19" x14ac:dyDescent="0.2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</row>
    <row r="412" spans="2:19" x14ac:dyDescent="0.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</row>
    <row r="413" spans="2:19" x14ac:dyDescent="0.2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</row>
    <row r="414" spans="2:19" x14ac:dyDescent="0.2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</row>
    <row r="415" spans="2:19" x14ac:dyDescent="0.2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</row>
    <row r="416" spans="2:19" x14ac:dyDescent="0.2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</row>
    <row r="417" spans="2:19" x14ac:dyDescent="0.2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</row>
    <row r="418" spans="2:19" x14ac:dyDescent="0.2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</row>
    <row r="419" spans="2:19" x14ac:dyDescent="0.2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</row>
    <row r="420" spans="2:19" x14ac:dyDescent="0.2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</row>
    <row r="421" spans="2:19" x14ac:dyDescent="0.2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</row>
    <row r="422" spans="2:19" x14ac:dyDescent="0.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</row>
    <row r="423" spans="2:19" x14ac:dyDescent="0.2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</row>
    <row r="424" spans="2:19" x14ac:dyDescent="0.2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</row>
    <row r="425" spans="2:19" x14ac:dyDescent="0.2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</row>
    <row r="426" spans="2:19" x14ac:dyDescent="0.2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</row>
    <row r="427" spans="2:19" x14ac:dyDescent="0.2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</row>
    <row r="428" spans="2:19" x14ac:dyDescent="0.2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</row>
    <row r="429" spans="2:19" x14ac:dyDescent="0.2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</row>
    <row r="430" spans="2:19" x14ac:dyDescent="0.2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</row>
    <row r="431" spans="2:19" x14ac:dyDescent="0.2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</row>
    <row r="432" spans="2:19" x14ac:dyDescent="0.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</row>
    <row r="433" spans="2:19" x14ac:dyDescent="0.2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</row>
    <row r="434" spans="2:19" x14ac:dyDescent="0.2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</row>
    <row r="435" spans="2:19" x14ac:dyDescent="0.2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</row>
    <row r="436" spans="2:19" x14ac:dyDescent="0.2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</row>
    <row r="437" spans="2:19" x14ac:dyDescent="0.2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</row>
    <row r="438" spans="2:19" x14ac:dyDescent="0.2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</row>
    <row r="439" spans="2:19" x14ac:dyDescent="0.2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</row>
    <row r="440" spans="2:19" x14ac:dyDescent="0.2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</row>
    <row r="441" spans="2:19" x14ac:dyDescent="0.2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</row>
    <row r="442" spans="2:19" x14ac:dyDescent="0.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</row>
    <row r="443" spans="2:19" x14ac:dyDescent="0.2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</row>
    <row r="444" spans="2:19" x14ac:dyDescent="0.2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</row>
    <row r="445" spans="2:19" x14ac:dyDescent="0.2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</row>
    <row r="446" spans="2:19" x14ac:dyDescent="0.2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</row>
    <row r="447" spans="2:19" x14ac:dyDescent="0.2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</row>
    <row r="448" spans="2:19" x14ac:dyDescent="0.2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</row>
    <row r="449" spans="2:19" x14ac:dyDescent="0.2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</row>
    <row r="450" spans="2:19" x14ac:dyDescent="0.2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</row>
    <row r="451" spans="2:19" x14ac:dyDescent="0.2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</row>
    <row r="452" spans="2:19" x14ac:dyDescent="0.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</row>
    <row r="453" spans="2:19" x14ac:dyDescent="0.2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</row>
    <row r="454" spans="2:19" x14ac:dyDescent="0.2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</row>
    <row r="455" spans="2:19" x14ac:dyDescent="0.2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</row>
    <row r="456" spans="2:19" x14ac:dyDescent="0.2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</row>
    <row r="457" spans="2:19" x14ac:dyDescent="0.2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</row>
    <row r="458" spans="2:19" x14ac:dyDescent="0.2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</row>
    <row r="459" spans="2:19" x14ac:dyDescent="0.2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</row>
    <row r="460" spans="2:19" x14ac:dyDescent="0.2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</row>
    <row r="461" spans="2:19" x14ac:dyDescent="0.2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</row>
    <row r="462" spans="2:19" x14ac:dyDescent="0.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</row>
    <row r="463" spans="2:19" x14ac:dyDescent="0.2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</row>
    <row r="464" spans="2:19" x14ac:dyDescent="0.2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</row>
    <row r="465" spans="2:19" x14ac:dyDescent="0.2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</row>
    <row r="466" spans="2:19" x14ac:dyDescent="0.2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</row>
    <row r="467" spans="2:19" x14ac:dyDescent="0.2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</row>
    <row r="468" spans="2:19" x14ac:dyDescent="0.2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</row>
    <row r="469" spans="2:19" x14ac:dyDescent="0.2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</row>
    <row r="470" spans="2:19" x14ac:dyDescent="0.2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</row>
    <row r="471" spans="2:19" x14ac:dyDescent="0.2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</row>
    <row r="472" spans="2:19" x14ac:dyDescent="0.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</row>
    <row r="473" spans="2:19" x14ac:dyDescent="0.2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</row>
    <row r="474" spans="2:19" x14ac:dyDescent="0.2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</row>
    <row r="475" spans="2:19" x14ac:dyDescent="0.2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</row>
    <row r="476" spans="2:19" x14ac:dyDescent="0.2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</row>
    <row r="477" spans="2:19" x14ac:dyDescent="0.2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</row>
    <row r="478" spans="2:19" x14ac:dyDescent="0.2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</row>
    <row r="479" spans="2:19" x14ac:dyDescent="0.2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</row>
    <row r="480" spans="2:19" x14ac:dyDescent="0.2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</row>
    <row r="481" spans="2:19" x14ac:dyDescent="0.2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</row>
    <row r="482" spans="2:19" x14ac:dyDescent="0.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</row>
    <row r="483" spans="2:19" x14ac:dyDescent="0.2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</row>
    <row r="484" spans="2:19" x14ac:dyDescent="0.2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</row>
    <row r="485" spans="2:19" x14ac:dyDescent="0.2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</row>
    <row r="486" spans="2:19" x14ac:dyDescent="0.2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</row>
    <row r="487" spans="2:19" x14ac:dyDescent="0.2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</row>
    <row r="488" spans="2:19" x14ac:dyDescent="0.2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</row>
    <row r="489" spans="2:19" x14ac:dyDescent="0.2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</row>
    <row r="490" spans="2:19" x14ac:dyDescent="0.2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</row>
    <row r="491" spans="2:19" x14ac:dyDescent="0.2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</row>
    <row r="492" spans="2:19" x14ac:dyDescent="0.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</row>
    <row r="493" spans="2:19" x14ac:dyDescent="0.2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</row>
    <row r="494" spans="2:19" x14ac:dyDescent="0.2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</row>
    <row r="495" spans="2:19" x14ac:dyDescent="0.2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</row>
    <row r="496" spans="2:19" x14ac:dyDescent="0.2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</row>
    <row r="497" spans="2:19" x14ac:dyDescent="0.2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</row>
    <row r="498" spans="2:19" x14ac:dyDescent="0.2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</row>
    <row r="499" spans="2:19" x14ac:dyDescent="0.2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</row>
    <row r="500" spans="2:19" x14ac:dyDescent="0.2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</row>
    <row r="501" spans="2:19" x14ac:dyDescent="0.2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</row>
    <row r="502" spans="2:19" x14ac:dyDescent="0.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</row>
    <row r="503" spans="2:19" x14ac:dyDescent="0.2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</row>
    <row r="504" spans="2:19" x14ac:dyDescent="0.2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</row>
    <row r="505" spans="2:19" x14ac:dyDescent="0.2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</row>
    <row r="506" spans="2:19" x14ac:dyDescent="0.2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</row>
    <row r="507" spans="2:19" x14ac:dyDescent="0.2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</row>
    <row r="508" spans="2:19" x14ac:dyDescent="0.2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</row>
    <row r="509" spans="2:19" x14ac:dyDescent="0.2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</row>
    <row r="510" spans="2:19" x14ac:dyDescent="0.2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</row>
    <row r="511" spans="2:19" x14ac:dyDescent="0.2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</row>
    <row r="512" spans="2:19" x14ac:dyDescent="0.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</row>
    <row r="513" spans="2:19" x14ac:dyDescent="0.2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</row>
    <row r="514" spans="2:19" x14ac:dyDescent="0.2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</row>
    <row r="515" spans="2:19" x14ac:dyDescent="0.2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</row>
    <row r="516" spans="2:19" x14ac:dyDescent="0.2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</row>
    <row r="517" spans="2:19" x14ac:dyDescent="0.2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</row>
    <row r="518" spans="2:19" x14ac:dyDescent="0.2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</row>
    <row r="519" spans="2:19" x14ac:dyDescent="0.2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</row>
    <row r="520" spans="2:19" x14ac:dyDescent="0.2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</row>
    <row r="521" spans="2:19" x14ac:dyDescent="0.2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</row>
    <row r="522" spans="2:19" x14ac:dyDescent="0.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</row>
    <row r="523" spans="2:19" x14ac:dyDescent="0.2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</row>
    <row r="524" spans="2:19" x14ac:dyDescent="0.2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</row>
    <row r="525" spans="2:19" x14ac:dyDescent="0.2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</row>
    <row r="526" spans="2:19" x14ac:dyDescent="0.2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</row>
    <row r="527" spans="2:19" x14ac:dyDescent="0.2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</row>
    <row r="528" spans="2:19" x14ac:dyDescent="0.2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</row>
    <row r="529" spans="2:19" x14ac:dyDescent="0.2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</row>
    <row r="530" spans="2:19" x14ac:dyDescent="0.2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</row>
    <row r="531" spans="2:19" x14ac:dyDescent="0.2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</row>
    <row r="532" spans="2:19" x14ac:dyDescent="0.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</row>
    <row r="533" spans="2:19" x14ac:dyDescent="0.2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</row>
    <row r="534" spans="2:19" x14ac:dyDescent="0.2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</row>
    <row r="535" spans="2:19" x14ac:dyDescent="0.2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</row>
    <row r="536" spans="2:19" x14ac:dyDescent="0.2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</row>
    <row r="537" spans="2:19" x14ac:dyDescent="0.2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</row>
    <row r="538" spans="2:19" x14ac:dyDescent="0.2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</row>
    <row r="539" spans="2:19" x14ac:dyDescent="0.2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</row>
    <row r="540" spans="2:19" x14ac:dyDescent="0.2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</row>
    <row r="541" spans="2:19" x14ac:dyDescent="0.2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</row>
    <row r="542" spans="2:19" x14ac:dyDescent="0.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</row>
    <row r="543" spans="2:19" x14ac:dyDescent="0.2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</row>
    <row r="544" spans="2:19" x14ac:dyDescent="0.2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</row>
    <row r="545" spans="2:19" x14ac:dyDescent="0.2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</row>
    <row r="546" spans="2:19" x14ac:dyDescent="0.2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</row>
    <row r="547" spans="2:19" x14ac:dyDescent="0.2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</row>
    <row r="548" spans="2:19" x14ac:dyDescent="0.2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</row>
    <row r="549" spans="2:19" x14ac:dyDescent="0.2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</row>
    <row r="550" spans="2:19" x14ac:dyDescent="0.2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</row>
    <row r="551" spans="2:19" x14ac:dyDescent="0.2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</row>
    <row r="552" spans="2:19" x14ac:dyDescent="0.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</row>
    <row r="553" spans="2:19" x14ac:dyDescent="0.2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</row>
    <row r="554" spans="2:19" x14ac:dyDescent="0.2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</row>
    <row r="555" spans="2:19" x14ac:dyDescent="0.2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</row>
    <row r="556" spans="2:19" x14ac:dyDescent="0.2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</row>
    <row r="557" spans="2:19" x14ac:dyDescent="0.2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</row>
    <row r="558" spans="2:19" x14ac:dyDescent="0.2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</row>
    <row r="559" spans="2:19" x14ac:dyDescent="0.2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</row>
    <row r="560" spans="2:19" x14ac:dyDescent="0.2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</row>
    <row r="561" spans="2:19" x14ac:dyDescent="0.2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</row>
    <row r="562" spans="2:19" x14ac:dyDescent="0.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</row>
    <row r="563" spans="2:19" x14ac:dyDescent="0.2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</row>
    <row r="564" spans="2:19" x14ac:dyDescent="0.2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</row>
    <row r="565" spans="2:19" x14ac:dyDescent="0.2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</row>
    <row r="566" spans="2:19" x14ac:dyDescent="0.2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</row>
    <row r="567" spans="2:19" x14ac:dyDescent="0.2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</row>
    <row r="568" spans="2:19" x14ac:dyDescent="0.2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</row>
    <row r="569" spans="2:19" x14ac:dyDescent="0.2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</row>
    <row r="570" spans="2:19" x14ac:dyDescent="0.2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</row>
    <row r="571" spans="2:19" x14ac:dyDescent="0.2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</row>
    <row r="572" spans="2:19" x14ac:dyDescent="0.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</row>
    <row r="573" spans="2:19" x14ac:dyDescent="0.2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</row>
    <row r="574" spans="2:19" x14ac:dyDescent="0.2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</row>
    <row r="575" spans="2:19" x14ac:dyDescent="0.2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</row>
    <row r="576" spans="2:19" x14ac:dyDescent="0.2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</row>
    <row r="577" spans="2:19" x14ac:dyDescent="0.2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</row>
    <row r="578" spans="2:19" x14ac:dyDescent="0.2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</row>
    <row r="579" spans="2:19" x14ac:dyDescent="0.2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</row>
    <row r="580" spans="2:19" x14ac:dyDescent="0.2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</row>
    <row r="581" spans="2:19" x14ac:dyDescent="0.2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</row>
    <row r="582" spans="2:19" x14ac:dyDescent="0.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</row>
    <row r="583" spans="2:19" x14ac:dyDescent="0.2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</row>
    <row r="584" spans="2:19" x14ac:dyDescent="0.2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</row>
    <row r="585" spans="2:19" x14ac:dyDescent="0.2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</row>
    <row r="586" spans="2:19" x14ac:dyDescent="0.2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</row>
    <row r="587" spans="2:19" x14ac:dyDescent="0.2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</row>
    <row r="588" spans="2:19" x14ac:dyDescent="0.2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</row>
    <row r="589" spans="2:19" x14ac:dyDescent="0.2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</row>
    <row r="590" spans="2:19" x14ac:dyDescent="0.2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</row>
    <row r="591" spans="2:19" x14ac:dyDescent="0.2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</row>
    <row r="592" spans="2:19" x14ac:dyDescent="0.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</row>
    <row r="593" spans="2:19" x14ac:dyDescent="0.2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</row>
    <row r="594" spans="2:19" x14ac:dyDescent="0.2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</row>
    <row r="595" spans="2:19" x14ac:dyDescent="0.2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</row>
    <row r="596" spans="2:19" x14ac:dyDescent="0.2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</row>
    <row r="597" spans="2:19" x14ac:dyDescent="0.2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</row>
    <row r="598" spans="2:19" x14ac:dyDescent="0.2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</row>
    <row r="599" spans="2:19" x14ac:dyDescent="0.2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</row>
    <row r="600" spans="2:19" x14ac:dyDescent="0.2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</row>
    <row r="601" spans="2:19" x14ac:dyDescent="0.2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</row>
    <row r="602" spans="2:19" x14ac:dyDescent="0.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</row>
    <row r="603" spans="2:19" x14ac:dyDescent="0.2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</row>
    <row r="604" spans="2:19" x14ac:dyDescent="0.2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</row>
    <row r="605" spans="2:19" x14ac:dyDescent="0.2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</row>
    <row r="606" spans="2:19" x14ac:dyDescent="0.2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</row>
    <row r="607" spans="2:19" x14ac:dyDescent="0.2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</row>
    <row r="608" spans="2:19" x14ac:dyDescent="0.2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</row>
    <row r="609" spans="2:19" x14ac:dyDescent="0.2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</row>
    <row r="610" spans="2:19" x14ac:dyDescent="0.2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</row>
    <row r="611" spans="2:19" x14ac:dyDescent="0.2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</row>
    <row r="612" spans="2:19" x14ac:dyDescent="0.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</row>
    <row r="613" spans="2:19" x14ac:dyDescent="0.2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</row>
    <row r="614" spans="2:19" x14ac:dyDescent="0.2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</row>
    <row r="615" spans="2:19" x14ac:dyDescent="0.2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</row>
    <row r="616" spans="2:19" x14ac:dyDescent="0.2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</row>
    <row r="617" spans="2:19" x14ac:dyDescent="0.2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</row>
    <row r="618" spans="2:19" x14ac:dyDescent="0.2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</row>
    <row r="619" spans="2:19" x14ac:dyDescent="0.2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</row>
    <row r="620" spans="2:19" x14ac:dyDescent="0.2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</row>
    <row r="621" spans="2:19" x14ac:dyDescent="0.2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</row>
    <row r="622" spans="2:19" x14ac:dyDescent="0.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</row>
    <row r="623" spans="2:19" x14ac:dyDescent="0.2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</row>
    <row r="624" spans="2:19" x14ac:dyDescent="0.2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</row>
    <row r="625" spans="2:19" x14ac:dyDescent="0.2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</row>
    <row r="626" spans="2:19" x14ac:dyDescent="0.2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</row>
    <row r="627" spans="2:19" x14ac:dyDescent="0.2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</row>
    <row r="628" spans="2:19" x14ac:dyDescent="0.2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</row>
    <row r="629" spans="2:19" x14ac:dyDescent="0.2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</row>
    <row r="630" spans="2:19" x14ac:dyDescent="0.2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</row>
    <row r="631" spans="2:19" x14ac:dyDescent="0.2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</row>
    <row r="632" spans="2:19" x14ac:dyDescent="0.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</row>
    <row r="633" spans="2:19" x14ac:dyDescent="0.2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</row>
    <row r="634" spans="2:19" x14ac:dyDescent="0.2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</row>
    <row r="635" spans="2:19" x14ac:dyDescent="0.2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</row>
    <row r="636" spans="2:19" x14ac:dyDescent="0.2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</row>
    <row r="637" spans="2:19" x14ac:dyDescent="0.2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</row>
    <row r="638" spans="2:19" x14ac:dyDescent="0.2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</row>
    <row r="639" spans="2:19" x14ac:dyDescent="0.2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</row>
    <row r="640" spans="2:19" x14ac:dyDescent="0.2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</row>
    <row r="641" spans="2:19" x14ac:dyDescent="0.2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</row>
    <row r="642" spans="2:19" x14ac:dyDescent="0.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</row>
    <row r="643" spans="2:19" x14ac:dyDescent="0.2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</row>
    <row r="644" spans="2:19" x14ac:dyDescent="0.2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</row>
    <row r="645" spans="2:19" x14ac:dyDescent="0.2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</row>
    <row r="646" spans="2:19" x14ac:dyDescent="0.2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</row>
    <row r="647" spans="2:19" x14ac:dyDescent="0.2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</row>
    <row r="648" spans="2:19" x14ac:dyDescent="0.2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</row>
    <row r="649" spans="2:19" x14ac:dyDescent="0.2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</row>
    <row r="650" spans="2:19" x14ac:dyDescent="0.2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</row>
    <row r="651" spans="2:19" x14ac:dyDescent="0.2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</row>
    <row r="652" spans="2:19" x14ac:dyDescent="0.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</row>
    <row r="653" spans="2:19" x14ac:dyDescent="0.2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</row>
    <row r="654" spans="2:19" x14ac:dyDescent="0.2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</row>
    <row r="655" spans="2:19" x14ac:dyDescent="0.2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</row>
    <row r="656" spans="2:19" x14ac:dyDescent="0.2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</row>
    <row r="657" spans="2:19" x14ac:dyDescent="0.2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</row>
    <row r="658" spans="2:19" x14ac:dyDescent="0.2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</row>
    <row r="659" spans="2:19" x14ac:dyDescent="0.2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</row>
    <row r="660" spans="2:19" x14ac:dyDescent="0.2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</row>
    <row r="661" spans="2:19" x14ac:dyDescent="0.2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</row>
    <row r="662" spans="2:19" x14ac:dyDescent="0.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</row>
    <row r="663" spans="2:19" x14ac:dyDescent="0.2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</row>
    <row r="664" spans="2:19" x14ac:dyDescent="0.2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</row>
    <row r="665" spans="2:19" x14ac:dyDescent="0.2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</row>
    <row r="666" spans="2:19" x14ac:dyDescent="0.2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</row>
    <row r="667" spans="2:19" x14ac:dyDescent="0.2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</row>
    <row r="668" spans="2:19" x14ac:dyDescent="0.2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</row>
    <row r="669" spans="2:19" x14ac:dyDescent="0.2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</row>
    <row r="670" spans="2:19" x14ac:dyDescent="0.2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</row>
    <row r="671" spans="2:19" x14ac:dyDescent="0.2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</row>
    <row r="672" spans="2:19" x14ac:dyDescent="0.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</row>
    <row r="673" spans="2:19" x14ac:dyDescent="0.2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</row>
    <row r="674" spans="2:19" x14ac:dyDescent="0.2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</row>
    <row r="675" spans="2:19" x14ac:dyDescent="0.2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</row>
    <row r="676" spans="2:19" x14ac:dyDescent="0.2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</row>
    <row r="677" spans="2:19" x14ac:dyDescent="0.2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</row>
    <row r="678" spans="2:19" x14ac:dyDescent="0.2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</row>
    <row r="679" spans="2:19" x14ac:dyDescent="0.2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</row>
    <row r="680" spans="2:19" x14ac:dyDescent="0.2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</row>
    <row r="681" spans="2:19" x14ac:dyDescent="0.2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</row>
    <row r="682" spans="2:19" x14ac:dyDescent="0.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</row>
    <row r="683" spans="2:19" x14ac:dyDescent="0.2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</row>
    <row r="684" spans="2:19" x14ac:dyDescent="0.2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</row>
    <row r="685" spans="2:19" x14ac:dyDescent="0.2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</row>
    <row r="686" spans="2:19" x14ac:dyDescent="0.2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</row>
    <row r="687" spans="2:19" x14ac:dyDescent="0.2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</row>
    <row r="688" spans="2:19" x14ac:dyDescent="0.2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</row>
    <row r="689" spans="2:19" x14ac:dyDescent="0.2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</row>
    <row r="690" spans="2:19" x14ac:dyDescent="0.2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</row>
    <row r="691" spans="2:19" x14ac:dyDescent="0.2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</row>
    <row r="692" spans="2:19" x14ac:dyDescent="0.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</row>
    <row r="693" spans="2:19" x14ac:dyDescent="0.2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</row>
    <row r="694" spans="2:19" x14ac:dyDescent="0.2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</row>
    <row r="695" spans="2:19" x14ac:dyDescent="0.2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</row>
    <row r="696" spans="2:19" x14ac:dyDescent="0.2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</row>
    <row r="697" spans="2:19" x14ac:dyDescent="0.2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</row>
    <row r="698" spans="2:19" x14ac:dyDescent="0.2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</row>
    <row r="699" spans="2:19" x14ac:dyDescent="0.2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</row>
    <row r="700" spans="2:19" x14ac:dyDescent="0.2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</row>
    <row r="701" spans="2:19" x14ac:dyDescent="0.2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</row>
    <row r="702" spans="2:19" x14ac:dyDescent="0.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</row>
    <row r="703" spans="2:19" x14ac:dyDescent="0.2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</row>
    <row r="704" spans="2:19" x14ac:dyDescent="0.2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2:19" x14ac:dyDescent="0.2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</row>
    <row r="706" spans="2:19" x14ac:dyDescent="0.2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</row>
    <row r="707" spans="2:19" x14ac:dyDescent="0.2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</row>
    <row r="708" spans="2:19" x14ac:dyDescent="0.2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</row>
    <row r="709" spans="2:19" x14ac:dyDescent="0.2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</row>
    <row r="710" spans="2:19" x14ac:dyDescent="0.2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</row>
    <row r="711" spans="2:19" x14ac:dyDescent="0.2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</row>
    <row r="712" spans="2:19" x14ac:dyDescent="0.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</row>
    <row r="713" spans="2:19" x14ac:dyDescent="0.2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</row>
    <row r="714" spans="2:19" x14ac:dyDescent="0.2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</row>
    <row r="715" spans="2:19" x14ac:dyDescent="0.2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</row>
    <row r="716" spans="2:19" x14ac:dyDescent="0.2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</row>
    <row r="717" spans="2:19" x14ac:dyDescent="0.2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</row>
    <row r="718" spans="2:19" x14ac:dyDescent="0.2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</row>
    <row r="719" spans="2:19" x14ac:dyDescent="0.2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</row>
    <row r="720" spans="2:19" x14ac:dyDescent="0.2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</row>
    <row r="721" spans="2:19" x14ac:dyDescent="0.2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</row>
    <row r="722" spans="2:19" x14ac:dyDescent="0.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</row>
    <row r="723" spans="2:19" x14ac:dyDescent="0.2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</row>
    <row r="724" spans="2:19" x14ac:dyDescent="0.2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</row>
    <row r="725" spans="2:19" x14ac:dyDescent="0.2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</row>
    <row r="726" spans="2:19" x14ac:dyDescent="0.2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</row>
    <row r="727" spans="2:19" x14ac:dyDescent="0.2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</row>
    <row r="728" spans="2:19" x14ac:dyDescent="0.2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</row>
    <row r="729" spans="2:19" x14ac:dyDescent="0.2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</row>
    <row r="730" spans="2:19" x14ac:dyDescent="0.2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</row>
    <row r="731" spans="2:19" x14ac:dyDescent="0.2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</row>
    <row r="732" spans="2:19" x14ac:dyDescent="0.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</row>
    <row r="733" spans="2:19" x14ac:dyDescent="0.2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</row>
    <row r="734" spans="2:19" x14ac:dyDescent="0.2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</row>
    <row r="735" spans="2:19" x14ac:dyDescent="0.2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</row>
    <row r="736" spans="2:19" x14ac:dyDescent="0.2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</row>
    <row r="737" spans="2:19" x14ac:dyDescent="0.2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</row>
    <row r="738" spans="2:19" x14ac:dyDescent="0.2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</row>
    <row r="739" spans="2:19" x14ac:dyDescent="0.2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</row>
    <row r="740" spans="2:19" x14ac:dyDescent="0.2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</row>
    <row r="741" spans="2:19" x14ac:dyDescent="0.2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</row>
    <row r="742" spans="2:19" x14ac:dyDescent="0.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</row>
    <row r="743" spans="2:19" x14ac:dyDescent="0.2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</row>
    <row r="744" spans="2:19" x14ac:dyDescent="0.2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</row>
    <row r="745" spans="2:19" x14ac:dyDescent="0.2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</row>
    <row r="746" spans="2:19" x14ac:dyDescent="0.2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</row>
    <row r="747" spans="2:19" x14ac:dyDescent="0.2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</row>
    <row r="748" spans="2:19" x14ac:dyDescent="0.2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</row>
    <row r="749" spans="2:19" x14ac:dyDescent="0.2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</row>
    <row r="750" spans="2:19" x14ac:dyDescent="0.2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</row>
    <row r="751" spans="2:19" x14ac:dyDescent="0.2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</row>
    <row r="752" spans="2:19" x14ac:dyDescent="0.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</row>
    <row r="753" spans="2:19" x14ac:dyDescent="0.2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</row>
    <row r="754" spans="2:19" x14ac:dyDescent="0.2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</row>
    <row r="755" spans="2:19" x14ac:dyDescent="0.2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</row>
    <row r="756" spans="2:19" x14ac:dyDescent="0.2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</row>
    <row r="757" spans="2:19" x14ac:dyDescent="0.2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</row>
    <row r="758" spans="2:19" x14ac:dyDescent="0.2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</row>
    <row r="759" spans="2:19" x14ac:dyDescent="0.2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</row>
    <row r="760" spans="2:19" x14ac:dyDescent="0.2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</row>
    <row r="761" spans="2:19" x14ac:dyDescent="0.2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</row>
    <row r="762" spans="2:19" x14ac:dyDescent="0.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</row>
    <row r="763" spans="2:19" x14ac:dyDescent="0.2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</row>
    <row r="764" spans="2:19" x14ac:dyDescent="0.2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</row>
    <row r="765" spans="2:19" x14ac:dyDescent="0.2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</row>
    <row r="766" spans="2:19" x14ac:dyDescent="0.2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</row>
    <row r="767" spans="2:19" x14ac:dyDescent="0.2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</row>
    <row r="768" spans="2:19" x14ac:dyDescent="0.2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</row>
    <row r="769" spans="2:19" x14ac:dyDescent="0.2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</row>
    <row r="770" spans="2:19" x14ac:dyDescent="0.2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</row>
    <row r="771" spans="2:19" x14ac:dyDescent="0.2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</row>
    <row r="772" spans="2:19" x14ac:dyDescent="0.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</row>
    <row r="773" spans="2:19" x14ac:dyDescent="0.2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</row>
    <row r="774" spans="2:19" x14ac:dyDescent="0.2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</row>
    <row r="775" spans="2:19" x14ac:dyDescent="0.2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</row>
    <row r="776" spans="2:19" x14ac:dyDescent="0.2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</row>
    <row r="777" spans="2:19" x14ac:dyDescent="0.2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</row>
    <row r="778" spans="2:19" x14ac:dyDescent="0.2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</row>
    <row r="779" spans="2:19" x14ac:dyDescent="0.2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</row>
    <row r="780" spans="2:19" x14ac:dyDescent="0.2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</row>
    <row r="781" spans="2:19" x14ac:dyDescent="0.2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</row>
    <row r="782" spans="2:19" x14ac:dyDescent="0.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</row>
    <row r="783" spans="2:19" x14ac:dyDescent="0.2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</row>
    <row r="784" spans="2:19" x14ac:dyDescent="0.2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</row>
    <row r="785" spans="2:19" x14ac:dyDescent="0.2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</row>
    <row r="786" spans="2:19" x14ac:dyDescent="0.2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</row>
    <row r="787" spans="2:19" x14ac:dyDescent="0.2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</row>
    <row r="788" spans="2:19" x14ac:dyDescent="0.2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</row>
    <row r="789" spans="2:19" x14ac:dyDescent="0.2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</row>
    <row r="790" spans="2:19" x14ac:dyDescent="0.2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</row>
    <row r="791" spans="2:19" x14ac:dyDescent="0.2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</row>
    <row r="792" spans="2:19" x14ac:dyDescent="0.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</row>
    <row r="793" spans="2:19" x14ac:dyDescent="0.2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</row>
    <row r="794" spans="2:19" x14ac:dyDescent="0.2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</row>
    <row r="795" spans="2:19" x14ac:dyDescent="0.2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</row>
    <row r="796" spans="2:19" x14ac:dyDescent="0.2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</row>
    <row r="797" spans="2:19" x14ac:dyDescent="0.2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</row>
    <row r="798" spans="2:19" x14ac:dyDescent="0.2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</row>
    <row r="799" spans="2:19" x14ac:dyDescent="0.2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</row>
    <row r="800" spans="2:19" x14ac:dyDescent="0.2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</row>
    <row r="801" spans="2:19" x14ac:dyDescent="0.2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</row>
    <row r="802" spans="2:19" x14ac:dyDescent="0.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</row>
    <row r="803" spans="2:19" x14ac:dyDescent="0.2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</row>
    <row r="804" spans="2:19" x14ac:dyDescent="0.2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</row>
    <row r="805" spans="2:19" x14ac:dyDescent="0.2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</row>
    <row r="806" spans="2:19" x14ac:dyDescent="0.2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</row>
    <row r="807" spans="2:19" x14ac:dyDescent="0.2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</row>
    <row r="808" spans="2:19" x14ac:dyDescent="0.2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</row>
    <row r="809" spans="2:19" x14ac:dyDescent="0.2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</row>
    <row r="810" spans="2:19" x14ac:dyDescent="0.2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</row>
    <row r="811" spans="2:19" x14ac:dyDescent="0.2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</row>
    <row r="812" spans="2:19" x14ac:dyDescent="0.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</row>
    <row r="813" spans="2:19" x14ac:dyDescent="0.2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</row>
    <row r="814" spans="2:19" x14ac:dyDescent="0.2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</row>
    <row r="815" spans="2:19" x14ac:dyDescent="0.2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</row>
    <row r="816" spans="2:19" x14ac:dyDescent="0.2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</row>
    <row r="817" spans="2:19" x14ac:dyDescent="0.2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</row>
    <row r="818" spans="2:19" x14ac:dyDescent="0.2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</row>
    <row r="819" spans="2:19" x14ac:dyDescent="0.2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</row>
    <row r="820" spans="2:19" x14ac:dyDescent="0.2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</row>
    <row r="821" spans="2:19" x14ac:dyDescent="0.2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</row>
    <row r="822" spans="2:19" x14ac:dyDescent="0.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</row>
    <row r="823" spans="2:19" x14ac:dyDescent="0.2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</row>
    <row r="824" spans="2:19" x14ac:dyDescent="0.2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</row>
    <row r="825" spans="2:19" x14ac:dyDescent="0.2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</row>
    <row r="826" spans="2:19" x14ac:dyDescent="0.2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</row>
    <row r="827" spans="2:19" x14ac:dyDescent="0.2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</row>
    <row r="828" spans="2:19" x14ac:dyDescent="0.2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</row>
    <row r="829" spans="2:19" x14ac:dyDescent="0.2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</row>
    <row r="830" spans="2:19" x14ac:dyDescent="0.2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</row>
    <row r="831" spans="2:19" x14ac:dyDescent="0.2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</row>
    <row r="832" spans="2:19" x14ac:dyDescent="0.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</row>
    <row r="833" spans="2:19" x14ac:dyDescent="0.2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</row>
    <row r="834" spans="2:19" x14ac:dyDescent="0.2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</row>
    <row r="835" spans="2:19" x14ac:dyDescent="0.2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</row>
    <row r="836" spans="2:19" x14ac:dyDescent="0.2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</row>
    <row r="837" spans="2:19" x14ac:dyDescent="0.2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</row>
    <row r="838" spans="2:19" x14ac:dyDescent="0.2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</row>
    <row r="839" spans="2:19" x14ac:dyDescent="0.2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</row>
    <row r="840" spans="2:19" x14ac:dyDescent="0.2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</row>
    <row r="841" spans="2:19" x14ac:dyDescent="0.2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</row>
    <row r="842" spans="2:19" x14ac:dyDescent="0.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</row>
    <row r="843" spans="2:19" x14ac:dyDescent="0.2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</row>
    <row r="844" spans="2:19" x14ac:dyDescent="0.2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</row>
    <row r="845" spans="2:19" x14ac:dyDescent="0.2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</row>
    <row r="846" spans="2:19" x14ac:dyDescent="0.2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</row>
    <row r="847" spans="2:19" x14ac:dyDescent="0.2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</row>
    <row r="848" spans="2:19" x14ac:dyDescent="0.2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</row>
    <row r="849" spans="2:19" x14ac:dyDescent="0.2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</row>
    <row r="850" spans="2:19" x14ac:dyDescent="0.2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</row>
    <row r="851" spans="2:19" x14ac:dyDescent="0.2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</row>
    <row r="852" spans="2:19" x14ac:dyDescent="0.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</row>
    <row r="853" spans="2:19" x14ac:dyDescent="0.2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</row>
    <row r="854" spans="2:19" x14ac:dyDescent="0.2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</row>
    <row r="855" spans="2:19" x14ac:dyDescent="0.2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</row>
    <row r="856" spans="2:19" x14ac:dyDescent="0.2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</row>
    <row r="857" spans="2:19" x14ac:dyDescent="0.2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</row>
    <row r="858" spans="2:19" x14ac:dyDescent="0.2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</row>
    <row r="859" spans="2:19" x14ac:dyDescent="0.2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</row>
    <row r="860" spans="2:19" x14ac:dyDescent="0.2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</row>
    <row r="861" spans="2:19" x14ac:dyDescent="0.2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</row>
    <row r="862" spans="2:19" x14ac:dyDescent="0.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</row>
    <row r="863" spans="2:19" x14ac:dyDescent="0.2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</row>
    <row r="864" spans="2:19" x14ac:dyDescent="0.2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</row>
    <row r="865" spans="2:19" x14ac:dyDescent="0.2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</row>
    <row r="866" spans="2:19" x14ac:dyDescent="0.2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</row>
    <row r="867" spans="2:19" x14ac:dyDescent="0.2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</row>
    <row r="868" spans="2:19" x14ac:dyDescent="0.2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</row>
    <row r="869" spans="2:19" x14ac:dyDescent="0.2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</row>
    <row r="870" spans="2:19" x14ac:dyDescent="0.2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</row>
    <row r="871" spans="2:19" x14ac:dyDescent="0.2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</row>
    <row r="872" spans="2:19" x14ac:dyDescent="0.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</row>
    <row r="873" spans="2:19" x14ac:dyDescent="0.2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</row>
    <row r="874" spans="2:19" x14ac:dyDescent="0.2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</row>
    <row r="875" spans="2:19" x14ac:dyDescent="0.2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</row>
    <row r="876" spans="2:19" x14ac:dyDescent="0.2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</row>
    <row r="877" spans="2:19" x14ac:dyDescent="0.2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</row>
    <row r="878" spans="2:19" x14ac:dyDescent="0.2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</row>
    <row r="879" spans="2:19" x14ac:dyDescent="0.2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</row>
    <row r="880" spans="2:19" x14ac:dyDescent="0.2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</row>
    <row r="881" spans="2:19" x14ac:dyDescent="0.2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</row>
    <row r="882" spans="2:19" x14ac:dyDescent="0.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</row>
    <row r="883" spans="2:19" x14ac:dyDescent="0.2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</row>
    <row r="884" spans="2:19" x14ac:dyDescent="0.2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</row>
    <row r="885" spans="2:19" x14ac:dyDescent="0.2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</row>
    <row r="886" spans="2:19" x14ac:dyDescent="0.2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</row>
    <row r="887" spans="2:19" x14ac:dyDescent="0.2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</row>
    <row r="888" spans="2:19" x14ac:dyDescent="0.2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</row>
    <row r="889" spans="2:19" x14ac:dyDescent="0.2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</row>
    <row r="890" spans="2:19" x14ac:dyDescent="0.2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</row>
    <row r="891" spans="2:19" x14ac:dyDescent="0.2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</row>
    <row r="892" spans="2:19" x14ac:dyDescent="0.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</row>
    <row r="893" spans="2:19" x14ac:dyDescent="0.2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</row>
    <row r="894" spans="2:19" x14ac:dyDescent="0.2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</row>
    <row r="895" spans="2:19" x14ac:dyDescent="0.2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</row>
    <row r="896" spans="2:19" x14ac:dyDescent="0.2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</row>
    <row r="897" spans="2:19" x14ac:dyDescent="0.2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</row>
    <row r="898" spans="2:19" x14ac:dyDescent="0.2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</row>
    <row r="899" spans="2:19" x14ac:dyDescent="0.2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</row>
    <row r="900" spans="2:19" x14ac:dyDescent="0.2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</row>
    <row r="901" spans="2:19" x14ac:dyDescent="0.2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</row>
    <row r="902" spans="2:19" x14ac:dyDescent="0.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</row>
    <row r="903" spans="2:19" x14ac:dyDescent="0.2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</row>
    <row r="904" spans="2:19" x14ac:dyDescent="0.2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</row>
    <row r="905" spans="2:19" x14ac:dyDescent="0.2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</row>
    <row r="906" spans="2:19" x14ac:dyDescent="0.2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</row>
    <row r="907" spans="2:19" x14ac:dyDescent="0.2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</row>
    <row r="908" spans="2:19" x14ac:dyDescent="0.2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</row>
    <row r="909" spans="2:19" x14ac:dyDescent="0.2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</row>
    <row r="910" spans="2:19" x14ac:dyDescent="0.2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</row>
    <row r="911" spans="2:19" x14ac:dyDescent="0.2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</row>
    <row r="912" spans="2:19" x14ac:dyDescent="0.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</row>
    <row r="913" spans="2:19" x14ac:dyDescent="0.2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</row>
    <row r="914" spans="2:19" x14ac:dyDescent="0.2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</row>
    <row r="915" spans="2:19" x14ac:dyDescent="0.2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</row>
    <row r="916" spans="2:19" x14ac:dyDescent="0.2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</row>
    <row r="917" spans="2:19" x14ac:dyDescent="0.2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</row>
    <row r="918" spans="2:19" x14ac:dyDescent="0.2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</row>
    <row r="919" spans="2:19" x14ac:dyDescent="0.2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</row>
    <row r="920" spans="2:19" x14ac:dyDescent="0.2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</row>
    <row r="921" spans="2:19" x14ac:dyDescent="0.2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</row>
    <row r="922" spans="2:19" x14ac:dyDescent="0.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</row>
    <row r="923" spans="2:19" x14ac:dyDescent="0.2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</row>
    <row r="924" spans="2:19" x14ac:dyDescent="0.2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</row>
    <row r="925" spans="2:19" x14ac:dyDescent="0.2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</row>
    <row r="926" spans="2:19" x14ac:dyDescent="0.2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</row>
    <row r="927" spans="2:19" x14ac:dyDescent="0.2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</row>
    <row r="928" spans="2:19" x14ac:dyDescent="0.2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</row>
    <row r="929" spans="2:19" x14ac:dyDescent="0.2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</row>
    <row r="930" spans="2:19" x14ac:dyDescent="0.2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</row>
    <row r="931" spans="2:19" x14ac:dyDescent="0.2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</row>
    <row r="932" spans="2:19" x14ac:dyDescent="0.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</row>
    <row r="933" spans="2:19" x14ac:dyDescent="0.2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</row>
    <row r="934" spans="2:19" x14ac:dyDescent="0.2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</row>
    <row r="935" spans="2:19" x14ac:dyDescent="0.2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</row>
    <row r="936" spans="2:19" x14ac:dyDescent="0.2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</row>
    <row r="937" spans="2:19" x14ac:dyDescent="0.2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</row>
    <row r="938" spans="2:19" x14ac:dyDescent="0.2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</row>
    <row r="939" spans="2:19" x14ac:dyDescent="0.2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</row>
    <row r="940" spans="2:19" x14ac:dyDescent="0.2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</row>
    <row r="941" spans="2:19" x14ac:dyDescent="0.2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</row>
    <row r="942" spans="2:19" x14ac:dyDescent="0.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</row>
    <row r="943" spans="2:19" x14ac:dyDescent="0.2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</row>
    <row r="944" spans="2:19" x14ac:dyDescent="0.2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</row>
    <row r="945" spans="2:19" x14ac:dyDescent="0.2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</row>
    <row r="946" spans="2:19" x14ac:dyDescent="0.2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</row>
    <row r="947" spans="2:19" x14ac:dyDescent="0.2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</row>
    <row r="948" spans="2:19" x14ac:dyDescent="0.2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</row>
    <row r="949" spans="2:19" x14ac:dyDescent="0.2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</row>
    <row r="950" spans="2:19" x14ac:dyDescent="0.2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</row>
    <row r="951" spans="2:19" x14ac:dyDescent="0.2"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</row>
    <row r="952" spans="2:19" x14ac:dyDescent="0.2"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</row>
    <row r="953" spans="2:19" x14ac:dyDescent="0.2"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</row>
    <row r="954" spans="2:19" x14ac:dyDescent="0.2"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</row>
    <row r="955" spans="2:19" x14ac:dyDescent="0.2"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</row>
    <row r="956" spans="2:19" x14ac:dyDescent="0.2"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</row>
    <row r="957" spans="2:19" x14ac:dyDescent="0.2"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</row>
    <row r="958" spans="2:19" x14ac:dyDescent="0.2"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</row>
    <row r="959" spans="2:19" x14ac:dyDescent="0.2"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</row>
    <row r="960" spans="2:19" x14ac:dyDescent="0.2"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</row>
    <row r="961" spans="2:19" x14ac:dyDescent="0.2"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</row>
    <row r="962" spans="2:19" x14ac:dyDescent="0.2"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</row>
    <row r="963" spans="2:19" x14ac:dyDescent="0.2"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</row>
    <row r="964" spans="2:19" x14ac:dyDescent="0.2"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</row>
    <row r="965" spans="2:19" x14ac:dyDescent="0.2"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</row>
    <row r="966" spans="2:19" x14ac:dyDescent="0.2"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</row>
    <row r="967" spans="2:19" x14ac:dyDescent="0.2"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</row>
    <row r="968" spans="2:19" x14ac:dyDescent="0.2"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</row>
    <row r="969" spans="2:19" x14ac:dyDescent="0.2"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</row>
    <row r="970" spans="2:19" x14ac:dyDescent="0.2"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</row>
    <row r="971" spans="2:19" x14ac:dyDescent="0.2"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</row>
    <row r="972" spans="2:19" x14ac:dyDescent="0.2"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</row>
    <row r="973" spans="2:19" x14ac:dyDescent="0.2"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</row>
    <row r="974" spans="2:19" x14ac:dyDescent="0.2"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</row>
    <row r="975" spans="2:19" x14ac:dyDescent="0.2"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</row>
    <row r="976" spans="2:19" x14ac:dyDescent="0.2"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</row>
    <row r="977" spans="2:19" x14ac:dyDescent="0.2"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</row>
    <row r="978" spans="2:19" x14ac:dyDescent="0.2"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</row>
    <row r="979" spans="2:19" x14ac:dyDescent="0.2"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</row>
    <row r="980" spans="2:19" x14ac:dyDescent="0.2"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</row>
    <row r="981" spans="2:19" x14ac:dyDescent="0.2"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</row>
    <row r="982" spans="2:19" x14ac:dyDescent="0.2"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</row>
    <row r="983" spans="2:19" x14ac:dyDescent="0.2"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</row>
    <row r="984" spans="2:19" x14ac:dyDescent="0.2"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</row>
    <row r="985" spans="2:19" x14ac:dyDescent="0.2"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</row>
    <row r="986" spans="2:19" x14ac:dyDescent="0.2"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</row>
    <row r="987" spans="2:19" x14ac:dyDescent="0.2"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</row>
    <row r="988" spans="2:19" x14ac:dyDescent="0.2"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</row>
    <row r="989" spans="2:19" x14ac:dyDescent="0.2"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</row>
    <row r="990" spans="2:19" x14ac:dyDescent="0.2"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</row>
    <row r="991" spans="2:19" x14ac:dyDescent="0.2"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</row>
    <row r="992" spans="2:19" x14ac:dyDescent="0.2"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</row>
    <row r="993" spans="2:19" x14ac:dyDescent="0.2"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</row>
    <row r="994" spans="2:19" x14ac:dyDescent="0.2"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</row>
    <row r="995" spans="2:19" x14ac:dyDescent="0.2"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</row>
    <row r="996" spans="2:19" x14ac:dyDescent="0.2"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</row>
    <row r="997" spans="2:19" x14ac:dyDescent="0.2"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</row>
    <row r="998" spans="2:19" x14ac:dyDescent="0.2"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</row>
    <row r="999" spans="2:19" x14ac:dyDescent="0.2"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</row>
    <row r="1000" spans="2:19" x14ac:dyDescent="0.2"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</row>
    <row r="1001" spans="2:19" x14ac:dyDescent="0.2"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</row>
    <row r="1002" spans="2:19" x14ac:dyDescent="0.2"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</row>
    <row r="1003" spans="2:19" x14ac:dyDescent="0.2"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</row>
    <row r="1004" spans="2:19" x14ac:dyDescent="0.2"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</row>
    <row r="1005" spans="2:19" x14ac:dyDescent="0.2"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</row>
    <row r="1006" spans="2:19" x14ac:dyDescent="0.2"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</row>
    <row r="1007" spans="2:19" x14ac:dyDescent="0.2"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</row>
    <row r="1008" spans="2:19" x14ac:dyDescent="0.2"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</row>
    <row r="1009" spans="2:19" x14ac:dyDescent="0.2"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</row>
    <row r="1010" spans="2:19" x14ac:dyDescent="0.2"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</row>
    <row r="1011" spans="2:19" x14ac:dyDescent="0.2"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</row>
    <row r="1012" spans="2:19" x14ac:dyDescent="0.2"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</row>
    <row r="1013" spans="2:19" x14ac:dyDescent="0.2"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</row>
    <row r="1014" spans="2:19" x14ac:dyDescent="0.2"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</row>
    <row r="1015" spans="2:19" x14ac:dyDescent="0.2"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</row>
    <row r="1016" spans="2:19" x14ac:dyDescent="0.2"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</row>
    <row r="1017" spans="2:19" x14ac:dyDescent="0.2"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</row>
    <row r="1018" spans="2:19" x14ac:dyDescent="0.2"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</row>
    <row r="1019" spans="2:19" x14ac:dyDescent="0.2"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</row>
    <row r="1020" spans="2:19" x14ac:dyDescent="0.2"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</row>
    <row r="1021" spans="2:19" x14ac:dyDescent="0.2"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</row>
    <row r="1022" spans="2:19" x14ac:dyDescent="0.2"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</row>
    <row r="1023" spans="2:19" x14ac:dyDescent="0.2"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</row>
    <row r="1024" spans="2:19" x14ac:dyDescent="0.2"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</row>
    <row r="1025" spans="2:19" x14ac:dyDescent="0.2"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</row>
    <row r="1026" spans="2:19" x14ac:dyDescent="0.2"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</row>
    <row r="1027" spans="2:19" x14ac:dyDescent="0.2"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</row>
    <row r="1028" spans="2:19" x14ac:dyDescent="0.2"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</row>
    <row r="1029" spans="2:19" x14ac:dyDescent="0.2"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</row>
    <row r="1030" spans="2:19" x14ac:dyDescent="0.2"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</row>
    <row r="1031" spans="2:19" x14ac:dyDescent="0.2"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</row>
    <row r="1032" spans="2:19" x14ac:dyDescent="0.2"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</row>
    <row r="1033" spans="2:19" x14ac:dyDescent="0.2"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</row>
    <row r="1034" spans="2:19" x14ac:dyDescent="0.2"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</row>
    <row r="1035" spans="2:19" x14ac:dyDescent="0.2"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</row>
    <row r="1036" spans="2:19" x14ac:dyDescent="0.2"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</row>
    <row r="1037" spans="2:19" x14ac:dyDescent="0.2"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</row>
    <row r="1038" spans="2:19" x14ac:dyDescent="0.2"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</row>
    <row r="1039" spans="2:19" x14ac:dyDescent="0.2"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</row>
    <row r="1040" spans="2:19" x14ac:dyDescent="0.2"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</row>
    <row r="1041" spans="2:19" x14ac:dyDescent="0.2"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</row>
    <row r="1042" spans="2:19" x14ac:dyDescent="0.2"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</row>
    <row r="1043" spans="2:19" x14ac:dyDescent="0.2"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</row>
    <row r="1044" spans="2:19" x14ac:dyDescent="0.2"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</row>
    <row r="1045" spans="2:19" x14ac:dyDescent="0.2"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</row>
    <row r="1046" spans="2:19" x14ac:dyDescent="0.2"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</row>
    <row r="1047" spans="2:19" x14ac:dyDescent="0.2"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</row>
    <row r="1048" spans="2:19" x14ac:dyDescent="0.2"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</row>
    <row r="1049" spans="2:19" x14ac:dyDescent="0.2"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</row>
    <row r="1050" spans="2:19" x14ac:dyDescent="0.2"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</row>
    <row r="1051" spans="2:19" x14ac:dyDescent="0.2"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</row>
    <row r="1052" spans="2:19" x14ac:dyDescent="0.2"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</row>
    <row r="1053" spans="2:19" x14ac:dyDescent="0.2"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</row>
    <row r="1054" spans="2:19" x14ac:dyDescent="0.2"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</row>
    <row r="1055" spans="2:19" x14ac:dyDescent="0.2"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</row>
    <row r="1056" spans="2:19" x14ac:dyDescent="0.2"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</row>
    <row r="1057" spans="2:19" x14ac:dyDescent="0.2"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</row>
    <row r="1058" spans="2:19" x14ac:dyDescent="0.2"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</row>
    <row r="1059" spans="2:19" x14ac:dyDescent="0.2"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</row>
    <row r="1060" spans="2:19" x14ac:dyDescent="0.2"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</row>
    <row r="1061" spans="2:19" x14ac:dyDescent="0.2"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</row>
    <row r="1062" spans="2:19" x14ac:dyDescent="0.2"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</row>
    <row r="1063" spans="2:19" x14ac:dyDescent="0.2"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</row>
    <row r="1064" spans="2:19" x14ac:dyDescent="0.2"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</row>
    <row r="1065" spans="2:19" x14ac:dyDescent="0.2"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</row>
    <row r="1066" spans="2:19" x14ac:dyDescent="0.2"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</row>
    <row r="1067" spans="2:19" x14ac:dyDescent="0.2"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</row>
    <row r="1068" spans="2:19" x14ac:dyDescent="0.2"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</row>
    <row r="1069" spans="2:19" x14ac:dyDescent="0.2"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</row>
    <row r="1070" spans="2:19" x14ac:dyDescent="0.2"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</row>
    <row r="1071" spans="2:19" x14ac:dyDescent="0.2"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</row>
    <row r="1072" spans="2:19" x14ac:dyDescent="0.2"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</row>
    <row r="1073" spans="2:19" x14ac:dyDescent="0.2"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</row>
    <row r="1074" spans="2:19" x14ac:dyDescent="0.2"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</row>
    <row r="1075" spans="2:19" x14ac:dyDescent="0.2"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</row>
    <row r="1076" spans="2:19" x14ac:dyDescent="0.2"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</row>
    <row r="1077" spans="2:19" x14ac:dyDescent="0.2"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</row>
    <row r="1078" spans="2:19" x14ac:dyDescent="0.2"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</row>
    <row r="1079" spans="2:19" x14ac:dyDescent="0.2"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</row>
    <row r="1080" spans="2:19" x14ac:dyDescent="0.2">
      <c r="B1080" s="23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</row>
    <row r="1081" spans="2:19" x14ac:dyDescent="0.2">
      <c r="B1081" s="23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</row>
    <row r="1082" spans="2:19" x14ac:dyDescent="0.2"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</row>
    <row r="1083" spans="2:19" x14ac:dyDescent="0.2"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</row>
    <row r="1084" spans="2:19" x14ac:dyDescent="0.2"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</row>
    <row r="1085" spans="2:19" x14ac:dyDescent="0.2"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</row>
    <row r="1086" spans="2:19" x14ac:dyDescent="0.2"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</row>
    <row r="1087" spans="2:19" x14ac:dyDescent="0.2"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</row>
    <row r="1088" spans="2:19" x14ac:dyDescent="0.2"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</row>
    <row r="1089" spans="2:19" x14ac:dyDescent="0.2">
      <c r="B1089" s="23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</row>
    <row r="1090" spans="2:19" x14ac:dyDescent="0.2">
      <c r="B1090" s="23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</row>
    <row r="1091" spans="2:19" x14ac:dyDescent="0.2"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</row>
    <row r="1092" spans="2:19" x14ac:dyDescent="0.2"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</row>
    <row r="1093" spans="2:19" x14ac:dyDescent="0.2"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</row>
    <row r="1094" spans="2:19" x14ac:dyDescent="0.2"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</row>
    <row r="1095" spans="2:19" x14ac:dyDescent="0.2"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</row>
    <row r="1096" spans="2:19" x14ac:dyDescent="0.2"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</row>
    <row r="1097" spans="2:19" x14ac:dyDescent="0.2">
      <c r="B1097" s="23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</row>
    <row r="1098" spans="2:19" x14ac:dyDescent="0.2"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</row>
    <row r="1099" spans="2:19" x14ac:dyDescent="0.2"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</row>
    <row r="1100" spans="2:19" x14ac:dyDescent="0.2"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</row>
    <row r="1101" spans="2:19" x14ac:dyDescent="0.2"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</row>
    <row r="1102" spans="2:19" x14ac:dyDescent="0.2"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</row>
    <row r="1103" spans="2:19" x14ac:dyDescent="0.2"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</row>
    <row r="1104" spans="2:19" x14ac:dyDescent="0.2"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</row>
    <row r="1105" spans="2:19" x14ac:dyDescent="0.2"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</row>
    <row r="1106" spans="2:19" x14ac:dyDescent="0.2"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</row>
    <row r="1107" spans="2:19" x14ac:dyDescent="0.2"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</row>
    <row r="1108" spans="2:19" x14ac:dyDescent="0.2">
      <c r="B1108" s="23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</row>
    <row r="1109" spans="2:19" x14ac:dyDescent="0.2">
      <c r="B1109" s="23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</row>
    <row r="1110" spans="2:19" x14ac:dyDescent="0.2">
      <c r="B1110" s="23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</row>
    <row r="1111" spans="2:19" x14ac:dyDescent="0.2">
      <c r="B1111" s="23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</row>
    <row r="1112" spans="2:19" x14ac:dyDescent="0.2"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</row>
    <row r="1113" spans="2:19" x14ac:dyDescent="0.2"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</row>
    <row r="1114" spans="2:19" x14ac:dyDescent="0.2">
      <c r="B1114" s="23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</row>
    <row r="1115" spans="2:19" x14ac:dyDescent="0.2"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</row>
    <row r="1116" spans="2:19" x14ac:dyDescent="0.2"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</row>
    <row r="1117" spans="2:19" x14ac:dyDescent="0.2"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</row>
    <row r="1118" spans="2:19" x14ac:dyDescent="0.2"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</row>
    <row r="1119" spans="2:19" x14ac:dyDescent="0.2">
      <c r="B1119" s="23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</row>
    <row r="1120" spans="2:19" x14ac:dyDescent="0.2"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</row>
    <row r="1121" spans="2:19" x14ac:dyDescent="0.2">
      <c r="B1121" s="23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</row>
    <row r="1122" spans="2:19" x14ac:dyDescent="0.2"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</row>
    <row r="1123" spans="2:19" x14ac:dyDescent="0.2"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</row>
    <row r="1124" spans="2:19" x14ac:dyDescent="0.2">
      <c r="B1124" s="23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</row>
    <row r="1125" spans="2:19" x14ac:dyDescent="0.2">
      <c r="B1125" s="23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</row>
    <row r="1126" spans="2:19" x14ac:dyDescent="0.2"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</row>
    <row r="1127" spans="2:19" x14ac:dyDescent="0.2"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</row>
    <row r="1128" spans="2:19" x14ac:dyDescent="0.2"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</row>
    <row r="1129" spans="2:19" x14ac:dyDescent="0.2"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</row>
    <row r="1130" spans="2:19" x14ac:dyDescent="0.2"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</row>
    <row r="1131" spans="2:19" x14ac:dyDescent="0.2">
      <c r="B1131" s="23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</row>
    <row r="1132" spans="2:19" x14ac:dyDescent="0.2">
      <c r="B1132" s="23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</row>
    <row r="1133" spans="2:19" x14ac:dyDescent="0.2">
      <c r="B1133" s="2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</row>
    <row r="1134" spans="2:19" x14ac:dyDescent="0.2"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</row>
    <row r="1135" spans="2:19" x14ac:dyDescent="0.2"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</row>
    <row r="1136" spans="2:19" x14ac:dyDescent="0.2"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</row>
    <row r="1137" spans="2:19" x14ac:dyDescent="0.2"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</row>
    <row r="1138" spans="2:19" x14ac:dyDescent="0.2"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</row>
    <row r="1139" spans="2:19" x14ac:dyDescent="0.2"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</row>
    <row r="1140" spans="2:19" x14ac:dyDescent="0.2">
      <c r="B1140" s="23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</row>
    <row r="1141" spans="2:19" x14ac:dyDescent="0.2">
      <c r="B1141" s="23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</row>
    <row r="1142" spans="2:19" x14ac:dyDescent="0.2"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</row>
    <row r="1143" spans="2:19" x14ac:dyDescent="0.2">
      <c r="B1143" s="2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</row>
    <row r="1144" spans="2:19" x14ac:dyDescent="0.2"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</row>
    <row r="1145" spans="2:19" x14ac:dyDescent="0.2"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</row>
    <row r="1146" spans="2:19" x14ac:dyDescent="0.2">
      <c r="B1146" s="23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</row>
    <row r="1147" spans="2:19" x14ac:dyDescent="0.2">
      <c r="B1147" s="23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</row>
    <row r="1148" spans="2:19" x14ac:dyDescent="0.2">
      <c r="B1148" s="23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</row>
    <row r="1149" spans="2:19" x14ac:dyDescent="0.2">
      <c r="B1149" s="23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</row>
    <row r="1150" spans="2:19" x14ac:dyDescent="0.2">
      <c r="B1150" s="23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</row>
    <row r="1151" spans="2:19" x14ac:dyDescent="0.2"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</row>
    <row r="1152" spans="2:19" x14ac:dyDescent="0.2">
      <c r="B1152" s="23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</row>
    <row r="1153" spans="2:19" x14ac:dyDescent="0.2"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</row>
    <row r="1154" spans="2:19" x14ac:dyDescent="0.2"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</row>
    <row r="1155" spans="2:19" x14ac:dyDescent="0.2"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</row>
    <row r="1156" spans="2:19" x14ac:dyDescent="0.2"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</row>
    <row r="1157" spans="2:19" x14ac:dyDescent="0.2"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</row>
    <row r="1158" spans="2:19" x14ac:dyDescent="0.2"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</row>
    <row r="1159" spans="2:19" x14ac:dyDescent="0.2"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</row>
    <row r="1160" spans="2:19" x14ac:dyDescent="0.2"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</row>
    <row r="1161" spans="2:19" x14ac:dyDescent="0.2"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</row>
    <row r="1162" spans="2:19" x14ac:dyDescent="0.2"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</row>
    <row r="1163" spans="2:19" x14ac:dyDescent="0.2"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</row>
    <row r="1164" spans="2:19" x14ac:dyDescent="0.2"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</row>
    <row r="1165" spans="2:19" x14ac:dyDescent="0.2"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</row>
    <row r="1166" spans="2:19" x14ac:dyDescent="0.2"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</row>
    <row r="1167" spans="2:19" x14ac:dyDescent="0.2"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</row>
    <row r="1168" spans="2:19" x14ac:dyDescent="0.2"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</row>
    <row r="1169" spans="2:19" x14ac:dyDescent="0.2"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</row>
    <row r="1170" spans="2:19" x14ac:dyDescent="0.2"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</row>
    <row r="1171" spans="2:19" x14ac:dyDescent="0.2"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</row>
    <row r="1172" spans="2:19" x14ac:dyDescent="0.2"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</row>
    <row r="1173" spans="2:19" x14ac:dyDescent="0.2"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</row>
    <row r="1174" spans="2:19" x14ac:dyDescent="0.2"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</row>
    <row r="1175" spans="2:19" x14ac:dyDescent="0.2"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</row>
    <row r="1176" spans="2:19" x14ac:dyDescent="0.2"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</row>
    <row r="1177" spans="2:19" x14ac:dyDescent="0.2"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</row>
    <row r="1178" spans="2:19" x14ac:dyDescent="0.2"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</row>
    <row r="1179" spans="2:19" x14ac:dyDescent="0.2"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</row>
    <row r="1180" spans="2:19" x14ac:dyDescent="0.2"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</row>
    <row r="1181" spans="2:19" x14ac:dyDescent="0.2"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</row>
    <row r="1182" spans="2:19" x14ac:dyDescent="0.2"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</row>
    <row r="1183" spans="2:19" x14ac:dyDescent="0.2"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</row>
    <row r="1184" spans="2:19" x14ac:dyDescent="0.2"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</row>
    <row r="1185" spans="2:19" x14ac:dyDescent="0.2"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</row>
    <row r="1186" spans="2:19" x14ac:dyDescent="0.2"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</row>
    <row r="1187" spans="2:19" x14ac:dyDescent="0.2"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</row>
    <row r="1188" spans="2:19" x14ac:dyDescent="0.2"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</row>
    <row r="1189" spans="2:19" x14ac:dyDescent="0.2"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</row>
    <row r="1190" spans="2:19" x14ac:dyDescent="0.2">
      <c r="B1190" s="23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</row>
    <row r="1191" spans="2:19" x14ac:dyDescent="0.2">
      <c r="B1191" s="23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</row>
    <row r="1192" spans="2:19" x14ac:dyDescent="0.2"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</row>
    <row r="1193" spans="2:19" x14ac:dyDescent="0.2"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</row>
    <row r="1194" spans="2:19" x14ac:dyDescent="0.2">
      <c r="B1194" s="23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</row>
    <row r="1195" spans="2:19" x14ac:dyDescent="0.2"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</row>
    <row r="1196" spans="2:19" x14ac:dyDescent="0.2"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</row>
    <row r="1197" spans="2:19" x14ac:dyDescent="0.2"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</row>
    <row r="1198" spans="2:19" x14ac:dyDescent="0.2">
      <c r="B1198" s="23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</row>
    <row r="1199" spans="2:19" x14ac:dyDescent="0.2">
      <c r="B1199" s="23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</row>
    <row r="1200" spans="2:19" x14ac:dyDescent="0.2">
      <c r="B1200" s="23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</row>
    <row r="1201" spans="2:19" x14ac:dyDescent="0.2">
      <c r="B1201" s="23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</row>
    <row r="1202" spans="2:19" x14ac:dyDescent="0.2"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</row>
    <row r="1203" spans="2:19" x14ac:dyDescent="0.2"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</row>
    <row r="1204" spans="2:19" x14ac:dyDescent="0.2"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</row>
    <row r="1205" spans="2:19" x14ac:dyDescent="0.2"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</row>
    <row r="1206" spans="2:19" x14ac:dyDescent="0.2"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</row>
    <row r="1207" spans="2:19" x14ac:dyDescent="0.2"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</row>
    <row r="1208" spans="2:19" x14ac:dyDescent="0.2">
      <c r="B1208" s="23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</row>
    <row r="1209" spans="2:19" x14ac:dyDescent="0.2">
      <c r="B1209" s="23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</row>
    <row r="1210" spans="2:19" x14ac:dyDescent="0.2"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</row>
    <row r="1211" spans="2:19" x14ac:dyDescent="0.2"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</row>
    <row r="1212" spans="2:19" x14ac:dyDescent="0.2">
      <c r="B1212" s="23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</row>
    <row r="1213" spans="2:19" x14ac:dyDescent="0.2"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</row>
    <row r="1214" spans="2:19" x14ac:dyDescent="0.2"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</row>
    <row r="1215" spans="2:19" x14ac:dyDescent="0.2">
      <c r="B1215" s="23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</row>
    <row r="1216" spans="2:19" x14ac:dyDescent="0.2">
      <c r="B1216" s="23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</row>
    <row r="1217" spans="2:19" x14ac:dyDescent="0.2">
      <c r="B1217" s="23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</row>
    <row r="1218" spans="2:19" x14ac:dyDescent="0.2">
      <c r="B1218" s="23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</row>
    <row r="1219" spans="2:19" x14ac:dyDescent="0.2">
      <c r="B1219" s="2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</row>
    <row r="1220" spans="2:19" x14ac:dyDescent="0.2"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</row>
    <row r="1221" spans="2:19" x14ac:dyDescent="0.2">
      <c r="B1221" s="23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</row>
    <row r="1222" spans="2:19" x14ac:dyDescent="0.2">
      <c r="B1222" s="23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</row>
    <row r="1223" spans="2:19" x14ac:dyDescent="0.2">
      <c r="B1223" s="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</row>
    <row r="1224" spans="2:19" x14ac:dyDescent="0.2">
      <c r="B1224" s="23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</row>
    <row r="1225" spans="2:19" x14ac:dyDescent="0.2">
      <c r="B1225" s="23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</row>
    <row r="1226" spans="2:19" x14ac:dyDescent="0.2"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</row>
    <row r="1227" spans="2:19" x14ac:dyDescent="0.2"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</row>
    <row r="1228" spans="2:19" x14ac:dyDescent="0.2"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</row>
    <row r="1229" spans="2:19" x14ac:dyDescent="0.2"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</row>
    <row r="1230" spans="2:19" x14ac:dyDescent="0.2"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</row>
    <row r="1231" spans="2:19" x14ac:dyDescent="0.2"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</row>
    <row r="1232" spans="2:19" x14ac:dyDescent="0.2"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</row>
    <row r="1233" spans="2:19" x14ac:dyDescent="0.2"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</row>
    <row r="1234" spans="2:19" x14ac:dyDescent="0.2">
      <c r="B1234" s="23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</row>
    <row r="1235" spans="2:19" x14ac:dyDescent="0.2"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</row>
    <row r="1236" spans="2:19" x14ac:dyDescent="0.2">
      <c r="B1236" s="23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</row>
    <row r="1237" spans="2:19" x14ac:dyDescent="0.2">
      <c r="B1237" s="23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</row>
    <row r="1238" spans="2:19" x14ac:dyDescent="0.2">
      <c r="B1238" s="23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</row>
    <row r="1239" spans="2:19" x14ac:dyDescent="0.2">
      <c r="B1239" s="23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</row>
    <row r="1240" spans="2:19" x14ac:dyDescent="0.2">
      <c r="B1240" s="23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</row>
    <row r="1241" spans="2:19" x14ac:dyDescent="0.2">
      <c r="B1241" s="23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</row>
    <row r="1242" spans="2:19" x14ac:dyDescent="0.2">
      <c r="B1242" s="23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</row>
    <row r="1243" spans="2:19" x14ac:dyDescent="0.2">
      <c r="B1243" s="2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</row>
    <row r="1244" spans="2:19" x14ac:dyDescent="0.2">
      <c r="B1244" s="23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</row>
    <row r="1245" spans="2:19" x14ac:dyDescent="0.2">
      <c r="B1245" s="23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</row>
    <row r="1246" spans="2:19" x14ac:dyDescent="0.2"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</row>
    <row r="1247" spans="2:19" x14ac:dyDescent="0.2"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</row>
    <row r="1248" spans="2:19" x14ac:dyDescent="0.2"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</row>
    <row r="1249" spans="2:19" x14ac:dyDescent="0.2"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</row>
    <row r="1250" spans="2:19" x14ac:dyDescent="0.2"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</row>
    <row r="1251" spans="2:19" x14ac:dyDescent="0.2"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</row>
    <row r="1252" spans="2:19" x14ac:dyDescent="0.2"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</row>
    <row r="1253" spans="2:19" x14ac:dyDescent="0.2"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</row>
    <row r="1254" spans="2:19" x14ac:dyDescent="0.2"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</row>
    <row r="1255" spans="2:19" x14ac:dyDescent="0.2"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</row>
    <row r="1256" spans="2:19" x14ac:dyDescent="0.2"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</row>
    <row r="1257" spans="2:19" x14ac:dyDescent="0.2"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</row>
    <row r="1258" spans="2:19" x14ac:dyDescent="0.2"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</row>
    <row r="1259" spans="2:19" x14ac:dyDescent="0.2"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</row>
    <row r="1260" spans="2:19" x14ac:dyDescent="0.2"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</row>
    <row r="1261" spans="2:19" x14ac:dyDescent="0.2"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</row>
    <row r="1262" spans="2:19" x14ac:dyDescent="0.2"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</row>
    <row r="1263" spans="2:19" x14ac:dyDescent="0.2"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</row>
    <row r="1264" spans="2:19" x14ac:dyDescent="0.2"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</row>
    <row r="1265" spans="2:19" x14ac:dyDescent="0.2"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</row>
    <row r="1266" spans="2:19" x14ac:dyDescent="0.2"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</row>
    <row r="1267" spans="2:19" x14ac:dyDescent="0.2"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</row>
    <row r="1268" spans="2:19" x14ac:dyDescent="0.2"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</row>
    <row r="1269" spans="2:19" x14ac:dyDescent="0.2"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</row>
    <row r="1270" spans="2:19" x14ac:dyDescent="0.2"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</row>
    <row r="1271" spans="2:19" x14ac:dyDescent="0.2"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</row>
    <row r="1272" spans="2:19" x14ac:dyDescent="0.2"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</row>
    <row r="1273" spans="2:19" x14ac:dyDescent="0.2"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</row>
    <row r="1274" spans="2:19" x14ac:dyDescent="0.2"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</row>
    <row r="1275" spans="2:19" x14ac:dyDescent="0.2"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</row>
    <row r="1276" spans="2:19" x14ac:dyDescent="0.2"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</row>
    <row r="1277" spans="2:19" x14ac:dyDescent="0.2"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</row>
    <row r="1278" spans="2:19" x14ac:dyDescent="0.2"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</row>
    <row r="1279" spans="2:19" x14ac:dyDescent="0.2"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</row>
    <row r="1280" spans="2:19" x14ac:dyDescent="0.2"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</row>
    <row r="1281" spans="2:19" x14ac:dyDescent="0.2"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</row>
    <row r="1282" spans="2:19" x14ac:dyDescent="0.2"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</row>
    <row r="1283" spans="2:19" x14ac:dyDescent="0.2"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</row>
    <row r="1284" spans="2:19" x14ac:dyDescent="0.2"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</row>
    <row r="1285" spans="2:19" x14ac:dyDescent="0.2"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</row>
    <row r="1286" spans="2:19" x14ac:dyDescent="0.2"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</row>
    <row r="1287" spans="2:19" x14ac:dyDescent="0.2"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</row>
    <row r="1288" spans="2:19" x14ac:dyDescent="0.2"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</row>
    <row r="1289" spans="2:19" x14ac:dyDescent="0.2"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</row>
    <row r="1290" spans="2:19" x14ac:dyDescent="0.2"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</row>
    <row r="1291" spans="2:19" x14ac:dyDescent="0.2"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</row>
    <row r="1292" spans="2:19" x14ac:dyDescent="0.2"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</row>
    <row r="1293" spans="2:19" x14ac:dyDescent="0.2"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</row>
    <row r="1294" spans="2:19" x14ac:dyDescent="0.2"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</row>
    <row r="1295" spans="2:19" x14ac:dyDescent="0.2"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</row>
    <row r="1296" spans="2:19" x14ac:dyDescent="0.2"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</row>
    <row r="1297" spans="2:19" x14ac:dyDescent="0.2"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</row>
    <row r="1298" spans="2:19" x14ac:dyDescent="0.2"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</row>
    <row r="1299" spans="2:19" x14ac:dyDescent="0.2"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</row>
    <row r="1300" spans="2:19" x14ac:dyDescent="0.2"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</row>
    <row r="1301" spans="2:19" x14ac:dyDescent="0.2"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</row>
    <row r="1302" spans="2:19" x14ac:dyDescent="0.2"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</row>
    <row r="1303" spans="2:19" x14ac:dyDescent="0.2"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</row>
    <row r="1304" spans="2:19" x14ac:dyDescent="0.2"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</row>
    <row r="1305" spans="2:19" x14ac:dyDescent="0.2"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</row>
    <row r="1306" spans="2:19" x14ac:dyDescent="0.2"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</row>
    <row r="1307" spans="2:19" x14ac:dyDescent="0.2"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</row>
    <row r="1308" spans="2:19" x14ac:dyDescent="0.2"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</row>
    <row r="1309" spans="2:19" x14ac:dyDescent="0.2"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</row>
    <row r="1310" spans="2:19" x14ac:dyDescent="0.2"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</row>
    <row r="1311" spans="2:19" x14ac:dyDescent="0.2"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</row>
    <row r="1312" spans="2:19" x14ac:dyDescent="0.2"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</row>
    <row r="1313" spans="2:19" x14ac:dyDescent="0.2"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</row>
    <row r="1314" spans="2:19" x14ac:dyDescent="0.2"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</row>
    <row r="1315" spans="2:19" x14ac:dyDescent="0.2"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</row>
    <row r="1316" spans="2:19" x14ac:dyDescent="0.2"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</row>
    <row r="1317" spans="2:19" x14ac:dyDescent="0.2"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</row>
    <row r="1318" spans="2:19" x14ac:dyDescent="0.2"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</row>
    <row r="1319" spans="2:19" x14ac:dyDescent="0.2"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</row>
    <row r="1320" spans="2:19" x14ac:dyDescent="0.2"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</row>
    <row r="1321" spans="2:19" x14ac:dyDescent="0.2"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</row>
    <row r="1322" spans="2:19" x14ac:dyDescent="0.2"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</row>
    <row r="1323" spans="2:19" x14ac:dyDescent="0.2"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</row>
    <row r="1324" spans="2:19" x14ac:dyDescent="0.2"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</row>
    <row r="1325" spans="2:19" x14ac:dyDescent="0.2"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</row>
    <row r="1326" spans="2:19" x14ac:dyDescent="0.2"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</row>
    <row r="1327" spans="2:19" x14ac:dyDescent="0.2"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</row>
    <row r="1328" spans="2:19" x14ac:dyDescent="0.2"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</row>
    <row r="1329" spans="2:19" x14ac:dyDescent="0.2"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</row>
    <row r="1330" spans="2:19" x14ac:dyDescent="0.2"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</row>
    <row r="1331" spans="2:19" x14ac:dyDescent="0.2"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</row>
    <row r="1332" spans="2:19" x14ac:dyDescent="0.2"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</row>
    <row r="1333" spans="2:19" x14ac:dyDescent="0.2"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</row>
    <row r="1334" spans="2:19" x14ac:dyDescent="0.2"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</row>
    <row r="1335" spans="2:19" x14ac:dyDescent="0.2"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</row>
    <row r="1336" spans="2:19" x14ac:dyDescent="0.2"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</row>
    <row r="1337" spans="2:19" x14ac:dyDescent="0.2"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</row>
    <row r="1338" spans="2:19" x14ac:dyDescent="0.2"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</row>
    <row r="1339" spans="2:19" x14ac:dyDescent="0.2"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</row>
    <row r="1340" spans="2:19" x14ac:dyDescent="0.2"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</row>
    <row r="1341" spans="2:19" x14ac:dyDescent="0.2"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</row>
    <row r="1342" spans="2:19" x14ac:dyDescent="0.2"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</row>
    <row r="1343" spans="2:19" x14ac:dyDescent="0.2"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</row>
    <row r="1344" spans="2:19" x14ac:dyDescent="0.2"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</row>
    <row r="1345" spans="2:19" x14ac:dyDescent="0.2"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</row>
    <row r="1346" spans="2:19" x14ac:dyDescent="0.2"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</row>
    <row r="1347" spans="2:19" x14ac:dyDescent="0.2"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</row>
    <row r="1348" spans="2:19" x14ac:dyDescent="0.2"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</row>
    <row r="1349" spans="2:19" x14ac:dyDescent="0.2"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</row>
    <row r="1350" spans="2:19" x14ac:dyDescent="0.2"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</row>
    <row r="1351" spans="2:19" x14ac:dyDescent="0.2"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</row>
    <row r="1352" spans="2:19" x14ac:dyDescent="0.2"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</row>
    <row r="1353" spans="2:19" x14ac:dyDescent="0.2"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</row>
    <row r="1354" spans="2:19" x14ac:dyDescent="0.2"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</row>
    <row r="1355" spans="2:19" x14ac:dyDescent="0.2"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</row>
    <row r="1356" spans="2:19" x14ac:dyDescent="0.2"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</row>
    <row r="1357" spans="2:19" x14ac:dyDescent="0.2"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</row>
    <row r="1358" spans="2:19" x14ac:dyDescent="0.2"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</row>
    <row r="1359" spans="2:19" x14ac:dyDescent="0.2"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</row>
    <row r="1360" spans="2:19" x14ac:dyDescent="0.2"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</row>
    <row r="1361" spans="2:19" x14ac:dyDescent="0.2"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</row>
    <row r="1362" spans="2:19" x14ac:dyDescent="0.2"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</row>
    <row r="1363" spans="2:19" x14ac:dyDescent="0.2"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</row>
    <row r="1364" spans="2:19" x14ac:dyDescent="0.2"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</row>
    <row r="1365" spans="2:19" x14ac:dyDescent="0.2"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</row>
    <row r="1366" spans="2:19" x14ac:dyDescent="0.2"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</row>
    <row r="1367" spans="2:19" x14ac:dyDescent="0.2"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</row>
    <row r="1368" spans="2:19" x14ac:dyDescent="0.2"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</row>
    <row r="1369" spans="2:19" x14ac:dyDescent="0.2"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</row>
    <row r="1370" spans="2:19" x14ac:dyDescent="0.2"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</row>
    <row r="1371" spans="2:19" x14ac:dyDescent="0.2"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</row>
    <row r="1372" spans="2:19" x14ac:dyDescent="0.2"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</row>
    <row r="1373" spans="2:19" x14ac:dyDescent="0.2"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</row>
    <row r="1374" spans="2:19" x14ac:dyDescent="0.2"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</row>
    <row r="1375" spans="2:19" x14ac:dyDescent="0.2"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</row>
    <row r="1376" spans="2:19" x14ac:dyDescent="0.2"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</row>
    <row r="1377" spans="2:19" x14ac:dyDescent="0.2"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</row>
    <row r="1378" spans="2:19" x14ac:dyDescent="0.2"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</row>
    <row r="1379" spans="2:19" x14ac:dyDescent="0.2"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</row>
    <row r="1380" spans="2:19" x14ac:dyDescent="0.2"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</row>
    <row r="1381" spans="2:19" x14ac:dyDescent="0.2"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</row>
    <row r="1382" spans="2:19" x14ac:dyDescent="0.2"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</row>
    <row r="1383" spans="2:19" x14ac:dyDescent="0.2"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</row>
    <row r="1384" spans="2:19" x14ac:dyDescent="0.2"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</row>
    <row r="1385" spans="2:19" x14ac:dyDescent="0.2"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</row>
    <row r="1386" spans="2:19" x14ac:dyDescent="0.2"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</row>
    <row r="1387" spans="2:19" x14ac:dyDescent="0.2"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</row>
    <row r="1388" spans="2:19" x14ac:dyDescent="0.2"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</row>
    <row r="1389" spans="2:19" x14ac:dyDescent="0.2"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</row>
    <row r="1390" spans="2:19" x14ac:dyDescent="0.2"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</row>
    <row r="1391" spans="2:19" x14ac:dyDescent="0.2"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</row>
    <row r="1392" spans="2:19" x14ac:dyDescent="0.2"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</row>
    <row r="1393" spans="2:19" x14ac:dyDescent="0.2"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</row>
    <row r="1394" spans="2:19" x14ac:dyDescent="0.2"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</row>
    <row r="1395" spans="2:19" x14ac:dyDescent="0.2"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</row>
    <row r="1396" spans="2:19" x14ac:dyDescent="0.2"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</row>
    <row r="1397" spans="2:19" x14ac:dyDescent="0.2"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</row>
    <row r="1398" spans="2:19" x14ac:dyDescent="0.2"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</row>
    <row r="1399" spans="2:19" x14ac:dyDescent="0.2"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</row>
    <row r="1400" spans="2:19" x14ac:dyDescent="0.2"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</row>
    <row r="1401" spans="2:19" x14ac:dyDescent="0.2"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</row>
    <row r="1402" spans="2:19" x14ac:dyDescent="0.2"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</row>
    <row r="1403" spans="2:19" x14ac:dyDescent="0.2"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</row>
    <row r="1404" spans="2:19" x14ac:dyDescent="0.2"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</row>
    <row r="1405" spans="2:19" x14ac:dyDescent="0.2"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</row>
    <row r="1406" spans="2:19" x14ac:dyDescent="0.2"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</row>
    <row r="1407" spans="2:19" x14ac:dyDescent="0.2"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</row>
    <row r="1408" spans="2:19" x14ac:dyDescent="0.2"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</row>
    <row r="1409" spans="2:19" x14ac:dyDescent="0.2"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</row>
    <row r="1410" spans="2:19" x14ac:dyDescent="0.2"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</row>
    <row r="1411" spans="2:19" x14ac:dyDescent="0.2"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</row>
    <row r="1412" spans="2:19" x14ac:dyDescent="0.2"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</row>
    <row r="1413" spans="2:19" x14ac:dyDescent="0.2"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</row>
    <row r="1414" spans="2:19" x14ac:dyDescent="0.2"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</row>
    <row r="1415" spans="2:19" x14ac:dyDescent="0.2"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</row>
    <row r="1416" spans="2:19" x14ac:dyDescent="0.2"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</row>
    <row r="1417" spans="2:19" x14ac:dyDescent="0.2"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</row>
    <row r="1418" spans="2:19" x14ac:dyDescent="0.2"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</row>
    <row r="1419" spans="2:19" x14ac:dyDescent="0.2"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</row>
    <row r="1420" spans="2:19" x14ac:dyDescent="0.2"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</row>
    <row r="1421" spans="2:19" x14ac:dyDescent="0.2"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</row>
    <row r="1422" spans="2:19" x14ac:dyDescent="0.2"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</row>
    <row r="1423" spans="2:19" x14ac:dyDescent="0.2"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</row>
    <row r="1424" spans="2:19" x14ac:dyDescent="0.2"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</row>
    <row r="1425" spans="2:19" x14ac:dyDescent="0.2"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</row>
    <row r="1426" spans="2:19" x14ac:dyDescent="0.2"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</row>
    <row r="1427" spans="2:19" x14ac:dyDescent="0.2"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</row>
    <row r="1428" spans="2:19" x14ac:dyDescent="0.2"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</row>
    <row r="1429" spans="2:19" x14ac:dyDescent="0.2"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</row>
    <row r="1430" spans="2:19" x14ac:dyDescent="0.2"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</row>
    <row r="1431" spans="2:19" x14ac:dyDescent="0.2"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</row>
    <row r="1432" spans="2:19" x14ac:dyDescent="0.2"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</row>
    <row r="1433" spans="2:19" x14ac:dyDescent="0.2"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</row>
    <row r="1434" spans="2:19" x14ac:dyDescent="0.2"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</row>
    <row r="1435" spans="2:19" x14ac:dyDescent="0.2"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</row>
    <row r="1436" spans="2:19" x14ac:dyDescent="0.2"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</row>
    <row r="1437" spans="2:19" x14ac:dyDescent="0.2"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</row>
    <row r="1438" spans="2:19" x14ac:dyDescent="0.2"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</row>
    <row r="1439" spans="2:19" x14ac:dyDescent="0.2"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</row>
    <row r="1440" spans="2:19" x14ac:dyDescent="0.2"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</row>
    <row r="1441" spans="2:19" x14ac:dyDescent="0.2"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</row>
    <row r="1442" spans="2:19" x14ac:dyDescent="0.2"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</row>
    <row r="1443" spans="2:19" x14ac:dyDescent="0.2"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</row>
    <row r="1444" spans="2:19" x14ac:dyDescent="0.2"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</row>
    <row r="1445" spans="2:19" x14ac:dyDescent="0.2"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</row>
    <row r="1446" spans="2:19" x14ac:dyDescent="0.2"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</row>
    <row r="1447" spans="2:19" x14ac:dyDescent="0.2"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</row>
    <row r="1448" spans="2:19" x14ac:dyDescent="0.2"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</row>
    <row r="1449" spans="2:19" x14ac:dyDescent="0.2"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</row>
    <row r="1450" spans="2:19" x14ac:dyDescent="0.2"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</row>
    <row r="1451" spans="2:19" x14ac:dyDescent="0.2"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</row>
    <row r="1452" spans="2:19" x14ac:dyDescent="0.2"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</row>
    <row r="1453" spans="2:19" x14ac:dyDescent="0.2"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</row>
    <row r="1454" spans="2:19" x14ac:dyDescent="0.2"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</row>
    <row r="1455" spans="2:19" x14ac:dyDescent="0.2"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</row>
    <row r="1456" spans="2:19" x14ac:dyDescent="0.2"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</row>
    <row r="1457" spans="2:19" x14ac:dyDescent="0.2"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</row>
    <row r="1458" spans="2:19" x14ac:dyDescent="0.2"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</row>
    <row r="1459" spans="2:19" x14ac:dyDescent="0.2"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</row>
    <row r="1460" spans="2:19" x14ac:dyDescent="0.2"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</row>
    <row r="1461" spans="2:19" x14ac:dyDescent="0.2"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</row>
    <row r="1462" spans="2:19" x14ac:dyDescent="0.2"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</row>
    <row r="1463" spans="2:19" x14ac:dyDescent="0.2"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</row>
    <row r="1464" spans="2:19" x14ac:dyDescent="0.2"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</row>
    <row r="1465" spans="2:19" x14ac:dyDescent="0.2"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</row>
    <row r="1466" spans="2:19" x14ac:dyDescent="0.2"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</row>
    <row r="1467" spans="2:19" x14ac:dyDescent="0.2"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</row>
    <row r="1468" spans="2:19" x14ac:dyDescent="0.2"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</row>
    <row r="1469" spans="2:19" x14ac:dyDescent="0.2"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</row>
    <row r="1470" spans="2:19" x14ac:dyDescent="0.2"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</row>
    <row r="1471" spans="2:19" x14ac:dyDescent="0.2"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</row>
    <row r="1472" spans="2:19" x14ac:dyDescent="0.2"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</row>
    <row r="1473" spans="2:19" x14ac:dyDescent="0.2"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</row>
    <row r="1474" spans="2:19" x14ac:dyDescent="0.2"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</row>
    <row r="1475" spans="2:19" x14ac:dyDescent="0.2"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</row>
    <row r="1476" spans="2:19" x14ac:dyDescent="0.2"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</row>
    <row r="1477" spans="2:19" x14ac:dyDescent="0.2"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</row>
    <row r="1478" spans="2:19" x14ac:dyDescent="0.2"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</row>
    <row r="1479" spans="2:19" x14ac:dyDescent="0.2"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</row>
    <row r="1480" spans="2:19" x14ac:dyDescent="0.2"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</row>
    <row r="1481" spans="2:19" x14ac:dyDescent="0.2"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</row>
    <row r="1482" spans="2:19" x14ac:dyDescent="0.2"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</row>
    <row r="1483" spans="2:19" x14ac:dyDescent="0.2"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</row>
    <row r="1484" spans="2:19" x14ac:dyDescent="0.2"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</row>
    <row r="1485" spans="2:19" x14ac:dyDescent="0.2"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</row>
    <row r="1486" spans="2:19" x14ac:dyDescent="0.2"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</row>
    <row r="1487" spans="2:19" x14ac:dyDescent="0.2"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</row>
    <row r="1488" spans="2:19" x14ac:dyDescent="0.2"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</row>
    <row r="1489" spans="2:19" x14ac:dyDescent="0.2"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</row>
    <row r="1490" spans="2:19" x14ac:dyDescent="0.2"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</row>
    <row r="1491" spans="2:19" x14ac:dyDescent="0.2"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</row>
    <row r="1492" spans="2:19" x14ac:dyDescent="0.2"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</row>
    <row r="1493" spans="2:19" x14ac:dyDescent="0.2"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</row>
    <row r="1494" spans="2:19" x14ac:dyDescent="0.2"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</row>
    <row r="1495" spans="2:19" x14ac:dyDescent="0.2"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</row>
    <row r="1496" spans="2:19" x14ac:dyDescent="0.2"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</row>
    <row r="1497" spans="2:19" x14ac:dyDescent="0.2"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</row>
    <row r="1498" spans="2:19" x14ac:dyDescent="0.2"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</row>
    <row r="1499" spans="2:19" x14ac:dyDescent="0.2"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</row>
    <row r="1500" spans="2:19" x14ac:dyDescent="0.2"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</row>
    <row r="1501" spans="2:19" x14ac:dyDescent="0.2"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</row>
    <row r="1502" spans="2:19" x14ac:dyDescent="0.2"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</row>
    <row r="1503" spans="2:19" x14ac:dyDescent="0.2"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</row>
    <row r="1504" spans="2:19" x14ac:dyDescent="0.2"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</row>
    <row r="1505" spans="2:19" x14ac:dyDescent="0.2"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</row>
    <row r="1506" spans="2:19" x14ac:dyDescent="0.2"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</row>
    <row r="1507" spans="2:19" x14ac:dyDescent="0.2"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</row>
    <row r="1508" spans="2:19" x14ac:dyDescent="0.2"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</row>
    <row r="1509" spans="2:19" x14ac:dyDescent="0.2"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</row>
    <row r="1510" spans="2:19" x14ac:dyDescent="0.2"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</row>
    <row r="1511" spans="2:19" x14ac:dyDescent="0.2"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</row>
    <row r="1512" spans="2:19" x14ac:dyDescent="0.2"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</row>
    <row r="1513" spans="2:19" x14ac:dyDescent="0.2"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</row>
    <row r="1514" spans="2:19" x14ac:dyDescent="0.2"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</row>
    <row r="1515" spans="2:19" x14ac:dyDescent="0.2"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</row>
    <row r="1516" spans="2:19" x14ac:dyDescent="0.2"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</row>
    <row r="1517" spans="2:19" x14ac:dyDescent="0.2"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</row>
    <row r="1518" spans="2:19" x14ac:dyDescent="0.2"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</row>
    <row r="1519" spans="2:19" x14ac:dyDescent="0.2"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</row>
    <row r="1520" spans="2:19" x14ac:dyDescent="0.2"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</row>
    <row r="1521" spans="2:19" x14ac:dyDescent="0.2"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</row>
    <row r="1522" spans="2:19" x14ac:dyDescent="0.2"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</row>
    <row r="1523" spans="2:19" x14ac:dyDescent="0.2"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</row>
    <row r="1524" spans="2:19" x14ac:dyDescent="0.2"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</row>
    <row r="1525" spans="2:19" x14ac:dyDescent="0.2"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</row>
    <row r="1526" spans="2:19" x14ac:dyDescent="0.2"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</row>
    <row r="1527" spans="2:19" x14ac:dyDescent="0.2"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</row>
    <row r="1528" spans="2:19" x14ac:dyDescent="0.2"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</row>
    <row r="1529" spans="2:19" x14ac:dyDescent="0.2"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</row>
    <row r="1530" spans="2:19" x14ac:dyDescent="0.2"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</row>
    <row r="1531" spans="2:19" x14ac:dyDescent="0.2"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</row>
    <row r="1532" spans="2:19" x14ac:dyDescent="0.2"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</row>
    <row r="1533" spans="2:19" x14ac:dyDescent="0.2"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</row>
    <row r="1534" spans="2:19" x14ac:dyDescent="0.2"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</row>
    <row r="1535" spans="2:19" x14ac:dyDescent="0.2"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</row>
    <row r="1536" spans="2:19" x14ac:dyDescent="0.2"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</row>
    <row r="1537" spans="2:19" x14ac:dyDescent="0.2"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</row>
    <row r="1538" spans="2:19" x14ac:dyDescent="0.2"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</row>
    <row r="1539" spans="2:19" x14ac:dyDescent="0.2"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</row>
    <row r="1540" spans="2:19" x14ac:dyDescent="0.2"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</row>
    <row r="1541" spans="2:19" x14ac:dyDescent="0.2"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</row>
    <row r="1542" spans="2:19" x14ac:dyDescent="0.2"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</row>
    <row r="1543" spans="2:19" x14ac:dyDescent="0.2"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</row>
    <row r="1544" spans="2:19" x14ac:dyDescent="0.2"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</row>
    <row r="1545" spans="2:19" x14ac:dyDescent="0.2"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</row>
    <row r="1546" spans="2:19" x14ac:dyDescent="0.2"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</row>
    <row r="1547" spans="2:19" x14ac:dyDescent="0.2"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</row>
    <row r="1548" spans="2:19" x14ac:dyDescent="0.2"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</row>
    <row r="1549" spans="2:19" x14ac:dyDescent="0.2"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</row>
    <row r="1550" spans="2:19" x14ac:dyDescent="0.2"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</row>
    <row r="1551" spans="2:19" x14ac:dyDescent="0.2"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</row>
    <row r="1552" spans="2:19" x14ac:dyDescent="0.2"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</row>
    <row r="1553" spans="2:19" x14ac:dyDescent="0.2"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</row>
    <row r="1554" spans="2:19" x14ac:dyDescent="0.2"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</row>
    <row r="1555" spans="2:19" x14ac:dyDescent="0.2"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</row>
    <row r="1556" spans="2:19" x14ac:dyDescent="0.2"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</row>
    <row r="1557" spans="2:19" x14ac:dyDescent="0.2"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</row>
    <row r="1558" spans="2:19" x14ac:dyDescent="0.2"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</row>
    <row r="1559" spans="2:19" x14ac:dyDescent="0.2"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</row>
    <row r="1560" spans="2:19" x14ac:dyDescent="0.2"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</row>
    <row r="1561" spans="2:19" x14ac:dyDescent="0.2"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</row>
    <row r="1562" spans="2:19" x14ac:dyDescent="0.2"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</row>
    <row r="1563" spans="2:19" x14ac:dyDescent="0.2"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</row>
    <row r="1564" spans="2:19" x14ac:dyDescent="0.2"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</row>
    <row r="1565" spans="2:19" x14ac:dyDescent="0.2"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</row>
    <row r="1566" spans="2:19" x14ac:dyDescent="0.2"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</row>
    <row r="1567" spans="2:19" x14ac:dyDescent="0.2"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</row>
    <row r="1568" spans="2:19" x14ac:dyDescent="0.2"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</row>
    <row r="1569" spans="2:19" x14ac:dyDescent="0.2"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</row>
    <row r="1570" spans="2:19" x14ac:dyDescent="0.2"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</row>
    <row r="1571" spans="2:19" x14ac:dyDescent="0.2"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</row>
    <row r="1572" spans="2:19" x14ac:dyDescent="0.2"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</row>
    <row r="1573" spans="2:19" x14ac:dyDescent="0.2"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</row>
    <row r="1574" spans="2:19" x14ac:dyDescent="0.2"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</row>
    <row r="1575" spans="2:19" x14ac:dyDescent="0.2"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</row>
    <row r="1576" spans="2:19" x14ac:dyDescent="0.2"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</row>
    <row r="1577" spans="2:19" x14ac:dyDescent="0.2"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</row>
    <row r="1578" spans="2:19" x14ac:dyDescent="0.2"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</row>
    <row r="1579" spans="2:19" x14ac:dyDescent="0.2"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</row>
    <row r="1580" spans="2:19" x14ac:dyDescent="0.2"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</row>
    <row r="1581" spans="2:19" x14ac:dyDescent="0.2"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</row>
    <row r="1582" spans="2:19" x14ac:dyDescent="0.2"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</row>
    <row r="1583" spans="2:19" x14ac:dyDescent="0.2"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</row>
    <row r="1584" spans="2:19" x14ac:dyDescent="0.2"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</row>
    <row r="1585" spans="2:19" x14ac:dyDescent="0.2"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</row>
    <row r="1586" spans="2:19" x14ac:dyDescent="0.2"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</row>
    <row r="1587" spans="2:19" x14ac:dyDescent="0.2"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</row>
    <row r="1588" spans="2:19" x14ac:dyDescent="0.2"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</row>
    <row r="1589" spans="2:19" x14ac:dyDescent="0.2"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</row>
    <row r="1590" spans="2:19" x14ac:dyDescent="0.2"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</row>
    <row r="1591" spans="2:19" x14ac:dyDescent="0.2"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</row>
    <row r="1592" spans="2:19" x14ac:dyDescent="0.2"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</row>
    <row r="1593" spans="2:19" x14ac:dyDescent="0.2"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</row>
    <row r="1594" spans="2:19" x14ac:dyDescent="0.2"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</row>
    <row r="1595" spans="2:19" x14ac:dyDescent="0.2"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</row>
    <row r="1596" spans="2:19" x14ac:dyDescent="0.2"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</row>
    <row r="1597" spans="2:19" x14ac:dyDescent="0.2"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</row>
    <row r="1598" spans="2:19" x14ac:dyDescent="0.2"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</row>
    <row r="1599" spans="2:19" x14ac:dyDescent="0.2"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</row>
    <row r="1600" spans="2:19" x14ac:dyDescent="0.2"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</row>
    <row r="1601" spans="2:19" x14ac:dyDescent="0.2"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</row>
    <row r="1602" spans="2:19" x14ac:dyDescent="0.2"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</row>
    <row r="1603" spans="2:19" x14ac:dyDescent="0.2"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</row>
    <row r="1604" spans="2:19" x14ac:dyDescent="0.2"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</row>
    <row r="1605" spans="2:19" x14ac:dyDescent="0.2"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</row>
    <row r="1606" spans="2:19" x14ac:dyDescent="0.2"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</row>
    <row r="1607" spans="2:19" x14ac:dyDescent="0.2"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</row>
    <row r="1608" spans="2:19" x14ac:dyDescent="0.2"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</row>
    <row r="1609" spans="2:19" x14ac:dyDescent="0.2"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</row>
    <row r="1610" spans="2:19" x14ac:dyDescent="0.2"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</row>
    <row r="1611" spans="2:19" x14ac:dyDescent="0.2"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</row>
    <row r="1612" spans="2:19" x14ac:dyDescent="0.2"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</row>
    <row r="1613" spans="2:19" x14ac:dyDescent="0.2"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</row>
    <row r="1614" spans="2:19" x14ac:dyDescent="0.2"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</row>
    <row r="1615" spans="2:19" x14ac:dyDescent="0.2"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</row>
    <row r="1616" spans="2:19" x14ac:dyDescent="0.2"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</row>
    <row r="1617" spans="2:19" x14ac:dyDescent="0.2"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</row>
    <row r="1618" spans="2:19" x14ac:dyDescent="0.2"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</row>
    <row r="1619" spans="2:19" x14ac:dyDescent="0.2"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</row>
    <row r="1620" spans="2:19" x14ac:dyDescent="0.2"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</row>
    <row r="1621" spans="2:19" x14ac:dyDescent="0.2"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</row>
    <row r="1622" spans="2:19" x14ac:dyDescent="0.2"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</row>
    <row r="1623" spans="2:19" x14ac:dyDescent="0.2"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</row>
    <row r="1624" spans="2:19" x14ac:dyDescent="0.2"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</row>
    <row r="1625" spans="2:19" x14ac:dyDescent="0.2"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</row>
    <row r="1626" spans="2:19" x14ac:dyDescent="0.2"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</row>
    <row r="1627" spans="2:19" x14ac:dyDescent="0.2"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</row>
    <row r="1628" spans="2:19" x14ac:dyDescent="0.2"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</row>
    <row r="1629" spans="2:19" x14ac:dyDescent="0.2"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</row>
    <row r="1630" spans="2:19" x14ac:dyDescent="0.2"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</row>
    <row r="1631" spans="2:19" x14ac:dyDescent="0.2"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</row>
    <row r="1632" spans="2:19" x14ac:dyDescent="0.2"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</row>
    <row r="1633" spans="2:19" x14ac:dyDescent="0.2"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</row>
    <row r="1634" spans="2:19" x14ac:dyDescent="0.2"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</row>
    <row r="1635" spans="2:19" x14ac:dyDescent="0.2"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</row>
    <row r="1636" spans="2:19" x14ac:dyDescent="0.2"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</row>
    <row r="1637" spans="2:19" x14ac:dyDescent="0.2"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</row>
    <row r="1638" spans="2:19" x14ac:dyDescent="0.2"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</row>
    <row r="1639" spans="2:19" x14ac:dyDescent="0.2"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</row>
    <row r="1640" spans="2:19" x14ac:dyDescent="0.2"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</row>
    <row r="1641" spans="2:19" x14ac:dyDescent="0.2"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</row>
    <row r="1642" spans="2:19" x14ac:dyDescent="0.2"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</row>
    <row r="1643" spans="2:19" x14ac:dyDescent="0.2"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</row>
    <row r="1644" spans="2:19" x14ac:dyDescent="0.2"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</row>
    <row r="1645" spans="2:19" x14ac:dyDescent="0.2"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</row>
    <row r="1646" spans="2:19" x14ac:dyDescent="0.2"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</row>
    <row r="1647" spans="2:19" x14ac:dyDescent="0.2"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</row>
    <row r="1648" spans="2:19" x14ac:dyDescent="0.2"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</row>
    <row r="1649" spans="2:19" x14ac:dyDescent="0.2"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</row>
    <row r="1650" spans="2:19" x14ac:dyDescent="0.2"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</row>
    <row r="1651" spans="2:19" x14ac:dyDescent="0.2"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</row>
    <row r="1652" spans="2:19" x14ac:dyDescent="0.2"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</row>
    <row r="1653" spans="2:19" x14ac:dyDescent="0.2"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</row>
    <row r="1654" spans="2:19" x14ac:dyDescent="0.2"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</row>
    <row r="1655" spans="2:19" x14ac:dyDescent="0.2"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</row>
    <row r="1656" spans="2:19" x14ac:dyDescent="0.2"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</row>
    <row r="1657" spans="2:19" x14ac:dyDescent="0.2"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</row>
    <row r="1658" spans="2:19" x14ac:dyDescent="0.2"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</row>
    <row r="1659" spans="2:19" x14ac:dyDescent="0.2"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</row>
    <row r="1660" spans="2:19" x14ac:dyDescent="0.2"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</row>
    <row r="1661" spans="2:19" x14ac:dyDescent="0.2"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</row>
    <row r="1662" spans="2:19" x14ac:dyDescent="0.2"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</row>
    <row r="1663" spans="2:19" x14ac:dyDescent="0.2"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</row>
    <row r="1664" spans="2:19" x14ac:dyDescent="0.2"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</row>
    <row r="1665" spans="2:19" x14ac:dyDescent="0.2"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</row>
    <row r="1666" spans="2:19" x14ac:dyDescent="0.2"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</row>
    <row r="1667" spans="2:19" x14ac:dyDescent="0.2"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</row>
    <row r="1668" spans="2:19" x14ac:dyDescent="0.2"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</row>
    <row r="1669" spans="2:19" x14ac:dyDescent="0.2"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</row>
    <row r="1670" spans="2:19" x14ac:dyDescent="0.2"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</row>
    <row r="1671" spans="2:19" x14ac:dyDescent="0.2"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</row>
    <row r="1672" spans="2:19" x14ac:dyDescent="0.2"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</row>
    <row r="1673" spans="2:19" x14ac:dyDescent="0.2"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</row>
    <row r="1674" spans="2:19" x14ac:dyDescent="0.2"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</row>
    <row r="1675" spans="2:19" x14ac:dyDescent="0.2"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</row>
    <row r="1676" spans="2:19" x14ac:dyDescent="0.2"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</row>
    <row r="1677" spans="2:19" x14ac:dyDescent="0.2"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</row>
    <row r="1678" spans="2:19" x14ac:dyDescent="0.2"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</row>
    <row r="1679" spans="2:19" x14ac:dyDescent="0.2"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</row>
    <row r="1680" spans="2:19" x14ac:dyDescent="0.2"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</row>
    <row r="1681" spans="2:19" x14ac:dyDescent="0.2"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</row>
    <row r="1682" spans="2:19" x14ac:dyDescent="0.2"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</row>
    <row r="1683" spans="2:19" x14ac:dyDescent="0.2"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</row>
    <row r="1684" spans="2:19" x14ac:dyDescent="0.2"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</row>
    <row r="1685" spans="2:19" x14ac:dyDescent="0.2"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</row>
    <row r="1686" spans="2:19" x14ac:dyDescent="0.2"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</row>
    <row r="1687" spans="2:19" x14ac:dyDescent="0.2"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</row>
    <row r="1688" spans="2:19" x14ac:dyDescent="0.2"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</row>
    <row r="1689" spans="2:19" x14ac:dyDescent="0.2"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</row>
    <row r="1690" spans="2:19" x14ac:dyDescent="0.2"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</row>
    <row r="1691" spans="2:19" x14ac:dyDescent="0.2"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</row>
    <row r="1692" spans="2:19" x14ac:dyDescent="0.2"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</row>
    <row r="1693" spans="2:19" x14ac:dyDescent="0.2"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</row>
    <row r="1694" spans="2:19" x14ac:dyDescent="0.2"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</row>
    <row r="1695" spans="2:19" x14ac:dyDescent="0.2"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</row>
    <row r="1696" spans="2:19" x14ac:dyDescent="0.2"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</row>
    <row r="1697" spans="2:19" x14ac:dyDescent="0.2"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</row>
    <row r="1698" spans="2:19" x14ac:dyDescent="0.2"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</row>
    <row r="1699" spans="2:19" x14ac:dyDescent="0.2"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</row>
    <row r="1700" spans="2:19" x14ac:dyDescent="0.2"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</row>
    <row r="1701" spans="2:19" x14ac:dyDescent="0.2"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</row>
    <row r="1702" spans="2:19" x14ac:dyDescent="0.2"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</row>
    <row r="1703" spans="2:19" x14ac:dyDescent="0.2"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</row>
    <row r="1704" spans="2:19" x14ac:dyDescent="0.2"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</row>
    <row r="1705" spans="2:19" x14ac:dyDescent="0.2"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</row>
    <row r="1706" spans="2:19" x14ac:dyDescent="0.2"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</row>
    <row r="1707" spans="2:19" x14ac:dyDescent="0.2"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</row>
    <row r="1708" spans="2:19" x14ac:dyDescent="0.2"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</row>
    <row r="1709" spans="2:19" x14ac:dyDescent="0.2"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</row>
    <row r="1710" spans="2:19" x14ac:dyDescent="0.2"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</row>
    <row r="1711" spans="2:19" x14ac:dyDescent="0.2"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</row>
    <row r="1712" spans="2:19" x14ac:dyDescent="0.2"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</row>
    <row r="1713" spans="2:19" x14ac:dyDescent="0.2"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</row>
    <row r="1714" spans="2:19" x14ac:dyDescent="0.2"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</row>
    <row r="1715" spans="2:19" x14ac:dyDescent="0.2"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</row>
    <row r="1716" spans="2:19" x14ac:dyDescent="0.2"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</row>
    <row r="1717" spans="2:19" x14ac:dyDescent="0.2"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</row>
    <row r="1718" spans="2:19" x14ac:dyDescent="0.2"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</row>
    <row r="1719" spans="2:19" x14ac:dyDescent="0.2"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</row>
    <row r="1720" spans="2:19" x14ac:dyDescent="0.2"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</row>
    <row r="1721" spans="2:19" x14ac:dyDescent="0.2"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</row>
    <row r="1722" spans="2:19" x14ac:dyDescent="0.2"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</row>
    <row r="1723" spans="2:19" x14ac:dyDescent="0.2"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</row>
    <row r="1724" spans="2:19" x14ac:dyDescent="0.2"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</row>
    <row r="1725" spans="2:19" x14ac:dyDescent="0.2"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</row>
    <row r="1726" spans="2:19" x14ac:dyDescent="0.2"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</row>
    <row r="1727" spans="2:19" x14ac:dyDescent="0.2"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</row>
    <row r="1728" spans="2:19" x14ac:dyDescent="0.2"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</row>
    <row r="1729" spans="2:19" x14ac:dyDescent="0.2"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</row>
    <row r="1730" spans="2:19" x14ac:dyDescent="0.2"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</row>
    <row r="1731" spans="2:19" x14ac:dyDescent="0.2"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</row>
    <row r="1732" spans="2:19" x14ac:dyDescent="0.2"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</row>
    <row r="1733" spans="2:19" x14ac:dyDescent="0.2"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</row>
    <row r="1734" spans="2:19" x14ac:dyDescent="0.2"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</row>
    <row r="1735" spans="2:19" x14ac:dyDescent="0.2"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</row>
    <row r="1736" spans="2:19" x14ac:dyDescent="0.2"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</row>
    <row r="1737" spans="2:19" x14ac:dyDescent="0.2"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</row>
    <row r="1738" spans="2:19" x14ac:dyDescent="0.2"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</row>
    <row r="1739" spans="2:19" x14ac:dyDescent="0.2"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</row>
    <row r="1740" spans="2:19" x14ac:dyDescent="0.2"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</row>
    <row r="1741" spans="2:19" x14ac:dyDescent="0.2"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</row>
    <row r="1742" spans="2:19" x14ac:dyDescent="0.2"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</row>
    <row r="1743" spans="2:19" x14ac:dyDescent="0.2"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</row>
    <row r="1744" spans="2:19" x14ac:dyDescent="0.2"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</row>
    <row r="1745" spans="2:19" x14ac:dyDescent="0.2"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</row>
    <row r="1746" spans="2:19" x14ac:dyDescent="0.2"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</row>
    <row r="1747" spans="2:19" x14ac:dyDescent="0.2"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</row>
    <row r="1748" spans="2:19" x14ac:dyDescent="0.2"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</row>
    <row r="1749" spans="2:19" x14ac:dyDescent="0.2"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</row>
    <row r="1750" spans="2:19" x14ac:dyDescent="0.2"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</row>
    <row r="1751" spans="2:19" x14ac:dyDescent="0.2"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</row>
    <row r="1752" spans="2:19" x14ac:dyDescent="0.2"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</row>
    <row r="1753" spans="2:19" x14ac:dyDescent="0.2"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</row>
    <row r="1754" spans="2:19" x14ac:dyDescent="0.2"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</row>
    <row r="1755" spans="2:19" x14ac:dyDescent="0.2"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</row>
    <row r="1756" spans="2:19" x14ac:dyDescent="0.2"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</row>
    <row r="1757" spans="2:19" x14ac:dyDescent="0.2"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</row>
    <row r="1758" spans="2:19" x14ac:dyDescent="0.2"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</row>
    <row r="1759" spans="2:19" x14ac:dyDescent="0.2"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</row>
    <row r="1760" spans="2:19" x14ac:dyDescent="0.2"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</row>
    <row r="1761" spans="2:19" x14ac:dyDescent="0.2"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</row>
    <row r="1762" spans="2:19" x14ac:dyDescent="0.2"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</row>
    <row r="1763" spans="2:19" x14ac:dyDescent="0.2"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</row>
    <row r="1764" spans="2:19" x14ac:dyDescent="0.2"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</row>
    <row r="1765" spans="2:19" x14ac:dyDescent="0.2"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</row>
    <row r="1766" spans="2:19" x14ac:dyDescent="0.2"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</row>
    <row r="1767" spans="2:19" x14ac:dyDescent="0.2"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</row>
    <row r="1768" spans="2:19" x14ac:dyDescent="0.2"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</row>
    <row r="1769" spans="2:19" x14ac:dyDescent="0.2"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</row>
    <row r="1770" spans="2:19" x14ac:dyDescent="0.2"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</row>
    <row r="1771" spans="2:19" x14ac:dyDescent="0.2"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</row>
    <row r="1772" spans="2:19" x14ac:dyDescent="0.2"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</row>
    <row r="1773" spans="2:19" x14ac:dyDescent="0.2"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</row>
    <row r="1774" spans="2:19" x14ac:dyDescent="0.2"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</row>
    <row r="1775" spans="2:19" x14ac:dyDescent="0.2"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</row>
    <row r="1776" spans="2:19" x14ac:dyDescent="0.2"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</row>
    <row r="1777" spans="2:19" x14ac:dyDescent="0.2"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</row>
    <row r="1778" spans="2:19" x14ac:dyDescent="0.2"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</row>
    <row r="1779" spans="2:19" x14ac:dyDescent="0.2"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</row>
    <row r="1780" spans="2:19" x14ac:dyDescent="0.2"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</row>
    <row r="1781" spans="2:19" x14ac:dyDescent="0.2"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</row>
    <row r="1782" spans="2:19" x14ac:dyDescent="0.2"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</row>
    <row r="1783" spans="2:19" x14ac:dyDescent="0.2"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</row>
    <row r="1784" spans="2:19" x14ac:dyDescent="0.2"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</row>
    <row r="1785" spans="2:19" x14ac:dyDescent="0.2"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</row>
    <row r="1786" spans="2:19" x14ac:dyDescent="0.2"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</row>
    <row r="1787" spans="2:19" x14ac:dyDescent="0.2"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</row>
    <row r="1788" spans="2:19" x14ac:dyDescent="0.2"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</row>
    <row r="1789" spans="2:19" x14ac:dyDescent="0.2"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</row>
    <row r="1790" spans="2:19" x14ac:dyDescent="0.2"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</row>
    <row r="1791" spans="2:19" x14ac:dyDescent="0.2"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</row>
    <row r="1792" spans="2:19" x14ac:dyDescent="0.2"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</row>
    <row r="1793" spans="2:19" x14ac:dyDescent="0.2"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</row>
    <row r="1794" spans="2:19" x14ac:dyDescent="0.2"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</row>
    <row r="1795" spans="2:19" x14ac:dyDescent="0.2"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</row>
    <row r="1796" spans="2:19" x14ac:dyDescent="0.2"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</row>
    <row r="1797" spans="2:19" x14ac:dyDescent="0.2"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</row>
    <row r="1798" spans="2:19" x14ac:dyDescent="0.2"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</row>
    <row r="1799" spans="2:19" x14ac:dyDescent="0.2"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</row>
    <row r="1800" spans="2:19" x14ac:dyDescent="0.2"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</row>
    <row r="1801" spans="2:19" x14ac:dyDescent="0.2"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</row>
    <row r="1802" spans="2:19" x14ac:dyDescent="0.2"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</row>
    <row r="1803" spans="2:19" x14ac:dyDescent="0.2"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</row>
    <row r="1804" spans="2:19" x14ac:dyDescent="0.2"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</row>
    <row r="1805" spans="2:19" x14ac:dyDescent="0.2"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</row>
    <row r="1806" spans="2:19" x14ac:dyDescent="0.2"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</row>
    <row r="1807" spans="2:19" x14ac:dyDescent="0.2"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</row>
    <row r="1808" spans="2:19" x14ac:dyDescent="0.2"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</row>
    <row r="1809" spans="2:19" x14ac:dyDescent="0.2"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</row>
    <row r="1810" spans="2:19" x14ac:dyDescent="0.2"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</row>
    <row r="1811" spans="2:19" x14ac:dyDescent="0.2"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</row>
    <row r="1812" spans="2:19" x14ac:dyDescent="0.2"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</row>
    <row r="1813" spans="2:19" x14ac:dyDescent="0.2"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</row>
    <row r="1814" spans="2:19" x14ac:dyDescent="0.2"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</row>
    <row r="1815" spans="2:19" x14ac:dyDescent="0.2"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</row>
    <row r="1816" spans="2:19" x14ac:dyDescent="0.2"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</row>
    <row r="1817" spans="2:19" x14ac:dyDescent="0.2"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</row>
    <row r="1818" spans="2:19" x14ac:dyDescent="0.2"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</row>
    <row r="1819" spans="2:19" x14ac:dyDescent="0.2"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</row>
    <row r="1820" spans="2:19" x14ac:dyDescent="0.2"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</row>
    <row r="1821" spans="2:19" x14ac:dyDescent="0.2"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</row>
    <row r="1822" spans="2:19" x14ac:dyDescent="0.2"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</row>
    <row r="1823" spans="2:19" x14ac:dyDescent="0.2"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</row>
    <row r="1824" spans="2:19" x14ac:dyDescent="0.2"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</row>
    <row r="1825" spans="2:19" x14ac:dyDescent="0.2"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</row>
    <row r="1826" spans="2:19" x14ac:dyDescent="0.2"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</row>
    <row r="1827" spans="2:19" x14ac:dyDescent="0.2"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</row>
    <row r="1828" spans="2:19" x14ac:dyDescent="0.2"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</row>
    <row r="1829" spans="2:19" x14ac:dyDescent="0.2"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</row>
    <row r="1830" spans="2:19" x14ac:dyDescent="0.2"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</row>
    <row r="1831" spans="2:19" x14ac:dyDescent="0.2"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</row>
    <row r="1832" spans="2:19" x14ac:dyDescent="0.2"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</row>
    <row r="1833" spans="2:19" x14ac:dyDescent="0.2"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</row>
    <row r="1834" spans="2:19" x14ac:dyDescent="0.2"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</row>
    <row r="1835" spans="2:19" x14ac:dyDescent="0.2"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</row>
    <row r="1836" spans="2:19" x14ac:dyDescent="0.2"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</row>
    <row r="1837" spans="2:19" x14ac:dyDescent="0.2"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</row>
    <row r="1838" spans="2:19" x14ac:dyDescent="0.2"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</row>
    <row r="1839" spans="2:19" x14ac:dyDescent="0.2"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</row>
    <row r="1840" spans="2:19" x14ac:dyDescent="0.2"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</row>
    <row r="1841" spans="2:19" x14ac:dyDescent="0.2"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</row>
    <row r="1842" spans="2:19" x14ac:dyDescent="0.2"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</row>
    <row r="1843" spans="2:19" x14ac:dyDescent="0.2"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</row>
    <row r="1844" spans="2:19" x14ac:dyDescent="0.2"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</row>
    <row r="1845" spans="2:19" x14ac:dyDescent="0.2"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</row>
    <row r="1846" spans="2:19" x14ac:dyDescent="0.2"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</row>
    <row r="1847" spans="2:19" x14ac:dyDescent="0.2"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</row>
    <row r="1848" spans="2:19" x14ac:dyDescent="0.2"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</row>
    <row r="1849" spans="2:19" x14ac:dyDescent="0.2"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</row>
    <row r="1850" spans="2:19" x14ac:dyDescent="0.2"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</row>
    <row r="1851" spans="2:19" x14ac:dyDescent="0.2"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</row>
    <row r="1852" spans="2:19" x14ac:dyDescent="0.2"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</row>
    <row r="1853" spans="2:19" x14ac:dyDescent="0.2"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</row>
    <row r="1854" spans="2:19" x14ac:dyDescent="0.2"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</row>
    <row r="1855" spans="2:19" x14ac:dyDescent="0.2"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</row>
    <row r="1856" spans="2:19" x14ac:dyDescent="0.2"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</row>
    <row r="1857" spans="2:19" x14ac:dyDescent="0.2"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</row>
    <row r="1858" spans="2:19" x14ac:dyDescent="0.2"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</row>
    <row r="1859" spans="2:19" x14ac:dyDescent="0.2"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</row>
    <row r="1860" spans="2:19" x14ac:dyDescent="0.2"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</row>
    <row r="1861" spans="2:19" x14ac:dyDescent="0.2"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</row>
    <row r="1862" spans="2:19" x14ac:dyDescent="0.2"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</row>
    <row r="1863" spans="2:19" x14ac:dyDescent="0.2"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</row>
    <row r="1864" spans="2:19" x14ac:dyDescent="0.2"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</row>
    <row r="1865" spans="2:19" x14ac:dyDescent="0.2"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</row>
    <row r="1866" spans="2:19" x14ac:dyDescent="0.2"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</row>
    <row r="1867" spans="2:19" x14ac:dyDescent="0.2"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</row>
    <row r="1868" spans="2:19" x14ac:dyDescent="0.2"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</row>
    <row r="1869" spans="2:19" x14ac:dyDescent="0.2"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</row>
    <row r="1870" spans="2:19" x14ac:dyDescent="0.2"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</row>
    <row r="1871" spans="2:19" x14ac:dyDescent="0.2"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</row>
    <row r="1872" spans="2:19" x14ac:dyDescent="0.2"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</row>
    <row r="1873" spans="2:19" x14ac:dyDescent="0.2"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</row>
    <row r="1874" spans="2:19" x14ac:dyDescent="0.2"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</row>
    <row r="1875" spans="2:19" x14ac:dyDescent="0.2"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</row>
    <row r="1876" spans="2:19" x14ac:dyDescent="0.2"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</row>
    <row r="1877" spans="2:19" x14ac:dyDescent="0.2"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</row>
    <row r="1878" spans="2:19" x14ac:dyDescent="0.2"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</row>
    <row r="1879" spans="2:19" x14ac:dyDescent="0.2"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</row>
    <row r="1880" spans="2:19" x14ac:dyDescent="0.2"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</row>
    <row r="1881" spans="2:19" x14ac:dyDescent="0.2"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</row>
    <row r="1882" spans="2:19" x14ac:dyDescent="0.2"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</row>
    <row r="1883" spans="2:19" x14ac:dyDescent="0.2"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</row>
    <row r="1884" spans="2:19" x14ac:dyDescent="0.2"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</row>
    <row r="1885" spans="2:19" x14ac:dyDescent="0.2"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</row>
    <row r="1886" spans="2:19" x14ac:dyDescent="0.2"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</row>
    <row r="1887" spans="2:19" x14ac:dyDescent="0.2"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</row>
    <row r="1888" spans="2:19" x14ac:dyDescent="0.2"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</row>
    <row r="1889" spans="2:19" x14ac:dyDescent="0.2"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</row>
    <row r="1890" spans="2:19" x14ac:dyDescent="0.2"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</row>
    <row r="1891" spans="2:19" x14ac:dyDescent="0.2"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</row>
    <row r="1892" spans="2:19" x14ac:dyDescent="0.2"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</row>
    <row r="1893" spans="2:19" x14ac:dyDescent="0.2"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</row>
    <row r="1894" spans="2:19" x14ac:dyDescent="0.2"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</row>
    <row r="1895" spans="2:19" x14ac:dyDescent="0.2"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</row>
    <row r="1896" spans="2:19" x14ac:dyDescent="0.2"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</row>
    <row r="1897" spans="2:19" x14ac:dyDescent="0.2"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</row>
    <row r="1898" spans="2:19" x14ac:dyDescent="0.2"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</row>
    <row r="1899" spans="2:19" x14ac:dyDescent="0.2"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</row>
    <row r="1900" spans="2:19" x14ac:dyDescent="0.2"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</row>
    <row r="1901" spans="2:19" x14ac:dyDescent="0.2"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</row>
    <row r="1902" spans="2:19" x14ac:dyDescent="0.2"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</row>
    <row r="1903" spans="2:19" x14ac:dyDescent="0.2"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</row>
    <row r="1904" spans="2:19" x14ac:dyDescent="0.2"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</row>
    <row r="1905" spans="2:19" x14ac:dyDescent="0.2"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</row>
    <row r="1906" spans="2:19" x14ac:dyDescent="0.2"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</row>
    <row r="1907" spans="2:19" x14ac:dyDescent="0.2"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</row>
    <row r="1908" spans="2:19" x14ac:dyDescent="0.2"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</row>
    <row r="1909" spans="2:19" x14ac:dyDescent="0.2"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</row>
    <row r="1910" spans="2:19" x14ac:dyDescent="0.2"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</row>
    <row r="1911" spans="2:19" x14ac:dyDescent="0.2"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</row>
    <row r="1912" spans="2:19" x14ac:dyDescent="0.2"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</row>
    <row r="1913" spans="2:19" x14ac:dyDescent="0.2"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</row>
    <row r="1914" spans="2:19" x14ac:dyDescent="0.2"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</row>
    <row r="1915" spans="2:19" x14ac:dyDescent="0.2"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</row>
    <row r="1916" spans="2:19" x14ac:dyDescent="0.2"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</row>
    <row r="1917" spans="2:19" x14ac:dyDescent="0.2"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</row>
    <row r="1918" spans="2:19" x14ac:dyDescent="0.2"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</row>
    <row r="1919" spans="2:19" x14ac:dyDescent="0.2"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</row>
    <row r="1920" spans="2:19" x14ac:dyDescent="0.2"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</row>
    <row r="1921" spans="2:19" x14ac:dyDescent="0.2"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</row>
    <row r="1922" spans="2:19" x14ac:dyDescent="0.2"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</row>
    <row r="1923" spans="2:19" x14ac:dyDescent="0.2"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</row>
    <row r="1924" spans="2:19" x14ac:dyDescent="0.2"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</row>
    <row r="1925" spans="2:19" x14ac:dyDescent="0.2"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</row>
    <row r="1926" spans="2:19" x14ac:dyDescent="0.2"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</row>
    <row r="1927" spans="2:19" x14ac:dyDescent="0.2"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</row>
    <row r="1928" spans="2:19" x14ac:dyDescent="0.2"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</row>
    <row r="1929" spans="2:19" x14ac:dyDescent="0.2"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</row>
    <row r="1930" spans="2:19" x14ac:dyDescent="0.2"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</row>
    <row r="1931" spans="2:19" x14ac:dyDescent="0.2"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</row>
    <row r="1932" spans="2:19" x14ac:dyDescent="0.2"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</row>
    <row r="1933" spans="2:19" x14ac:dyDescent="0.2"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</row>
    <row r="1934" spans="2:19" x14ac:dyDescent="0.2"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</row>
    <row r="1935" spans="2:19" x14ac:dyDescent="0.2"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</row>
    <row r="1936" spans="2:19" x14ac:dyDescent="0.2"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</row>
    <row r="1937" spans="2:19" x14ac:dyDescent="0.2"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</row>
    <row r="1938" spans="2:19" x14ac:dyDescent="0.2"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</row>
    <row r="1939" spans="2:19" x14ac:dyDescent="0.2"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</row>
    <row r="1940" spans="2:19" x14ac:dyDescent="0.2"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</row>
    <row r="1941" spans="2:19" x14ac:dyDescent="0.2"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</row>
    <row r="1942" spans="2:19" x14ac:dyDescent="0.2"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</row>
    <row r="1943" spans="2:19" x14ac:dyDescent="0.2"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</row>
    <row r="1944" spans="2:19" x14ac:dyDescent="0.2"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</row>
    <row r="1945" spans="2:19" x14ac:dyDescent="0.2"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</row>
    <row r="1946" spans="2:19" x14ac:dyDescent="0.2"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</row>
    <row r="1947" spans="2:19" x14ac:dyDescent="0.2"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</row>
    <row r="1948" spans="2:19" x14ac:dyDescent="0.2"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</row>
    <row r="1949" spans="2:19" x14ac:dyDescent="0.2"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</row>
    <row r="1950" spans="2:19" x14ac:dyDescent="0.2"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</row>
    <row r="1951" spans="2:19" x14ac:dyDescent="0.2"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</row>
    <row r="1952" spans="2:19" x14ac:dyDescent="0.2"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</row>
    <row r="1953" spans="2:19" x14ac:dyDescent="0.2"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</row>
    <row r="1954" spans="2:19" x14ac:dyDescent="0.2"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</row>
    <row r="1955" spans="2:19" x14ac:dyDescent="0.2"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</row>
    <row r="1956" spans="2:19" x14ac:dyDescent="0.2"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</row>
    <row r="1957" spans="2:19" x14ac:dyDescent="0.2"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</row>
    <row r="1958" spans="2:19" x14ac:dyDescent="0.2"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</row>
    <row r="1959" spans="2:19" x14ac:dyDescent="0.2"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</row>
    <row r="1960" spans="2:19" x14ac:dyDescent="0.2"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</row>
    <row r="1961" spans="2:19" x14ac:dyDescent="0.2"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</row>
    <row r="1962" spans="2:19" x14ac:dyDescent="0.2"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</row>
    <row r="1963" spans="2:19" x14ac:dyDescent="0.2"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</row>
    <row r="1964" spans="2:19" x14ac:dyDescent="0.2"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</row>
    <row r="1965" spans="2:19" x14ac:dyDescent="0.2"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</row>
    <row r="1966" spans="2:19" x14ac:dyDescent="0.2"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</row>
    <row r="1967" spans="2:19" x14ac:dyDescent="0.2"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</row>
    <row r="1968" spans="2:19" x14ac:dyDescent="0.2"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</row>
    <row r="1969" spans="2:19" x14ac:dyDescent="0.2"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</row>
    <row r="1970" spans="2:19" x14ac:dyDescent="0.2"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</row>
    <row r="1971" spans="2:19" x14ac:dyDescent="0.2"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</row>
    <row r="1972" spans="2:19" x14ac:dyDescent="0.2"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</row>
    <row r="1973" spans="2:19" x14ac:dyDescent="0.2"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</row>
    <row r="1974" spans="2:19" x14ac:dyDescent="0.2"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</row>
    <row r="1975" spans="2:19" x14ac:dyDescent="0.2"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</row>
    <row r="1976" spans="2:19" x14ac:dyDescent="0.2"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</row>
    <row r="1977" spans="2:19" x14ac:dyDescent="0.2"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</row>
    <row r="1978" spans="2:19" x14ac:dyDescent="0.2"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</row>
    <row r="1979" spans="2:19" x14ac:dyDescent="0.2"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</row>
    <row r="1980" spans="2:19" x14ac:dyDescent="0.2"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</row>
    <row r="1981" spans="2:19" x14ac:dyDescent="0.2"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</row>
    <row r="1982" spans="2:19" x14ac:dyDescent="0.2"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</row>
    <row r="1983" spans="2:19" x14ac:dyDescent="0.2"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</row>
    <row r="1984" spans="2:19" x14ac:dyDescent="0.2"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</row>
    <row r="1985" spans="2:19" x14ac:dyDescent="0.2"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</row>
    <row r="1986" spans="2:19" x14ac:dyDescent="0.2"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</row>
    <row r="1987" spans="2:19" x14ac:dyDescent="0.2"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</row>
    <row r="1988" spans="2:19" x14ac:dyDescent="0.2"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</row>
    <row r="1989" spans="2:19" x14ac:dyDescent="0.2"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</row>
    <row r="1990" spans="2:19" x14ac:dyDescent="0.2"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</row>
    <row r="1991" spans="2:19" x14ac:dyDescent="0.2"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</row>
    <row r="1992" spans="2:19" x14ac:dyDescent="0.2"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</row>
    <row r="1993" spans="2:19" x14ac:dyDescent="0.2"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</row>
    <row r="1994" spans="2:19" x14ac:dyDescent="0.2"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</row>
    <row r="1995" spans="2:19" x14ac:dyDescent="0.2"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</row>
    <row r="1996" spans="2:19" x14ac:dyDescent="0.2"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</row>
    <row r="1997" spans="2:19" x14ac:dyDescent="0.2"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</row>
    <row r="1998" spans="2:19" x14ac:dyDescent="0.2"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</row>
    <row r="1999" spans="2:19" x14ac:dyDescent="0.2"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</row>
    <row r="2000" spans="2:19" x14ac:dyDescent="0.2"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</row>
    <row r="2001" spans="2:19" x14ac:dyDescent="0.2"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</row>
    <row r="2002" spans="2:19" x14ac:dyDescent="0.2"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</row>
    <row r="2003" spans="2:19" x14ac:dyDescent="0.2"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</row>
    <row r="2004" spans="2:19" x14ac:dyDescent="0.2"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</row>
    <row r="2005" spans="2:19" x14ac:dyDescent="0.2"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</row>
    <row r="2006" spans="2:19" x14ac:dyDescent="0.2"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</row>
    <row r="2007" spans="2:19" x14ac:dyDescent="0.2"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</row>
    <row r="2008" spans="2:19" x14ac:dyDescent="0.2"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</row>
    <row r="2009" spans="2:19" x14ac:dyDescent="0.2"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</row>
    <row r="2010" spans="2:19" x14ac:dyDescent="0.2"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</row>
    <row r="2011" spans="2:19" x14ac:dyDescent="0.2"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</row>
    <row r="2012" spans="2:19" x14ac:dyDescent="0.2"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</row>
    <row r="2013" spans="2:19" x14ac:dyDescent="0.2"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</row>
    <row r="2014" spans="2:19" x14ac:dyDescent="0.2"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</row>
    <row r="2015" spans="2:19" x14ac:dyDescent="0.2"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</row>
    <row r="2016" spans="2:19" x14ac:dyDescent="0.2"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</row>
    <row r="2017" spans="2:19" x14ac:dyDescent="0.2"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</row>
    <row r="2018" spans="2:19" x14ac:dyDescent="0.2"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</row>
    <row r="2019" spans="2:19" x14ac:dyDescent="0.2"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</row>
    <row r="2020" spans="2:19" x14ac:dyDescent="0.2"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</row>
    <row r="2021" spans="2:19" x14ac:dyDescent="0.2"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</row>
    <row r="2022" spans="2:19" x14ac:dyDescent="0.2"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</row>
    <row r="2023" spans="2:19" x14ac:dyDescent="0.2"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</row>
    <row r="2024" spans="2:19" x14ac:dyDescent="0.2"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</row>
    <row r="2025" spans="2:19" x14ac:dyDescent="0.2"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</row>
    <row r="2026" spans="2:19" x14ac:dyDescent="0.2"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</row>
    <row r="2027" spans="2:19" x14ac:dyDescent="0.2"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</row>
    <row r="2028" spans="2:19" x14ac:dyDescent="0.2"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</row>
    <row r="2029" spans="2:19" x14ac:dyDescent="0.2"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</row>
    <row r="2030" spans="2:19" x14ac:dyDescent="0.2"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</row>
    <row r="2031" spans="2:19" x14ac:dyDescent="0.2"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</row>
    <row r="2032" spans="2:19" x14ac:dyDescent="0.2"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</row>
    <row r="2033" spans="2:19" x14ac:dyDescent="0.2"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</row>
    <row r="2034" spans="2:19" x14ac:dyDescent="0.2"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</row>
    <row r="2035" spans="2:19" x14ac:dyDescent="0.2"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</row>
    <row r="2036" spans="2:19" x14ac:dyDescent="0.2"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</row>
    <row r="2037" spans="2:19" x14ac:dyDescent="0.2"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</row>
    <row r="2038" spans="2:19" x14ac:dyDescent="0.2"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</row>
    <row r="2039" spans="2:19" x14ac:dyDescent="0.2"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</row>
    <row r="2040" spans="2:19" x14ac:dyDescent="0.2"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</row>
    <row r="2041" spans="2:19" x14ac:dyDescent="0.2"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</row>
    <row r="2042" spans="2:19" x14ac:dyDescent="0.2"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</row>
    <row r="2043" spans="2:19" x14ac:dyDescent="0.2"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</row>
    <row r="2044" spans="2:19" x14ac:dyDescent="0.2"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</row>
    <row r="2045" spans="2:19" x14ac:dyDescent="0.2"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</row>
    <row r="2046" spans="2:19" x14ac:dyDescent="0.2"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</row>
    <row r="2047" spans="2:19" x14ac:dyDescent="0.2"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</row>
    <row r="2048" spans="2:19" x14ac:dyDescent="0.2"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</row>
    <row r="2049" spans="2:19" x14ac:dyDescent="0.2"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</row>
    <row r="2050" spans="2:19" x14ac:dyDescent="0.2"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</row>
    <row r="2051" spans="2:19" x14ac:dyDescent="0.2"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</row>
    <row r="2052" spans="2:19" x14ac:dyDescent="0.2"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</row>
    <row r="2053" spans="2:19" x14ac:dyDescent="0.2"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</row>
    <row r="2054" spans="2:19" x14ac:dyDescent="0.2"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</row>
    <row r="2055" spans="2:19" x14ac:dyDescent="0.2"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</row>
    <row r="2056" spans="2:19" x14ac:dyDescent="0.2"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</row>
    <row r="2057" spans="2:19" x14ac:dyDescent="0.2"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</row>
    <row r="2058" spans="2:19" x14ac:dyDescent="0.2"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</row>
    <row r="2059" spans="2:19" x14ac:dyDescent="0.2"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</row>
    <row r="2060" spans="2:19" x14ac:dyDescent="0.2"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</row>
    <row r="2061" spans="2:19" x14ac:dyDescent="0.2"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</row>
    <row r="2062" spans="2:19" x14ac:dyDescent="0.2"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</row>
    <row r="2063" spans="2:19" x14ac:dyDescent="0.2"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</row>
    <row r="2064" spans="2:19" x14ac:dyDescent="0.2"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</row>
    <row r="2065" spans="2:19" x14ac:dyDescent="0.2"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</row>
    <row r="2066" spans="2:19" x14ac:dyDescent="0.2"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</row>
    <row r="2067" spans="2:19" x14ac:dyDescent="0.2"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</row>
    <row r="2068" spans="2:19" x14ac:dyDescent="0.2"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</row>
    <row r="2069" spans="2:19" x14ac:dyDescent="0.2"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</row>
    <row r="2070" spans="2:19" x14ac:dyDescent="0.2"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</row>
    <row r="2071" spans="2:19" x14ac:dyDescent="0.2"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</row>
    <row r="2072" spans="2:19" x14ac:dyDescent="0.2"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</row>
    <row r="2073" spans="2:19" x14ac:dyDescent="0.2"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</row>
    <row r="2074" spans="2:19" x14ac:dyDescent="0.2"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</row>
    <row r="2075" spans="2:19" x14ac:dyDescent="0.2"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</row>
    <row r="2076" spans="2:19" x14ac:dyDescent="0.2"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</row>
    <row r="2077" spans="2:19" x14ac:dyDescent="0.2"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</row>
    <row r="2078" spans="2:19" x14ac:dyDescent="0.2"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</row>
    <row r="2079" spans="2:19" x14ac:dyDescent="0.2"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</row>
    <row r="2080" spans="2:19" x14ac:dyDescent="0.2"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</row>
    <row r="2081" spans="2:19" x14ac:dyDescent="0.2"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</row>
    <row r="2082" spans="2:19" x14ac:dyDescent="0.2"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</row>
    <row r="2083" spans="2:19" x14ac:dyDescent="0.2"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</row>
    <row r="2084" spans="2:19" x14ac:dyDescent="0.2"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</row>
    <row r="2085" spans="2:19" x14ac:dyDescent="0.2"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</row>
    <row r="2086" spans="2:19" x14ac:dyDescent="0.2"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</row>
    <row r="2087" spans="2:19" x14ac:dyDescent="0.2"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</row>
    <row r="2088" spans="2:19" x14ac:dyDescent="0.2"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</row>
    <row r="2089" spans="2:19" x14ac:dyDescent="0.2"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</row>
    <row r="2090" spans="2:19" x14ac:dyDescent="0.2"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</row>
    <row r="2091" spans="2:19" x14ac:dyDescent="0.2"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</row>
    <row r="2092" spans="2:19" x14ac:dyDescent="0.2"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</row>
    <row r="2093" spans="2:19" x14ac:dyDescent="0.2"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</row>
    <row r="2094" spans="2:19" x14ac:dyDescent="0.2"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</row>
    <row r="2095" spans="2:19" x14ac:dyDescent="0.2"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</row>
    <row r="2096" spans="2:19" x14ac:dyDescent="0.2"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</row>
    <row r="2097" spans="2:19" x14ac:dyDescent="0.2"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</row>
    <row r="2098" spans="2:19" x14ac:dyDescent="0.2"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</row>
    <row r="2099" spans="2:19" x14ac:dyDescent="0.2"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</row>
    <row r="2100" spans="2:19" x14ac:dyDescent="0.2"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</row>
    <row r="2101" spans="2:19" x14ac:dyDescent="0.2"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</row>
    <row r="2102" spans="2:19" x14ac:dyDescent="0.2"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</row>
    <row r="2103" spans="2:19" x14ac:dyDescent="0.2"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</row>
    <row r="2104" spans="2:19" x14ac:dyDescent="0.2"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</row>
    <row r="2105" spans="2:19" x14ac:dyDescent="0.2"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</row>
    <row r="2106" spans="2:19" x14ac:dyDescent="0.2"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</row>
    <row r="2107" spans="2:19" x14ac:dyDescent="0.2"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</row>
    <row r="2108" spans="2:19" x14ac:dyDescent="0.2"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</row>
    <row r="2109" spans="2:19" x14ac:dyDescent="0.2"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</row>
    <row r="2110" spans="2:19" x14ac:dyDescent="0.2"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</row>
    <row r="2111" spans="2:19" x14ac:dyDescent="0.2"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</row>
    <row r="2112" spans="2:19" x14ac:dyDescent="0.2"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</row>
    <row r="2113" spans="2:19" x14ac:dyDescent="0.2"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</row>
    <row r="2114" spans="2:19" x14ac:dyDescent="0.2"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</row>
    <row r="2115" spans="2:19" x14ac:dyDescent="0.2"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</row>
    <row r="2116" spans="2:19" x14ac:dyDescent="0.2"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</row>
    <row r="2117" spans="2:19" x14ac:dyDescent="0.2"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</row>
    <row r="2118" spans="2:19" x14ac:dyDescent="0.2"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</row>
    <row r="2119" spans="2:19" x14ac:dyDescent="0.2"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</row>
    <row r="2120" spans="2:19" x14ac:dyDescent="0.2"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</row>
    <row r="2121" spans="2:19" x14ac:dyDescent="0.2"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</row>
    <row r="2122" spans="2:19" x14ac:dyDescent="0.2"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</row>
    <row r="2123" spans="2:19" x14ac:dyDescent="0.2"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</row>
    <row r="2124" spans="2:19" x14ac:dyDescent="0.2"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</row>
    <row r="2125" spans="2:19" x14ac:dyDescent="0.2"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</row>
    <row r="2126" spans="2:19" x14ac:dyDescent="0.2"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</row>
    <row r="2127" spans="2:19" x14ac:dyDescent="0.2"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</row>
    <row r="2128" spans="2:19" x14ac:dyDescent="0.2"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</row>
    <row r="2129" spans="2:19" x14ac:dyDescent="0.2"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</row>
    <row r="2130" spans="2:19" x14ac:dyDescent="0.2"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</row>
    <row r="2131" spans="2:19" x14ac:dyDescent="0.2"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</row>
    <row r="2132" spans="2:19" x14ac:dyDescent="0.2"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</row>
    <row r="2133" spans="2:19" x14ac:dyDescent="0.2"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</row>
    <row r="2134" spans="2:19" x14ac:dyDescent="0.2"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</row>
    <row r="2135" spans="2:19" x14ac:dyDescent="0.2"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</row>
    <row r="2136" spans="2:19" x14ac:dyDescent="0.2"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</row>
    <row r="2137" spans="2:19" x14ac:dyDescent="0.2"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</row>
    <row r="2138" spans="2:19" x14ac:dyDescent="0.2"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</row>
    <row r="2139" spans="2:19" x14ac:dyDescent="0.2"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</row>
    <row r="2140" spans="2:19" x14ac:dyDescent="0.2"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</row>
    <row r="2141" spans="2:19" x14ac:dyDescent="0.2"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</row>
    <row r="2142" spans="2:19" x14ac:dyDescent="0.2"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</row>
    <row r="2143" spans="2:19" x14ac:dyDescent="0.2"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</row>
    <row r="2144" spans="2:19" x14ac:dyDescent="0.2"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</row>
    <row r="2145" spans="2:19" x14ac:dyDescent="0.2"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</row>
    <row r="2146" spans="2:19" x14ac:dyDescent="0.2"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</row>
    <row r="2147" spans="2:19" x14ac:dyDescent="0.2"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</row>
    <row r="2148" spans="2:19" x14ac:dyDescent="0.2"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</row>
    <row r="2149" spans="2:19" x14ac:dyDescent="0.2"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</row>
    <row r="2150" spans="2:19" x14ac:dyDescent="0.2"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</row>
    <row r="2151" spans="2:19" x14ac:dyDescent="0.2"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</row>
    <row r="2152" spans="2:19" x14ac:dyDescent="0.2"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</row>
    <row r="2153" spans="2:19" x14ac:dyDescent="0.2"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</row>
    <row r="2154" spans="2:19" x14ac:dyDescent="0.2"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</row>
    <row r="2155" spans="2:19" x14ac:dyDescent="0.2"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</row>
    <row r="2156" spans="2:19" x14ac:dyDescent="0.2"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</row>
    <row r="2157" spans="2:19" x14ac:dyDescent="0.2"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</row>
    <row r="2158" spans="2:19" x14ac:dyDescent="0.2"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</row>
    <row r="2159" spans="2:19" x14ac:dyDescent="0.2"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</row>
    <row r="2160" spans="2:19" x14ac:dyDescent="0.2"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</row>
    <row r="2161" spans="2:19" x14ac:dyDescent="0.2"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</row>
    <row r="2162" spans="2:19" x14ac:dyDescent="0.2"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</row>
    <row r="2163" spans="2:19" x14ac:dyDescent="0.2"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</row>
    <row r="2164" spans="2:19" x14ac:dyDescent="0.2"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</row>
    <row r="2165" spans="2:19" x14ac:dyDescent="0.2"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</row>
    <row r="2166" spans="2:19" x14ac:dyDescent="0.2"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</row>
    <row r="2167" spans="2:19" x14ac:dyDescent="0.2"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</row>
    <row r="2168" spans="2:19" x14ac:dyDescent="0.2"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</row>
    <row r="2169" spans="2:19" x14ac:dyDescent="0.2"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</row>
    <row r="2170" spans="2:19" x14ac:dyDescent="0.2"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</row>
    <row r="2171" spans="2:19" x14ac:dyDescent="0.2"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</row>
    <row r="2172" spans="2:19" x14ac:dyDescent="0.2"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</row>
    <row r="2173" spans="2:19" x14ac:dyDescent="0.2"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</row>
    <row r="2174" spans="2:19" x14ac:dyDescent="0.2"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</row>
    <row r="2175" spans="2:19" x14ac:dyDescent="0.2"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</row>
    <row r="2176" spans="2:19" x14ac:dyDescent="0.2"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</row>
    <row r="2177" spans="2:19" x14ac:dyDescent="0.2"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</row>
    <row r="2178" spans="2:19" x14ac:dyDescent="0.2"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</row>
    <row r="2179" spans="2:19" x14ac:dyDescent="0.2"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</row>
    <row r="2180" spans="2:19" x14ac:dyDescent="0.2"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</row>
    <row r="2181" spans="2:19" x14ac:dyDescent="0.2"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</row>
    <row r="2182" spans="2:19" x14ac:dyDescent="0.2"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</row>
    <row r="2183" spans="2:19" x14ac:dyDescent="0.2"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</row>
    <row r="2184" spans="2:19" x14ac:dyDescent="0.2"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</row>
    <row r="2185" spans="2:19" x14ac:dyDescent="0.2"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</row>
    <row r="2186" spans="2:19" x14ac:dyDescent="0.2"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</row>
    <row r="2187" spans="2:19" x14ac:dyDescent="0.2"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</row>
    <row r="2188" spans="2:19" x14ac:dyDescent="0.2"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</row>
    <row r="2189" spans="2:19" x14ac:dyDescent="0.2"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</row>
    <row r="2190" spans="2:19" x14ac:dyDescent="0.2"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</row>
    <row r="2191" spans="2:19" x14ac:dyDescent="0.2"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</row>
    <row r="2192" spans="2:19" x14ac:dyDescent="0.2"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</row>
    <row r="2193" spans="2:19" x14ac:dyDescent="0.2"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</row>
    <row r="2194" spans="2:19" x14ac:dyDescent="0.2"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</row>
    <row r="2195" spans="2:19" x14ac:dyDescent="0.2"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</row>
    <row r="2196" spans="2:19" x14ac:dyDescent="0.2"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</row>
    <row r="2197" spans="2:19" x14ac:dyDescent="0.2"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</row>
    <row r="2198" spans="2:19" x14ac:dyDescent="0.2"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</row>
    <row r="2199" spans="2:19" x14ac:dyDescent="0.2"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</row>
    <row r="2200" spans="2:19" x14ac:dyDescent="0.2"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</row>
    <row r="2201" spans="2:19" x14ac:dyDescent="0.2"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</row>
    <row r="2202" spans="2:19" x14ac:dyDescent="0.2"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</row>
    <row r="2203" spans="2:19" x14ac:dyDescent="0.2"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</row>
    <row r="2204" spans="2:19" x14ac:dyDescent="0.2"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</row>
    <row r="2205" spans="2:19" x14ac:dyDescent="0.2"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</row>
    <row r="2206" spans="2:19" x14ac:dyDescent="0.2"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</row>
    <row r="2207" spans="2:19" x14ac:dyDescent="0.2"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</row>
    <row r="2208" spans="2:19" x14ac:dyDescent="0.2"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</row>
    <row r="2209" spans="2:19" x14ac:dyDescent="0.2"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</row>
    <row r="2210" spans="2:19" x14ac:dyDescent="0.2"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</row>
    <row r="2211" spans="2:19" x14ac:dyDescent="0.2"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</row>
    <row r="2212" spans="2:19" x14ac:dyDescent="0.2"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</row>
    <row r="2213" spans="2:19" x14ac:dyDescent="0.2"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</row>
    <row r="2214" spans="2:19" x14ac:dyDescent="0.2"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</row>
    <row r="2215" spans="2:19" x14ac:dyDescent="0.2"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</row>
    <row r="2216" spans="2:19" x14ac:dyDescent="0.2"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</row>
    <row r="2217" spans="2:19" x14ac:dyDescent="0.2"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</row>
    <row r="2218" spans="2:19" x14ac:dyDescent="0.2"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</row>
    <row r="2219" spans="2:19" x14ac:dyDescent="0.2"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</row>
    <row r="2220" spans="2:19" x14ac:dyDescent="0.2"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</row>
    <row r="2221" spans="2:19" x14ac:dyDescent="0.2"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</row>
    <row r="2222" spans="2:19" x14ac:dyDescent="0.2"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</row>
    <row r="2223" spans="2:19" x14ac:dyDescent="0.2"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</row>
    <row r="2224" spans="2:19" x14ac:dyDescent="0.2"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</row>
    <row r="2225" spans="2:19" x14ac:dyDescent="0.2"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</row>
    <row r="2226" spans="2:19" x14ac:dyDescent="0.2"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</row>
    <row r="2227" spans="2:19" x14ac:dyDescent="0.2"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</row>
    <row r="2228" spans="2:19" x14ac:dyDescent="0.2"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</row>
    <row r="2229" spans="2:19" x14ac:dyDescent="0.2"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</row>
    <row r="2230" spans="2:19" x14ac:dyDescent="0.2"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</row>
    <row r="2231" spans="2:19" x14ac:dyDescent="0.2"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</row>
    <row r="2232" spans="2:19" x14ac:dyDescent="0.2"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</row>
    <row r="2233" spans="2:19" x14ac:dyDescent="0.2"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</row>
    <row r="2234" spans="2:19" x14ac:dyDescent="0.2"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</row>
    <row r="2235" spans="2:19" x14ac:dyDescent="0.2"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</row>
    <row r="2236" spans="2:19" x14ac:dyDescent="0.2"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</row>
    <row r="2237" spans="2:19" x14ac:dyDescent="0.2"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</row>
    <row r="2238" spans="2:19" x14ac:dyDescent="0.2"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</row>
    <row r="2239" spans="2:19" x14ac:dyDescent="0.2"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</row>
    <row r="2240" spans="2:19" x14ac:dyDescent="0.2"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</row>
    <row r="2241" spans="2:19" x14ac:dyDescent="0.2"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</row>
    <row r="2242" spans="2:19" x14ac:dyDescent="0.2"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</row>
    <row r="2243" spans="2:19" x14ac:dyDescent="0.2"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</row>
    <row r="2244" spans="2:19" x14ac:dyDescent="0.2"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</row>
    <row r="2245" spans="2:19" x14ac:dyDescent="0.2"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</row>
    <row r="2246" spans="2:19" x14ac:dyDescent="0.2"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</row>
    <row r="2247" spans="2:19" x14ac:dyDescent="0.2"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</row>
    <row r="2248" spans="2:19" x14ac:dyDescent="0.2"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</row>
    <row r="2249" spans="2:19" x14ac:dyDescent="0.2"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</row>
    <row r="2250" spans="2:19" x14ac:dyDescent="0.2"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</row>
    <row r="2251" spans="2:19" x14ac:dyDescent="0.2"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</row>
    <row r="2252" spans="2:19" x14ac:dyDescent="0.2"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</row>
    <row r="2253" spans="2:19" x14ac:dyDescent="0.2"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</row>
    <row r="2254" spans="2:19" x14ac:dyDescent="0.2"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</row>
    <row r="2255" spans="2:19" x14ac:dyDescent="0.2"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</row>
    <row r="2256" spans="2:19" x14ac:dyDescent="0.2"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</row>
    <row r="2257" spans="2:19" x14ac:dyDescent="0.2"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</row>
    <row r="2258" spans="2:19" x14ac:dyDescent="0.2"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</row>
    <row r="2259" spans="2:19" x14ac:dyDescent="0.2"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</row>
    <row r="2260" spans="2:19" x14ac:dyDescent="0.2"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</row>
    <row r="2261" spans="2:19" x14ac:dyDescent="0.2"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</row>
    <row r="2262" spans="2:19" x14ac:dyDescent="0.2"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</row>
    <row r="2263" spans="2:19" x14ac:dyDescent="0.2"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</row>
    <row r="2264" spans="2:19" x14ac:dyDescent="0.2"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</row>
    <row r="2265" spans="2:19" x14ac:dyDescent="0.2"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</row>
    <row r="2266" spans="2:19" x14ac:dyDescent="0.2"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</row>
    <row r="2267" spans="2:19" x14ac:dyDescent="0.2"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</row>
    <row r="2268" spans="2:19" x14ac:dyDescent="0.2"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</row>
    <row r="2269" spans="2:19" x14ac:dyDescent="0.2"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</row>
    <row r="2270" spans="2:19" x14ac:dyDescent="0.2"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</row>
    <row r="2271" spans="2:19" x14ac:dyDescent="0.2"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</row>
    <row r="2272" spans="2:19" x14ac:dyDescent="0.2"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</row>
    <row r="2273" spans="2:19" x14ac:dyDescent="0.2"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</row>
    <row r="2274" spans="2:19" x14ac:dyDescent="0.2"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</row>
    <row r="2275" spans="2:19" x14ac:dyDescent="0.2"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</row>
    <row r="2276" spans="2:19" x14ac:dyDescent="0.2"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</row>
    <row r="2277" spans="2:19" x14ac:dyDescent="0.2"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</row>
    <row r="2278" spans="2:19" x14ac:dyDescent="0.2"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</row>
    <row r="2279" spans="2:19" x14ac:dyDescent="0.2"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</row>
    <row r="2280" spans="2:19" x14ac:dyDescent="0.2"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</row>
    <row r="2281" spans="2:19" x14ac:dyDescent="0.2"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</row>
    <row r="2282" spans="2:19" x14ac:dyDescent="0.2"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</row>
    <row r="2283" spans="2:19" x14ac:dyDescent="0.2"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</row>
    <row r="2284" spans="2:19" x14ac:dyDescent="0.2"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</row>
    <row r="2285" spans="2:19" x14ac:dyDescent="0.2"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</row>
    <row r="2286" spans="2:19" x14ac:dyDescent="0.2"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</row>
    <row r="2287" spans="2:19" x14ac:dyDescent="0.2"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</row>
    <row r="2288" spans="2:19" x14ac:dyDescent="0.2"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</row>
    <row r="2289" spans="2:19" x14ac:dyDescent="0.2"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</row>
    <row r="2290" spans="2:19" x14ac:dyDescent="0.2"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</row>
    <row r="2291" spans="2:19" x14ac:dyDescent="0.2"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</row>
    <row r="2292" spans="2:19" x14ac:dyDescent="0.2"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</row>
    <row r="2293" spans="2:19" x14ac:dyDescent="0.2"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</row>
    <row r="2294" spans="2:19" x14ac:dyDescent="0.2"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</row>
    <row r="2295" spans="2:19" x14ac:dyDescent="0.2"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</row>
    <row r="2296" spans="2:19" x14ac:dyDescent="0.2"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</row>
    <row r="2297" spans="2:19" x14ac:dyDescent="0.2"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</row>
    <row r="2298" spans="2:19" x14ac:dyDescent="0.2"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</row>
    <row r="2299" spans="2:19" x14ac:dyDescent="0.2"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</row>
    <row r="2300" spans="2:19" x14ac:dyDescent="0.2"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</row>
    <row r="2301" spans="2:19" x14ac:dyDescent="0.2"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</row>
    <row r="2302" spans="2:19" x14ac:dyDescent="0.2"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</row>
    <row r="2303" spans="2:19" x14ac:dyDescent="0.2"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</row>
    <row r="2304" spans="2:19" x14ac:dyDescent="0.2"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</row>
    <row r="2305" spans="2:19" x14ac:dyDescent="0.2"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</row>
    <row r="2306" spans="2:19" x14ac:dyDescent="0.2"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</row>
    <row r="2307" spans="2:19" x14ac:dyDescent="0.2"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</row>
    <row r="2308" spans="2:19" x14ac:dyDescent="0.2"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</row>
    <row r="2309" spans="2:19" x14ac:dyDescent="0.2"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</row>
    <row r="2310" spans="2:19" x14ac:dyDescent="0.2"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</row>
    <row r="2311" spans="2:19" x14ac:dyDescent="0.2"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</row>
    <row r="2312" spans="2:19" x14ac:dyDescent="0.2"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</row>
    <row r="2313" spans="2:19" x14ac:dyDescent="0.2"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</row>
    <row r="2314" spans="2:19" x14ac:dyDescent="0.2"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</row>
    <row r="2315" spans="2:19" x14ac:dyDescent="0.2"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</row>
    <row r="2316" spans="2:19" x14ac:dyDescent="0.2"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</row>
    <row r="2317" spans="2:19" x14ac:dyDescent="0.2"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</row>
    <row r="2318" spans="2:19" x14ac:dyDescent="0.2"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</row>
    <row r="2319" spans="2:19" x14ac:dyDescent="0.2"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</row>
    <row r="2320" spans="2:19" x14ac:dyDescent="0.2"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</row>
    <row r="2321" spans="2:19" x14ac:dyDescent="0.2"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</row>
    <row r="2322" spans="2:19" x14ac:dyDescent="0.2"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</row>
    <row r="2323" spans="2:19" x14ac:dyDescent="0.2"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</row>
    <row r="2324" spans="2:19" x14ac:dyDescent="0.2"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</row>
    <row r="2325" spans="2:19" x14ac:dyDescent="0.2"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</row>
    <row r="2326" spans="2:19" x14ac:dyDescent="0.2"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</row>
    <row r="2327" spans="2:19" x14ac:dyDescent="0.2"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</row>
    <row r="2328" spans="2:19" x14ac:dyDescent="0.2"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</row>
    <row r="2329" spans="2:19" x14ac:dyDescent="0.2"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</row>
    <row r="2330" spans="2:19" x14ac:dyDescent="0.2"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</row>
    <row r="2331" spans="2:19" x14ac:dyDescent="0.2"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</row>
    <row r="2332" spans="2:19" x14ac:dyDescent="0.2"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</row>
    <row r="2333" spans="2:19" x14ac:dyDescent="0.2"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</row>
    <row r="2334" spans="2:19" x14ac:dyDescent="0.2"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</row>
    <row r="2335" spans="2:19" x14ac:dyDescent="0.2"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</row>
    <row r="2336" spans="2:19" x14ac:dyDescent="0.2"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</row>
    <row r="2337" spans="2:19" x14ac:dyDescent="0.2"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</row>
    <row r="2338" spans="2:19" x14ac:dyDescent="0.2"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</row>
    <row r="2339" spans="2:19" x14ac:dyDescent="0.2"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</row>
    <row r="2340" spans="2:19" x14ac:dyDescent="0.2"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</row>
    <row r="2341" spans="2:19" x14ac:dyDescent="0.2"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</row>
    <row r="2342" spans="2:19" x14ac:dyDescent="0.2"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</row>
    <row r="2343" spans="2:19" x14ac:dyDescent="0.2"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</row>
    <row r="2344" spans="2:19" x14ac:dyDescent="0.2"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</row>
    <row r="2345" spans="2:19" x14ac:dyDescent="0.2"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</row>
    <row r="2346" spans="2:19" x14ac:dyDescent="0.2"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</row>
    <row r="2347" spans="2:19" x14ac:dyDescent="0.2"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</row>
    <row r="2348" spans="2:19" x14ac:dyDescent="0.2"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</row>
    <row r="2349" spans="2:19" x14ac:dyDescent="0.2"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</row>
    <row r="2350" spans="2:19" x14ac:dyDescent="0.2"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</row>
    <row r="2351" spans="2:19" x14ac:dyDescent="0.2"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</row>
    <row r="2352" spans="2:19" x14ac:dyDescent="0.2"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</row>
    <row r="2353" spans="2:19" x14ac:dyDescent="0.2"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</row>
    <row r="2354" spans="2:19" x14ac:dyDescent="0.2"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</row>
    <row r="2355" spans="2:19" x14ac:dyDescent="0.2"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</row>
    <row r="2356" spans="2:19" x14ac:dyDescent="0.2"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</row>
    <row r="2357" spans="2:19" x14ac:dyDescent="0.2"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</row>
    <row r="2358" spans="2:19" x14ac:dyDescent="0.2"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</row>
    <row r="2359" spans="2:19" x14ac:dyDescent="0.2"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</row>
    <row r="2360" spans="2:19" x14ac:dyDescent="0.2"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</row>
    <row r="2361" spans="2:19" x14ac:dyDescent="0.2"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</row>
    <row r="2362" spans="2:19" x14ac:dyDescent="0.2"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</row>
    <row r="2363" spans="2:19" x14ac:dyDescent="0.2"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</row>
    <row r="2364" spans="2:19" x14ac:dyDescent="0.2"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</row>
    <row r="2365" spans="2:19" x14ac:dyDescent="0.2"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</row>
    <row r="2366" spans="2:19" x14ac:dyDescent="0.2"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</row>
    <row r="2367" spans="2:19" x14ac:dyDescent="0.2"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</row>
    <row r="2368" spans="2:19" x14ac:dyDescent="0.2"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</row>
    <row r="2369" spans="2:19" x14ac:dyDescent="0.2"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</row>
    <row r="2370" spans="2:19" x14ac:dyDescent="0.2"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</row>
    <row r="2371" spans="2:19" x14ac:dyDescent="0.2"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</row>
    <row r="2372" spans="2:19" x14ac:dyDescent="0.2"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</row>
    <row r="2373" spans="2:19" x14ac:dyDescent="0.2"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</row>
    <row r="2374" spans="2:19" x14ac:dyDescent="0.2"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</row>
    <row r="2375" spans="2:19" x14ac:dyDescent="0.2"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</row>
    <row r="2376" spans="2:19" x14ac:dyDescent="0.2"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</row>
    <row r="2377" spans="2:19" x14ac:dyDescent="0.2"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</row>
    <row r="2378" spans="2:19" x14ac:dyDescent="0.2"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</row>
    <row r="2379" spans="2:19" x14ac:dyDescent="0.2"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</row>
    <row r="2380" spans="2:19" x14ac:dyDescent="0.2"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</row>
    <row r="2381" spans="2:19" x14ac:dyDescent="0.2"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</row>
    <row r="2382" spans="2:19" x14ac:dyDescent="0.2"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</row>
    <row r="2383" spans="2:19" x14ac:dyDescent="0.2"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</row>
    <row r="2384" spans="2:19" x14ac:dyDescent="0.2"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</row>
    <row r="2385" spans="2:19" x14ac:dyDescent="0.2"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</row>
    <row r="2386" spans="2:19" x14ac:dyDescent="0.2"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</row>
    <row r="2387" spans="2:19" x14ac:dyDescent="0.2"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</row>
    <row r="2388" spans="2:19" x14ac:dyDescent="0.2"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</row>
    <row r="2389" spans="2:19" x14ac:dyDescent="0.2"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</row>
    <row r="2390" spans="2:19" x14ac:dyDescent="0.2"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</row>
    <row r="2391" spans="2:19" x14ac:dyDescent="0.2"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</row>
    <row r="2392" spans="2:19" x14ac:dyDescent="0.2"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</row>
    <row r="2393" spans="2:19" x14ac:dyDescent="0.2"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</row>
    <row r="2394" spans="2:19" x14ac:dyDescent="0.2"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</row>
    <row r="2395" spans="2:19" x14ac:dyDescent="0.2"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</row>
    <row r="2396" spans="2:19" x14ac:dyDescent="0.2"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</row>
    <row r="2397" spans="2:19" x14ac:dyDescent="0.2"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</row>
    <row r="2398" spans="2:19" x14ac:dyDescent="0.2"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</row>
    <row r="2399" spans="2:19" x14ac:dyDescent="0.2"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</row>
    <row r="2400" spans="2:19" x14ac:dyDescent="0.2"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</row>
    <row r="2401" spans="2:19" x14ac:dyDescent="0.2"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</row>
    <row r="2402" spans="2:19" x14ac:dyDescent="0.2"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</row>
    <row r="2403" spans="2:19" x14ac:dyDescent="0.2"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</row>
    <row r="2404" spans="2:19" x14ac:dyDescent="0.2"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</row>
    <row r="2405" spans="2:19" x14ac:dyDescent="0.2"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</row>
    <row r="2406" spans="2:19" x14ac:dyDescent="0.2"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</row>
    <row r="2407" spans="2:19" x14ac:dyDescent="0.2"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</row>
    <row r="2408" spans="2:19" x14ac:dyDescent="0.2"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</row>
    <row r="2409" spans="2:19" x14ac:dyDescent="0.2"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</row>
    <row r="2410" spans="2:19" x14ac:dyDescent="0.2"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</row>
    <row r="2411" spans="2:19" x14ac:dyDescent="0.2"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</row>
    <row r="2412" spans="2:19" x14ac:dyDescent="0.2"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</row>
    <row r="2413" spans="2:19" x14ac:dyDescent="0.2"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</row>
    <row r="2414" spans="2:19" x14ac:dyDescent="0.2"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</row>
    <row r="2415" spans="2:19" x14ac:dyDescent="0.2"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</row>
    <row r="2416" spans="2:19" x14ac:dyDescent="0.2"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</row>
    <row r="2417" spans="2:19" x14ac:dyDescent="0.2"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</row>
    <row r="2418" spans="2:19" x14ac:dyDescent="0.2"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</row>
    <row r="2419" spans="2:19" x14ac:dyDescent="0.2"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</row>
    <row r="2420" spans="2:19" x14ac:dyDescent="0.2"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</row>
    <row r="2421" spans="2:19" x14ac:dyDescent="0.2"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</row>
    <row r="2422" spans="2:19" x14ac:dyDescent="0.2"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</row>
    <row r="2423" spans="2:19" x14ac:dyDescent="0.2"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</row>
    <row r="2424" spans="2:19" x14ac:dyDescent="0.2"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</row>
    <row r="2425" spans="2:19" x14ac:dyDescent="0.2"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</row>
    <row r="2426" spans="2:19" x14ac:dyDescent="0.2"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</row>
    <row r="2427" spans="2:19" x14ac:dyDescent="0.2"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</row>
    <row r="2428" spans="2:19" x14ac:dyDescent="0.2"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</row>
    <row r="2429" spans="2:19" x14ac:dyDescent="0.2"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</row>
    <row r="2430" spans="2:19" x14ac:dyDescent="0.2"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</row>
    <row r="2431" spans="2:19" x14ac:dyDescent="0.2"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</row>
    <row r="2432" spans="2:19" x14ac:dyDescent="0.2"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</row>
    <row r="2433" spans="2:19" x14ac:dyDescent="0.2"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</row>
    <row r="2434" spans="2:19" x14ac:dyDescent="0.2"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</row>
    <row r="2435" spans="2:19" x14ac:dyDescent="0.2"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</row>
    <row r="2436" spans="2:19" x14ac:dyDescent="0.2"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</row>
    <row r="2437" spans="2:19" x14ac:dyDescent="0.2"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</row>
    <row r="2438" spans="2:19" x14ac:dyDescent="0.2"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</row>
    <row r="2439" spans="2:19" x14ac:dyDescent="0.2"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</row>
    <row r="2440" spans="2:19" x14ac:dyDescent="0.2"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</row>
    <row r="2441" spans="2:19" x14ac:dyDescent="0.2"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</row>
    <row r="2442" spans="2:19" x14ac:dyDescent="0.2"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</row>
    <row r="2443" spans="2:19" x14ac:dyDescent="0.2"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</row>
    <row r="2444" spans="2:19" x14ac:dyDescent="0.2"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</row>
    <row r="2445" spans="2:19" x14ac:dyDescent="0.2"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</row>
    <row r="2446" spans="2:19" x14ac:dyDescent="0.2"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</row>
    <row r="2447" spans="2:19" x14ac:dyDescent="0.2"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</row>
    <row r="2448" spans="2:19" x14ac:dyDescent="0.2"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</row>
    <row r="2449" spans="2:19" x14ac:dyDescent="0.2"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</row>
    <row r="2450" spans="2:19" x14ac:dyDescent="0.2"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</row>
    <row r="2451" spans="2:19" x14ac:dyDescent="0.2"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</row>
    <row r="2452" spans="2:19" x14ac:dyDescent="0.2"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</row>
    <row r="2453" spans="2:19" x14ac:dyDescent="0.2"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</row>
    <row r="2454" spans="2:19" x14ac:dyDescent="0.2"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</row>
    <row r="2455" spans="2:19" x14ac:dyDescent="0.2"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</row>
    <row r="2456" spans="2:19" x14ac:dyDescent="0.2"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</row>
    <row r="2457" spans="2:19" x14ac:dyDescent="0.2"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</row>
    <row r="2458" spans="2:19" x14ac:dyDescent="0.2"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</row>
    <row r="2459" spans="2:19" x14ac:dyDescent="0.2"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</row>
    <row r="2460" spans="2:19" x14ac:dyDescent="0.2"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</row>
    <row r="2461" spans="2:19" x14ac:dyDescent="0.2"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</row>
    <row r="2462" spans="2:19" x14ac:dyDescent="0.2"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</row>
    <row r="2463" spans="2:19" x14ac:dyDescent="0.2"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</row>
    <row r="2464" spans="2:19" x14ac:dyDescent="0.2"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</row>
    <row r="2465" spans="2:19" x14ac:dyDescent="0.2"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</row>
    <row r="2466" spans="2:19" x14ac:dyDescent="0.2"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</row>
    <row r="2467" spans="2:19" x14ac:dyDescent="0.2"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</row>
    <row r="2468" spans="2:19" x14ac:dyDescent="0.2"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</row>
    <row r="2469" spans="2:19" x14ac:dyDescent="0.2"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</row>
    <row r="2470" spans="2:19" x14ac:dyDescent="0.2"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</row>
    <row r="2471" spans="2:19" x14ac:dyDescent="0.2"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</row>
    <row r="2472" spans="2:19" x14ac:dyDescent="0.2"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</row>
    <row r="2473" spans="2:19" x14ac:dyDescent="0.2"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</row>
    <row r="2474" spans="2:19" x14ac:dyDescent="0.2"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</row>
    <row r="2475" spans="2:19" x14ac:dyDescent="0.2"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</row>
    <row r="2476" spans="2:19" x14ac:dyDescent="0.2"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</row>
    <row r="2477" spans="2:19" x14ac:dyDescent="0.2"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</row>
    <row r="2478" spans="2:19" x14ac:dyDescent="0.2"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</row>
    <row r="2479" spans="2:19" x14ac:dyDescent="0.2"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</row>
    <row r="2480" spans="2:19" x14ac:dyDescent="0.2"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</row>
    <row r="2481" spans="2:19" x14ac:dyDescent="0.2"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</row>
    <row r="2482" spans="2:19" x14ac:dyDescent="0.2"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</row>
    <row r="2483" spans="2:19" x14ac:dyDescent="0.2"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</row>
    <row r="2484" spans="2:19" x14ac:dyDescent="0.2"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</row>
    <row r="2485" spans="2:19" x14ac:dyDescent="0.2"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</row>
    <row r="2486" spans="2:19" x14ac:dyDescent="0.2"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</row>
    <row r="2487" spans="2:19" x14ac:dyDescent="0.2"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</row>
    <row r="2488" spans="2:19" x14ac:dyDescent="0.2"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</row>
    <row r="2489" spans="2:19" x14ac:dyDescent="0.2"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</row>
    <row r="2490" spans="2:19" x14ac:dyDescent="0.2"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</row>
    <row r="2491" spans="2:19" x14ac:dyDescent="0.2"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</row>
    <row r="2492" spans="2:19" x14ac:dyDescent="0.2"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</row>
    <row r="2493" spans="2:19" x14ac:dyDescent="0.2"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</row>
    <row r="2494" spans="2:19" x14ac:dyDescent="0.2"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</row>
    <row r="2495" spans="2:19" x14ac:dyDescent="0.2"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</row>
    <row r="2496" spans="2:19" x14ac:dyDescent="0.2"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</row>
    <row r="2497" spans="2:19" x14ac:dyDescent="0.2"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</row>
    <row r="2498" spans="2:19" x14ac:dyDescent="0.2"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</row>
    <row r="2499" spans="2:19" x14ac:dyDescent="0.2"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</row>
    <row r="2500" spans="2:19" x14ac:dyDescent="0.2"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</row>
    <row r="2501" spans="2:19" x14ac:dyDescent="0.2"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</row>
    <row r="2502" spans="2:19" x14ac:dyDescent="0.2"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</row>
    <row r="2503" spans="2:19" x14ac:dyDescent="0.2"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</row>
    <row r="2504" spans="2:19" x14ac:dyDescent="0.2"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</row>
    <row r="2505" spans="2:19" x14ac:dyDescent="0.2"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</row>
    <row r="2506" spans="2:19" x14ac:dyDescent="0.2"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</row>
    <row r="2507" spans="2:19" x14ac:dyDescent="0.2"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</row>
    <row r="2508" spans="2:19" x14ac:dyDescent="0.2"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</row>
    <row r="2509" spans="2:19" x14ac:dyDescent="0.2"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</row>
    <row r="2510" spans="2:19" x14ac:dyDescent="0.2"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</row>
    <row r="2511" spans="2:19" x14ac:dyDescent="0.2"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</row>
    <row r="2512" spans="2:19" x14ac:dyDescent="0.2"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</row>
    <row r="2513" spans="2:19" x14ac:dyDescent="0.2"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</row>
    <row r="2514" spans="2:19" x14ac:dyDescent="0.2"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</row>
    <row r="2515" spans="2:19" x14ac:dyDescent="0.2"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</row>
    <row r="2516" spans="2:19" x14ac:dyDescent="0.2"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</row>
    <row r="2517" spans="2:19" x14ac:dyDescent="0.2"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</row>
    <row r="2518" spans="2:19" x14ac:dyDescent="0.2"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</row>
    <row r="2519" spans="2:19" x14ac:dyDescent="0.2"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</row>
    <row r="2520" spans="2:19" x14ac:dyDescent="0.2"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</row>
    <row r="2521" spans="2:19" x14ac:dyDescent="0.2"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</row>
    <row r="2522" spans="2:19" x14ac:dyDescent="0.2"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</row>
    <row r="2523" spans="2:19" x14ac:dyDescent="0.2"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</row>
    <row r="2524" spans="2:19" x14ac:dyDescent="0.2"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</row>
    <row r="2525" spans="2:19" x14ac:dyDescent="0.2"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</row>
    <row r="2526" spans="2:19" x14ac:dyDescent="0.2"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</row>
    <row r="2527" spans="2:19" x14ac:dyDescent="0.2"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</row>
    <row r="2528" spans="2:19" x14ac:dyDescent="0.2"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</row>
    <row r="2529" spans="2:19" x14ac:dyDescent="0.2"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</row>
    <row r="2530" spans="2:19" x14ac:dyDescent="0.2"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</row>
    <row r="2531" spans="2:19" x14ac:dyDescent="0.2"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</row>
    <row r="2532" spans="2:19" x14ac:dyDescent="0.2"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</row>
    <row r="2533" spans="2:19" x14ac:dyDescent="0.2"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</row>
    <row r="2534" spans="2:19" x14ac:dyDescent="0.2"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</row>
    <row r="2535" spans="2:19" x14ac:dyDescent="0.2"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</row>
    <row r="2536" spans="2:19" x14ac:dyDescent="0.2"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</row>
    <row r="2537" spans="2:19" x14ac:dyDescent="0.2"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</row>
    <row r="2538" spans="2:19" x14ac:dyDescent="0.2"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</row>
    <row r="2539" spans="2:19" x14ac:dyDescent="0.2"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</row>
    <row r="2540" spans="2:19" x14ac:dyDescent="0.2"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</row>
    <row r="2541" spans="2:19" x14ac:dyDescent="0.2"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</row>
    <row r="2542" spans="2:19" x14ac:dyDescent="0.2"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</row>
    <row r="2543" spans="2:19" x14ac:dyDescent="0.2"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</row>
    <row r="2544" spans="2:19" x14ac:dyDescent="0.2"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</row>
    <row r="2545" spans="2:19" x14ac:dyDescent="0.2"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</row>
    <row r="2546" spans="2:19" x14ac:dyDescent="0.2"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</row>
    <row r="2547" spans="2:19" x14ac:dyDescent="0.2"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</row>
    <row r="2548" spans="2:19" x14ac:dyDescent="0.2"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</row>
    <row r="2549" spans="2:19" x14ac:dyDescent="0.2"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</row>
    <row r="2550" spans="2:19" x14ac:dyDescent="0.2"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</row>
    <row r="2551" spans="2:19" x14ac:dyDescent="0.2"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</row>
    <row r="2552" spans="2:19" x14ac:dyDescent="0.2"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</row>
    <row r="2553" spans="2:19" x14ac:dyDescent="0.2"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</row>
    <row r="2554" spans="2:19" x14ac:dyDescent="0.2"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</row>
    <row r="2555" spans="2:19" x14ac:dyDescent="0.2"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</row>
    <row r="2556" spans="2:19" x14ac:dyDescent="0.2"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</row>
    <row r="2557" spans="2:19" x14ac:dyDescent="0.2"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</row>
    <row r="2558" spans="2:19" x14ac:dyDescent="0.2"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</row>
    <row r="2559" spans="2:19" x14ac:dyDescent="0.2"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</row>
    <row r="2560" spans="2:19" x14ac:dyDescent="0.2"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</row>
    <row r="2561" spans="2:19" x14ac:dyDescent="0.2"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</row>
    <row r="2562" spans="2:19" x14ac:dyDescent="0.2"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</row>
    <row r="2563" spans="2:19" x14ac:dyDescent="0.2"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</row>
    <row r="2564" spans="2:19" x14ac:dyDescent="0.2"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</row>
    <row r="2565" spans="2:19" x14ac:dyDescent="0.2"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</row>
    <row r="2566" spans="2:19" x14ac:dyDescent="0.2"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</row>
    <row r="2567" spans="2:19" x14ac:dyDescent="0.2"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</row>
    <row r="2568" spans="2:19" x14ac:dyDescent="0.2"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</row>
    <row r="2569" spans="2:19" x14ac:dyDescent="0.2"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</row>
    <row r="2570" spans="2:19" x14ac:dyDescent="0.2"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</row>
    <row r="2571" spans="2:19" x14ac:dyDescent="0.2"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</row>
    <row r="2572" spans="2:19" x14ac:dyDescent="0.2"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</row>
    <row r="2573" spans="2:19" x14ac:dyDescent="0.2"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</row>
    <row r="2574" spans="2:19" x14ac:dyDescent="0.2"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</row>
    <row r="2575" spans="2:19" x14ac:dyDescent="0.2"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</row>
    <row r="2576" spans="2:19" x14ac:dyDescent="0.2"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</row>
    <row r="2577" spans="2:19" x14ac:dyDescent="0.2"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</row>
    <row r="2578" spans="2:19" x14ac:dyDescent="0.2"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</row>
    <row r="2579" spans="2:19" x14ac:dyDescent="0.2"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</row>
    <row r="2580" spans="2:19" x14ac:dyDescent="0.2"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</row>
    <row r="2581" spans="2:19" x14ac:dyDescent="0.2"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</row>
    <row r="2582" spans="2:19" x14ac:dyDescent="0.2"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</row>
    <row r="2583" spans="2:19" x14ac:dyDescent="0.2"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</row>
    <row r="2584" spans="2:19" x14ac:dyDescent="0.2"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</row>
    <row r="2585" spans="2:19" x14ac:dyDescent="0.2"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</row>
    <row r="2586" spans="2:19" x14ac:dyDescent="0.2"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</row>
    <row r="2587" spans="2:19" x14ac:dyDescent="0.2"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</row>
    <row r="2588" spans="2:19" x14ac:dyDescent="0.2"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</row>
    <row r="2589" spans="2:19" x14ac:dyDescent="0.2"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</row>
    <row r="2590" spans="2:19" x14ac:dyDescent="0.2"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</row>
    <row r="2591" spans="2:19" x14ac:dyDescent="0.2"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</row>
    <row r="2592" spans="2:19" x14ac:dyDescent="0.2"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</row>
    <row r="2593" spans="2:19" x14ac:dyDescent="0.2"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</row>
    <row r="2594" spans="2:19" x14ac:dyDescent="0.2"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</row>
    <row r="2595" spans="2:19" x14ac:dyDescent="0.2"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</row>
    <row r="2596" spans="2:19" x14ac:dyDescent="0.2"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</row>
    <row r="2597" spans="2:19" x14ac:dyDescent="0.2"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</row>
    <row r="2598" spans="2:19" x14ac:dyDescent="0.2"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</row>
    <row r="2599" spans="2:19" x14ac:dyDescent="0.2"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</row>
    <row r="2600" spans="2:19" x14ac:dyDescent="0.2"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</row>
    <row r="2601" spans="2:19" x14ac:dyDescent="0.2"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</row>
    <row r="2602" spans="2:19" x14ac:dyDescent="0.2"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</row>
    <row r="2603" spans="2:19" x14ac:dyDescent="0.2"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</row>
    <row r="2604" spans="2:19" x14ac:dyDescent="0.2"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</row>
    <row r="2605" spans="2:19" x14ac:dyDescent="0.2"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</row>
    <row r="2606" spans="2:19" x14ac:dyDescent="0.2"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</row>
    <row r="2607" spans="2:19" x14ac:dyDescent="0.2"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</row>
    <row r="2608" spans="2:19" x14ac:dyDescent="0.2"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</row>
    <row r="2609" spans="2:19" x14ac:dyDescent="0.2"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</row>
    <row r="2610" spans="2:19" x14ac:dyDescent="0.2"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</row>
    <row r="2611" spans="2:19" x14ac:dyDescent="0.2"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</row>
    <row r="2612" spans="2:19" x14ac:dyDescent="0.2"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</row>
    <row r="2613" spans="2:19" x14ac:dyDescent="0.2"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</row>
    <row r="2614" spans="2:19" x14ac:dyDescent="0.2"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</row>
    <row r="2615" spans="2:19" x14ac:dyDescent="0.2"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</row>
    <row r="2616" spans="2:19" x14ac:dyDescent="0.2"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</row>
    <row r="2617" spans="2:19" x14ac:dyDescent="0.2"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</row>
    <row r="2618" spans="2:19" x14ac:dyDescent="0.2"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</row>
    <row r="2619" spans="2:19" x14ac:dyDescent="0.2"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</row>
    <row r="2620" spans="2:19" x14ac:dyDescent="0.2"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</row>
    <row r="2621" spans="2:19" x14ac:dyDescent="0.2"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</row>
    <row r="2622" spans="2:19" x14ac:dyDescent="0.2"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</row>
    <row r="2623" spans="2:19" x14ac:dyDescent="0.2"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</row>
    <row r="2624" spans="2:19" x14ac:dyDescent="0.2"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</row>
    <row r="2625" spans="2:19" x14ac:dyDescent="0.2"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</row>
    <row r="2626" spans="2:19" x14ac:dyDescent="0.2"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D14"/>
  <sheetViews>
    <sheetView workbookViewId="0">
      <selection activeCell="F9" sqref="F9"/>
    </sheetView>
  </sheetViews>
  <sheetFormatPr baseColWidth="10" defaultColWidth="8.83203125" defaultRowHeight="15" x14ac:dyDescent="0.2"/>
  <sheetData>
    <row r="2" spans="1:4" x14ac:dyDescent="0.2">
      <c r="A2" t="s">
        <v>128</v>
      </c>
    </row>
    <row r="3" spans="1:4" x14ac:dyDescent="0.2">
      <c r="A3" s="3" t="s">
        <v>129</v>
      </c>
      <c r="D3">
        <v>4068</v>
      </c>
    </row>
    <row r="4" spans="1:4" x14ac:dyDescent="0.2">
      <c r="A4" t="s">
        <v>130</v>
      </c>
      <c r="D4">
        <v>2503</v>
      </c>
    </row>
    <row r="5" spans="1:4" x14ac:dyDescent="0.2">
      <c r="A5" t="s">
        <v>131</v>
      </c>
      <c r="D5">
        <v>24</v>
      </c>
    </row>
    <row r="14" spans="1:4" ht="16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AccountSummary (New)</vt:lpstr>
      <vt:lpstr>AccountSummary</vt:lpstr>
      <vt:lpstr>CurrentSaaS</vt:lpstr>
      <vt:lpstr>PrepaySummary</vt:lpstr>
      <vt:lpstr>Invoices</vt:lpstr>
      <vt:lpstr>Accounts</vt:lpstr>
      <vt:lpstr>InvoiceLines</vt:lpstr>
      <vt:lpstr>CreditMemos</vt:lpstr>
      <vt:lpstr>CreditMemoLines</vt:lpstr>
      <vt:lpstr>Marketing Metrics</vt:lpstr>
      <vt:lpstr>CountsForFormulas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Jackson</dc:creator>
  <cp:lastModifiedBy>Paul Jackson</cp:lastModifiedBy>
  <dcterms:created xsi:type="dcterms:W3CDTF">2017-05-04T15:47:11Z</dcterms:created>
  <dcterms:modified xsi:type="dcterms:W3CDTF">2024-09-17T23:35:56Z</dcterms:modified>
</cp:coreProperties>
</file>